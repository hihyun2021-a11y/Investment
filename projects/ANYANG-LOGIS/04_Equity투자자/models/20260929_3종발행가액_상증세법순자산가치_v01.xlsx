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00FFFFFF"/>
    </font>
    <font>
      <name val="맑은 고딕"/>
    </font>
    <font>
      <name val="맑은 고딕"/>
      <b val="1"/>
    </font>
  </fonts>
  <fills count="5">
    <fill>
      <patternFill/>
    </fill>
    <fill>
      <patternFill patternType="gray125"/>
    </fill>
    <fill>
      <patternFill patternType="solid">
        <fgColor rgb="00345B86"/>
      </patternFill>
    </fill>
    <fill>
      <patternFill patternType="solid">
        <fgColor rgb="00FFF2CC"/>
      </patternFill>
    </fill>
    <fill>
      <patternFill patternType="solid">
        <fgColor rgb="00DAE3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3" borderId="1" pivotButton="0" quotePrefix="0" xfId="0"/>
    <xf numFmtId="164" fontId="3" fillId="3" borderId="1" pivotButton="0" quotePrefix="0" xfId="0"/>
    <xf numFmtId="3" fontId="3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3" fontId="4" fillId="4" borderId="1" pivotButton="0" quotePrefix="0" xfId="0"/>
    <xf numFmtId="3" fontId="3" fillId="4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8" customWidth="1" min="4" max="4"/>
    <col width="70" customWidth="1" min="5" max="5"/>
  </cols>
  <sheetData>
    <row r="1">
      <c r="A1" s="1" t="inlineStr">
        <is>
          <t>3종 종류주식 발행가액 산정 — 상증세법 순자산가치 기준 (입력값)</t>
        </is>
      </c>
    </row>
    <row r="2">
      <c r="A2" t="inlineStr">
        <is>
          <t>노란색 셀만 입력. 금액 단위: 원. 출처: 기준 재무모델 v02 A&amp;R(주식발행계획 P93:R95, S&amp;U), 미래새한 감정평가서, 매도인 보증금 내역(2026-07-31)</t>
        </is>
      </c>
    </row>
    <row r="4">
      <c r="A4" s="2" t="inlineStr">
        <is>
          <t>구분</t>
        </is>
      </c>
      <c r="B4" s="2" t="inlineStr">
        <is>
          <t>항목</t>
        </is>
      </c>
      <c r="C4" s="2" t="inlineStr">
        <is>
          <t>값</t>
        </is>
      </c>
      <c r="D4" s="2" t="inlineStr">
        <is>
          <t>단위</t>
        </is>
      </c>
      <c r="E4" s="2" t="inlineStr">
        <is>
          <t>출처·비고</t>
        </is>
      </c>
    </row>
    <row r="5">
      <c r="A5" s="3" t="inlineStr">
        <is>
          <t>자산</t>
        </is>
      </c>
      <c r="B5" s="3" t="inlineStr">
        <is>
          <t>부동산 매매가액 (SPA)</t>
        </is>
      </c>
      <c r="C5" s="4" t="n">
        <v>270000000000</v>
      </c>
      <c r="D5" s="3" t="inlineStr">
        <is>
          <t>원</t>
        </is>
      </c>
      <c r="E5" s="3" t="inlineStr">
        <is>
          <t>SPA v04 제1.3조, 기준 모델 A&amp;R T6</t>
        </is>
      </c>
    </row>
    <row r="6">
      <c r="A6" s="3" t="inlineStr">
        <is>
          <t>자산</t>
        </is>
      </c>
      <c r="B6" s="3" t="inlineStr">
        <is>
          <t>부동산 감정가액 ① 미래새한</t>
        </is>
      </c>
      <c r="C6" s="4" t="n">
        <v>334500000000</v>
      </c>
      <c r="D6" s="3" t="inlineStr">
        <is>
          <t>원</t>
        </is>
      </c>
      <c r="E6" s="3" t="inlineStr">
        <is>
          <t>감정평가서 2026.09 (담보목적)</t>
        </is>
      </c>
    </row>
    <row r="7">
      <c r="A7" s="3" t="inlineStr">
        <is>
          <t>자산</t>
        </is>
      </c>
      <c r="B7" s="3" t="inlineStr">
        <is>
          <t>부동산 감정가액 ② 추가 감정 [미접수]</t>
        </is>
      </c>
      <c r="C7" s="4" t="n">
        <v>334500000000</v>
      </c>
      <c r="D7" s="3" t="inlineStr">
        <is>
          <t>원</t>
        </is>
      </c>
      <c r="E7" s="3" t="inlineStr">
        <is>
          <t>미접수 시 ①과 동일 가정 → 2개 기관 평균 요건 충족 전제</t>
        </is>
      </c>
    </row>
    <row r="8">
      <c r="A8" s="3" t="inlineStr">
        <is>
          <t>자산</t>
        </is>
      </c>
      <c r="B8" s="3" t="inlineStr">
        <is>
          <t>임대보증금 예치금</t>
        </is>
      </c>
      <c r="C8" s="4" t="n">
        <v>7166267197</v>
      </c>
      <c r="D8" s="3" t="inlineStr">
        <is>
          <t>원</t>
        </is>
      </c>
      <c r="E8" s="3" t="inlineStr">
        <is>
          <t>임차인 보증금 정기예금 예치 총액 (매도인 내역 2026-07-31)</t>
        </is>
      </c>
    </row>
    <row r="9">
      <c r="A9" s="3" t="inlineStr">
        <is>
          <t>자산</t>
        </is>
      </c>
      <c r="B9" s="3" t="inlineStr">
        <is>
          <t>취득부대비용 (취득세·수수료·금융비용 등)</t>
        </is>
      </c>
      <c r="C9" s="4" t="n">
        <v>18900000000</v>
      </c>
      <c r="D9" s="3" t="inlineStr">
        <is>
          <t>원</t>
        </is>
      </c>
      <c r="E9" s="3" t="inlineStr">
        <is>
          <t>기준 모델 S&amp;U: 총투자비 2,989 − 매입 2,700 − 여유현금 100</t>
        </is>
      </c>
    </row>
    <row r="10">
      <c r="A10" s="3" t="inlineStr">
        <is>
          <t>부채</t>
        </is>
      </c>
      <c r="B10" s="3" t="inlineStr">
        <is>
          <t>담보대출 (Tranche A)</t>
        </is>
      </c>
      <c r="C10" s="4" t="n">
        <v>160000000000</v>
      </c>
      <c r="D10" s="3" t="inlineStr">
        <is>
          <t>원</t>
        </is>
      </c>
      <c r="E10" s="3" t="inlineStr">
        <is>
          <t>확정 T/S</t>
        </is>
      </c>
    </row>
    <row r="11">
      <c r="A11" s="3" t="inlineStr">
        <is>
          <t>부채</t>
        </is>
      </c>
      <c r="B11" s="3" t="inlineStr">
        <is>
          <t>중순위대출 (Tranche B)</t>
        </is>
      </c>
      <c r="C11" s="4" t="n">
        <v>38000000000</v>
      </c>
      <c r="D11" s="3" t="inlineStr">
        <is>
          <t>원</t>
        </is>
      </c>
      <c r="E11" s="3" t="inlineStr">
        <is>
          <t>확정 T/S</t>
        </is>
      </c>
    </row>
    <row r="12">
      <c r="A12" s="3" t="inlineStr">
        <is>
          <t>부채</t>
        </is>
      </c>
      <c r="B12" s="3" t="inlineStr">
        <is>
          <t>임대보증금 반환채무</t>
        </is>
      </c>
      <c r="C12" s="4" t="n">
        <v>7166267197</v>
      </c>
      <c r="D12" s="3" t="inlineStr">
        <is>
          <t>원</t>
        </is>
      </c>
      <c r="E12" s="3" t="inlineStr">
        <is>
          <t>예치금과 동일</t>
        </is>
      </c>
    </row>
    <row r="13">
      <c r="A13" s="3" t="inlineStr">
        <is>
          <t>자본</t>
        </is>
      </c>
      <c r="B13" s="3" t="inlineStr">
        <is>
          <t>보통주 납입액 (KLI)</t>
        </is>
      </c>
      <c r="C13" s="4" t="n">
        <v>14800000000</v>
      </c>
      <c r="D13" s="3" t="inlineStr">
        <is>
          <t>원</t>
        </is>
      </c>
      <c r="E13" s="3" t="inlineStr">
        <is>
          <t>A&amp;R P94: 5,000원 × 2,960,000주</t>
        </is>
      </c>
    </row>
    <row r="14">
      <c r="A14" s="3" t="inlineStr">
        <is>
          <t>자본</t>
        </is>
      </c>
      <c r="B14" s="3" t="inlineStr">
        <is>
          <t>보통주 발행가액</t>
        </is>
      </c>
      <c r="C14" s="4" t="n">
        <v>5000</v>
      </c>
      <c r="D14" s="3" t="inlineStr">
        <is>
          <t>원/주</t>
        </is>
      </c>
      <c r="E14" s="3" t="inlineStr"/>
    </row>
    <row r="15">
      <c r="A15" s="3" t="inlineStr">
        <is>
          <t>자본</t>
        </is>
      </c>
      <c r="B15" s="3" t="inlineStr">
        <is>
          <t>1·2종 종류주식 납입액</t>
        </is>
      </c>
      <c r="C15" s="4" t="n">
        <v>74000000000</v>
      </c>
      <c r="D15" s="3" t="inlineStr">
        <is>
          <t>원</t>
        </is>
      </c>
      <c r="E15" s="3" t="inlineStr">
        <is>
          <t>1종 240 + 2-1종 250 + 2-2종 250 (억)</t>
        </is>
      </c>
    </row>
    <row r="16">
      <c r="A16" s="3" t="inlineStr">
        <is>
          <t>자본</t>
        </is>
      </c>
      <c r="B16" s="3" t="inlineStr">
        <is>
          <t>1·2종 발행가액</t>
        </is>
      </c>
      <c r="C16" s="4" t="n">
        <v>25000</v>
      </c>
      <c r="D16" s="3" t="inlineStr">
        <is>
          <t>원/주</t>
        </is>
      </c>
      <c r="E16" s="3" t="inlineStr"/>
    </row>
    <row r="17">
      <c r="A17" s="3" t="inlineStr">
        <is>
          <t>자본</t>
        </is>
      </c>
      <c r="B17" s="3" t="inlineStr">
        <is>
          <t>2-2종(무의결권) 주식수</t>
        </is>
      </c>
      <c r="C17" s="4" t="n">
        <v>880000</v>
      </c>
      <c r="D17" s="3" t="inlineStr">
        <is>
          <t>주</t>
        </is>
      </c>
      <c r="E17" s="3" t="inlineStr">
        <is>
          <t>3종 평가서(9/29) 지분표: 기계설비조합 480,000 + 이지스K리츠펀드 400,000. 기준 모델 A&amp;R R92는 1,000,000주(2-1/2-2 각 250억) → 확정 배정에 따라 수정</t>
        </is>
      </c>
    </row>
    <row r="18">
      <c r="A18" s="3" t="inlineStr">
        <is>
          <t>자본</t>
        </is>
      </c>
      <c r="B18" s="3" t="inlineStr">
        <is>
          <t>3종 출자금액</t>
        </is>
      </c>
      <c r="C18" s="4" t="n">
        <v>10000000000</v>
      </c>
      <c r="D18" s="3" t="inlineStr">
        <is>
          <t>원</t>
        </is>
      </c>
      <c r="E18" s="3" t="inlineStr">
        <is>
          <t>A&amp;R P93</t>
        </is>
      </c>
    </row>
    <row r="19">
      <c r="A19" s="3" t="inlineStr">
        <is>
          <t>자본</t>
        </is>
      </c>
      <c r="B19" s="3" t="inlineStr">
        <is>
          <t>3종 현행 발행가액</t>
        </is>
      </c>
      <c r="C19" s="4" t="n">
        <v>25000</v>
      </c>
      <c r="D19" s="3" t="inlineStr">
        <is>
          <t>원/주</t>
        </is>
      </c>
      <c r="E19" s="3" t="inlineStr">
        <is>
          <t>현행 조건 (400,000주)</t>
        </is>
      </c>
    </row>
    <row r="20">
      <c r="A20" s="3" t="inlineStr">
        <is>
          <t>기준</t>
        </is>
      </c>
      <c r="B20" s="3" t="inlineStr">
        <is>
          <t>상법 무의결권 주식 한도</t>
        </is>
      </c>
      <c r="C20" s="5" t="n">
        <v>0.25</v>
      </c>
      <c r="D20" s="3" t="inlineStr">
        <is>
          <t>비율</t>
        </is>
      </c>
      <c r="E20" s="3" t="inlineStr">
        <is>
          <t>상법 §344조의3 ② (발행주식총수의 1/4)</t>
        </is>
      </c>
    </row>
    <row r="21">
      <c r="A21" s="3" t="inlineStr">
        <is>
          <t>기준</t>
        </is>
      </c>
      <c r="B21" s="3" t="inlineStr">
        <is>
          <t>부투법 주요주주 기준</t>
        </is>
      </c>
      <c r="C21" s="5" t="n">
        <v>0.1</v>
      </c>
      <c r="D21" s="3" t="inlineStr">
        <is>
          <t>비율</t>
        </is>
      </c>
      <c r="E21" s="3" t="inlineStr">
        <is>
          <t>부투법 §30 (10% 이상 소유)</t>
        </is>
      </c>
    </row>
    <row r="22">
      <c r="A22" s="3" t="inlineStr">
        <is>
          <t>기준</t>
        </is>
      </c>
      <c r="B22" s="3" t="inlineStr">
        <is>
          <t>상증세법 증여의제 비율 기준</t>
        </is>
      </c>
      <c r="C22" s="5" t="n">
        <v>0.3</v>
      </c>
      <c r="D22" s="3" t="inlineStr">
        <is>
          <t>비율</t>
        </is>
      </c>
      <c r="E22" s="3" t="inlineStr">
        <is>
          <t>상증세법 §35·§39, 시행령 §26·§29 (30%)</t>
        </is>
      </c>
    </row>
    <row r="23">
      <c r="A23" s="3" t="inlineStr">
        <is>
          <t>기준</t>
        </is>
      </c>
      <c r="B23" s="3" t="inlineStr">
        <is>
          <t>상증세법 증여의제 금액 기준</t>
        </is>
      </c>
      <c r="C23" s="4" t="n">
        <v>300000000</v>
      </c>
      <c r="D23" s="3" t="inlineStr">
        <is>
          <t>원</t>
        </is>
      </c>
      <c r="E23" s="3" t="inlineStr">
        <is>
          <t>동상 (3억 원)</t>
        </is>
      </c>
    </row>
    <row r="24">
      <c r="A24" s="3" t="inlineStr">
        <is>
          <t>기준</t>
        </is>
      </c>
      <c r="B24" s="3" t="inlineStr">
        <is>
          <t>공정거래법 안전지대 비율</t>
        </is>
      </c>
      <c r="C24" s="5" t="n">
        <v>0.07000000000000001</v>
      </c>
      <c r="D24" s="3" t="inlineStr">
        <is>
          <t>비율</t>
        </is>
      </c>
      <c r="E24" s="3" t="inlineStr">
        <is>
          <t>부당지원행위 심사지침 (정상가격 차이 7% 미만)</t>
        </is>
      </c>
    </row>
    <row r="25">
      <c r="A25" s="3" t="inlineStr">
        <is>
          <t>기준</t>
        </is>
      </c>
      <c r="B25" s="3" t="inlineStr">
        <is>
          <t>공정거래법 안전지대 거래총액</t>
        </is>
      </c>
      <c r="C25" s="4" t="n">
        <v>3000000000</v>
      </c>
      <c r="D25" s="3" t="inlineStr">
        <is>
          <t>원</t>
        </is>
      </c>
      <c r="E25" s="3" t="inlineStr">
        <is>
          <t>동상 (거래총액 30억 원 미만, 두 요건 모두 충족 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6" customWidth="1" min="4" max="4"/>
    <col width="70" customWidth="1" min="5" max="5"/>
  </cols>
  <sheetData>
    <row r="1">
      <c r="A1" s="1" t="inlineStr">
        <is>
          <t>순자산가액 및 1주당 순자산가치 산정 (3종 납입 직전 기준)</t>
        </is>
      </c>
    </row>
    <row r="2">
      <c r="A2" t="inlineStr">
        <is>
          <t>상증세법 §63①1나, 시행령 §54④ (부동산 80% 이상·사업개시 3년 미만 → 순자산가치 100%), §55 (자산은 시가 평가, 선급·이연자산 제외), §53⑦ (할증 배제)</t>
        </is>
      </c>
    </row>
    <row r="4">
      <c r="A4" s="2" t="inlineStr">
        <is>
          <t>항목</t>
        </is>
      </c>
      <c r="B4" s="2" t="inlineStr">
        <is>
          <t>A. 취득원가 기준 (엄격)</t>
        </is>
      </c>
      <c r="C4" s="2" t="inlineStr">
        <is>
          <t>B. 감정가 기준 (엄격)</t>
        </is>
      </c>
      <c r="D4" s="2" t="inlineStr">
        <is>
          <t>C. 평가서 방식 (납입액 그대로)</t>
        </is>
      </c>
      <c r="E4" s="2" t="inlineStr">
        <is>
          <t>비고</t>
        </is>
      </c>
    </row>
    <row r="5">
      <c r="A5" s="3" t="inlineStr">
        <is>
          <t>부동산 평가액</t>
        </is>
      </c>
      <c r="B5" s="6">
        <f>Inputs!$C$5</f>
        <v/>
      </c>
      <c r="C5" s="6">
        <f>AVERAGE(Inputs!$C$6,Inputs!$C$7)</f>
        <v/>
      </c>
      <c r="D5" s="6">
        <f>Inputs!$C$5+Inputs!$C$9+(Inputs!$C$13+Inputs!$C$15+Inputs!$C$10+Inputs!$C$11-Inputs!$C$5-Inputs!$C$9)</f>
        <v/>
      </c>
      <c r="E5" s="3" t="inlineStr">
        <is>
          <t>A·B: 시행령 §49 시가(매매가액 / 2개 감정 평균). C: 장부가(취득원가+부대비용 자산화+잔여현금) → 순자산 = 납입자본 888억, 평가서(9/29)와 동일</t>
        </is>
      </c>
    </row>
    <row r="6">
      <c r="A6" s="3" t="inlineStr">
        <is>
          <t>임대보증금 예치금</t>
        </is>
      </c>
      <c r="B6" s="6">
        <f>Inputs!$C$8</f>
        <v/>
      </c>
      <c r="C6" s="6">
        <f>Inputs!$C$8</f>
        <v/>
      </c>
      <c r="D6" s="6">
        <f>Inputs!$C$8</f>
        <v/>
      </c>
    </row>
    <row r="7">
      <c r="A7" s="3" t="inlineStr">
        <is>
          <t>취득부대비용 (자산 인정분)</t>
        </is>
      </c>
      <c r="B7" s="6" t="n">
        <v>0</v>
      </c>
      <c r="C7" s="6" t="n">
        <v>0</v>
      </c>
      <c r="D7" s="6" t="n">
        <v>0</v>
      </c>
      <c r="E7" s="3" t="inlineStr">
        <is>
          <t>A·B: 상증세법상 자산 제외(선급비용·이연자산 성격). C: D5에 이미 포함</t>
        </is>
      </c>
    </row>
    <row r="8">
      <c r="A8" s="3" t="inlineStr">
        <is>
          <t>자산 합계</t>
        </is>
      </c>
      <c r="B8" s="7">
        <f>SUM(B5:B7)</f>
        <v/>
      </c>
      <c r="C8" s="7">
        <f>SUM(C5:C7)</f>
        <v/>
      </c>
      <c r="D8" s="7">
        <f>SUM(D5:D7)</f>
        <v/>
      </c>
    </row>
    <row r="9">
      <c r="A9" s="3" t="inlineStr">
        <is>
          <t>담보·중순위 대출</t>
        </is>
      </c>
      <c r="B9" s="6">
        <f>Inputs!$C$10+Inputs!$C$11</f>
        <v/>
      </c>
      <c r="C9" s="6">
        <f>Inputs!$C$10+Inputs!$C$11</f>
        <v/>
      </c>
      <c r="D9" s="6">
        <f>Inputs!$C$10+Inputs!$C$11</f>
        <v/>
      </c>
    </row>
    <row r="10">
      <c r="A10" s="3" t="inlineStr">
        <is>
          <t>임대보증금 반환채무</t>
        </is>
      </c>
      <c r="B10" s="6">
        <f>Inputs!$C$12</f>
        <v/>
      </c>
      <c r="C10" s="6">
        <f>Inputs!$C$12</f>
        <v/>
      </c>
      <c r="D10" s="6">
        <f>Inputs!$C$12</f>
        <v/>
      </c>
    </row>
    <row r="11">
      <c r="A11" s="3" t="inlineStr">
        <is>
          <t>부채 합계</t>
        </is>
      </c>
      <c r="B11" s="7">
        <f>B9+B10</f>
        <v/>
      </c>
      <c r="C11" s="7">
        <f>C9+C10</f>
        <v/>
      </c>
      <c r="D11" s="7">
        <f>D9+D10</f>
        <v/>
      </c>
    </row>
    <row r="12">
      <c r="A12" s="8" t="inlineStr">
        <is>
          <t>순자산가액 (3종 납입 전)</t>
        </is>
      </c>
      <c r="B12" s="9">
        <f>B8-B11</f>
        <v/>
      </c>
      <c r="C12" s="9">
        <f>C8-C11</f>
        <v/>
      </c>
      <c r="D12" s="9">
        <f>D8-D11</f>
        <v/>
      </c>
      <c r="E12" s="3" t="inlineStr">
        <is>
          <t>C안 검산: 보통주+1·2종 납입액 = 888억</t>
        </is>
      </c>
    </row>
    <row r="13">
      <c r="A13" s="3" t="inlineStr">
        <is>
          <t>3종 납입 직전 발행주식총수 (주)</t>
        </is>
      </c>
      <c r="B13" s="6">
        <f>Inputs!$C$13/Inputs!$C$14+Inputs!$C$15/Inputs!$C$16</f>
        <v/>
      </c>
      <c r="C13" s="6">
        <f>Inputs!$C$13/Inputs!$C$14+Inputs!$C$15/Inputs!$C$16</f>
        <v/>
      </c>
      <c r="D13" s="6">
        <f>Inputs!$C$13/Inputs!$C$14+Inputs!$C$15/Inputs!$C$16</f>
        <v/>
      </c>
      <c r="E13" s="3" t="inlineStr">
        <is>
          <t>보통주 2,960,000 + 1·2종 2,960,000</t>
        </is>
      </c>
    </row>
    <row r="14">
      <c r="A14" s="8" t="inlineStr">
        <is>
          <t>1주당 순자산가치 (원)</t>
        </is>
      </c>
      <c r="B14" s="9">
        <f>B12/B13</f>
        <v/>
      </c>
      <c r="C14" s="9">
        <f>C12/C13</f>
        <v/>
      </c>
      <c r="D14" s="9">
        <f>D12/D13</f>
        <v/>
      </c>
    </row>
    <row r="15">
      <c r="A15" s="3" t="inlineStr">
        <is>
          <t>3종 100억 납입 후 1주당 (현행 25,000원 발행 시)</t>
        </is>
      </c>
      <c r="B15" s="6">
        <f>(B12+Inputs!$C$18)/(B13+Inputs!$C$18/Inputs!$C$19)</f>
        <v/>
      </c>
      <c r="C15" s="6">
        <f>(C12+Inputs!$C$18)/(C13+Inputs!$C$18/Inputs!$C$19)</f>
        <v/>
      </c>
      <c r="D15" s="6">
        <f>(D12+Inputs!$C$18)/(D13+Inputs!$C$18/Inputs!$C$19)</f>
        <v/>
      </c>
      <c r="E15" s="3" t="inlineStr">
        <is>
          <t>25,000원 × 400,000주 납입 후 재계산 (사후 평가액)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0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6" customWidth="1" min="11" max="11"/>
    <col width="22" customWidth="1" min="12" max="12"/>
    <col width="14" customWidth="1" min="13" max="13"/>
    <col width="24" customWidth="1" min="14" max="14"/>
  </cols>
  <sheetData>
    <row r="1">
      <c r="A1" s="1" t="inlineStr">
        <is>
          <t>발행가액 대안 비교 (3종 출자 100억 기준)</t>
        </is>
      </c>
    </row>
    <row r="2">
      <c r="A2" t="inlineStr">
        <is>
          <t>기준 시가 선택: Calc 시트 B/C/D안 중 하나를 C4 셀에서 선택 (기본 B안 = 감정가 기준)</t>
        </is>
      </c>
    </row>
    <row r="4">
      <c r="B4" s="3" t="inlineStr">
        <is>
          <t>기준 시가 (원/주)</t>
        </is>
      </c>
      <c r="C4" s="4">
        <f>Calc!C14</f>
        <v/>
      </c>
      <c r="D4" s="3" t="inlineStr">
        <is>
          <t>← Calc!B14(취득원가) / C14(감정가) / D14(평가서) 로 변경 가능</t>
        </is>
      </c>
    </row>
    <row r="6">
      <c r="A6" s="2" t="inlineStr">
        <is>
          <t>안</t>
        </is>
      </c>
      <c r="B6" s="2" t="inlineStr">
        <is>
          <t>발행가액 (원/주)</t>
        </is>
      </c>
      <c r="C6" s="2" t="inlineStr">
        <is>
          <t>3종 주식수 (주)</t>
        </is>
      </c>
      <c r="D6" s="2" t="inlineStr">
        <is>
          <t>발행 후 총주식수</t>
        </is>
      </c>
      <c r="E6" s="2" t="inlineStr">
        <is>
          <t>3종 지분율</t>
        </is>
      </c>
      <c r="F6" s="2" t="inlineStr">
        <is>
          <t>무의결권 주식수</t>
        </is>
      </c>
      <c r="G6" s="2" t="inlineStr">
        <is>
          <t>무의결권 비율</t>
        </is>
      </c>
      <c r="H6" s="2" t="inlineStr">
        <is>
          <t>한도(25%) 충족</t>
        </is>
      </c>
      <c r="I6" s="2" t="inlineStr">
        <is>
          <t>시가 대비 차이율</t>
        </is>
      </c>
      <c r="J6" s="2" t="inlineStr">
        <is>
          <t>주요주주(10%) 해당</t>
        </is>
      </c>
      <c r="K6" s="2" t="inlineStr">
        <is>
          <t>상증세법 이익 (원)</t>
        </is>
      </c>
      <c r="L6" s="2" t="inlineStr">
        <is>
          <t>§39 30%·3억 요건 해당</t>
        </is>
      </c>
      <c r="M6" s="2" t="inlineStr">
        <is>
          <t>공정거래법 7% 초과</t>
        </is>
      </c>
      <c r="N6" s="2" t="inlineStr">
        <is>
          <t>공정거래법 안전지대</t>
        </is>
      </c>
    </row>
    <row r="7">
      <c r="A7" s="8" t="inlineStr">
        <is>
          <t>A. 25,000원 유지 (현행)</t>
        </is>
      </c>
      <c r="B7" s="10">
        <f>Inputs!$C$19</f>
        <v/>
      </c>
      <c r="C7" s="6">
        <f>ROUND(Inputs!$C$18/B7,0)</f>
        <v/>
      </c>
      <c r="D7" s="6">
        <f>Calc!$C$13+C7</f>
        <v/>
      </c>
      <c r="E7" s="11">
        <f>C7/D7</f>
        <v/>
      </c>
      <c r="F7" s="6">
        <f>Inputs!$C$17+C7</f>
        <v/>
      </c>
      <c r="G7" s="11">
        <f>F7/D7</f>
        <v/>
      </c>
      <c r="H7" s="3">
        <f>IF(G7&lt;=Inputs!$C$20,"충족","초과")</f>
        <v/>
      </c>
      <c r="I7" s="11">
        <f>B7/$C$4-1</f>
        <v/>
      </c>
      <c r="J7" s="3">
        <f>IF(E7&gt;=Inputs!$C$21,"해당","미해당")</f>
        <v/>
      </c>
      <c r="K7" s="6">
        <f>MAX(B7-$C$4,0)*C7</f>
        <v/>
      </c>
      <c r="L7" s="3">
        <f>IF(OR(I7&gt;=Inputs!$C$22,K7&gt;=Inputs!$C$23),"해당(정당한 사유 필요)","미해당")</f>
        <v/>
      </c>
      <c r="M7" s="3">
        <f>IF(ABS(I7)&gt;=Inputs!$C$24,"초과","미만")</f>
        <v/>
      </c>
      <c r="N7" s="3">
        <f>IF(AND(ABS(I7)&lt;Inputs!$C$24,Inputs!$C$18&lt;Inputs!$C$25),"해당","미해당(거래총액 30억 초과)")</f>
        <v/>
      </c>
    </row>
    <row r="8">
      <c r="A8" s="8" t="inlineStr">
        <is>
          <t>B. 시가 일치</t>
        </is>
      </c>
      <c r="B8" s="10">
        <f>$C$4</f>
        <v/>
      </c>
      <c r="C8" s="6">
        <f>ROUND(Inputs!$C$18/B8,0)</f>
        <v/>
      </c>
      <c r="D8" s="6">
        <f>Calc!$C$13+C8</f>
        <v/>
      </c>
      <c r="E8" s="11">
        <f>C8/D8</f>
        <v/>
      </c>
      <c r="F8" s="6">
        <f>Inputs!$C$17+C8</f>
        <v/>
      </c>
      <c r="G8" s="11">
        <f>F8/D8</f>
        <v/>
      </c>
      <c r="H8" s="3">
        <f>IF(G8&lt;=Inputs!$C$20,"충족","초과")</f>
        <v/>
      </c>
      <c r="I8" s="11">
        <f>B8/$C$4-1</f>
        <v/>
      </c>
      <c r="J8" s="3">
        <f>IF(E8&gt;=Inputs!$C$21,"해당","미해당")</f>
        <v/>
      </c>
      <c r="K8" s="6">
        <f>MAX(B8-$C$4,0)*C8</f>
        <v/>
      </c>
      <c r="L8" s="3">
        <f>IF(OR(I8&gt;=Inputs!$C$22,K8&gt;=Inputs!$C$23),"해당(정당한 사유 필요)","미해당")</f>
        <v/>
      </c>
      <c r="M8" s="3">
        <f>IF(ABS(I8)&gt;=Inputs!$C$24,"초과","미만")</f>
        <v/>
      </c>
      <c r="N8" s="3">
        <f>IF(AND(ABS(I8)&lt;Inputs!$C$24,Inputs!$C$18&lt;Inputs!$C$25),"해당","미해당(거래총액 30억 초과)")</f>
        <v/>
      </c>
    </row>
    <row r="9">
      <c r="A9" s="8" t="inlineStr">
        <is>
          <t>C. 시가 반올림(천원)</t>
        </is>
      </c>
      <c r="B9" s="10">
        <f>ROUND($C$4,-3)</f>
        <v/>
      </c>
      <c r="C9" s="6">
        <f>ROUND(Inputs!$C$18/B9,0)</f>
        <v/>
      </c>
      <c r="D9" s="6">
        <f>Calc!$C$13+C9</f>
        <v/>
      </c>
      <c r="E9" s="11">
        <f>C9/D9</f>
        <v/>
      </c>
      <c r="F9" s="6">
        <f>Inputs!$C$17+C9</f>
        <v/>
      </c>
      <c r="G9" s="11">
        <f>F9/D9</f>
        <v/>
      </c>
      <c r="H9" s="3">
        <f>IF(G9&lt;=Inputs!$C$20,"충족","초과")</f>
        <v/>
      </c>
      <c r="I9" s="11">
        <f>B9/$C$4-1</f>
        <v/>
      </c>
      <c r="J9" s="3">
        <f>IF(E9&gt;=Inputs!$C$21,"해당","미해당")</f>
        <v/>
      </c>
      <c r="K9" s="6">
        <f>MAX(B9-$C$4,0)*C9</f>
        <v/>
      </c>
      <c r="L9" s="3">
        <f>IF(OR(I9&gt;=Inputs!$C$22,K9&gt;=Inputs!$C$23),"해당(정당한 사유 필요)","미해당")</f>
        <v/>
      </c>
      <c r="M9" s="3">
        <f>IF(ABS(I9)&gt;=Inputs!$C$24,"초과","미만")</f>
        <v/>
      </c>
      <c r="N9" s="3">
        <f>IF(AND(ABS(I9)&lt;Inputs!$C$24,Inputs!$C$18&lt;Inputs!$C$25),"해당","미해당(거래총액 30억 초과)")</f>
        <v/>
      </c>
    </row>
    <row r="10">
      <c r="A10" s="8" t="inlineStr">
        <is>
          <t>D. 취득원가 기준 (참고)</t>
        </is>
      </c>
      <c r="B10" s="10">
        <f>Calc!B14</f>
        <v/>
      </c>
      <c r="C10" s="6">
        <f>ROUND(Inputs!$C$18/B10,0)</f>
        <v/>
      </c>
      <c r="D10" s="6">
        <f>Calc!$C$13+C10</f>
        <v/>
      </c>
      <c r="E10" s="11">
        <f>C10/D10</f>
        <v/>
      </c>
      <c r="F10" s="6">
        <f>Inputs!$C$17+C10</f>
        <v/>
      </c>
      <c r="G10" s="11">
        <f>F10/D10</f>
        <v/>
      </c>
      <c r="H10" s="3">
        <f>IF(G10&lt;=Inputs!$C$20,"충족","초과")</f>
        <v/>
      </c>
      <c r="I10" s="11">
        <f>B10/$C$4-1</f>
        <v/>
      </c>
      <c r="J10" s="3">
        <f>IF(E10&gt;=Inputs!$C$21,"해당","미해당")</f>
        <v/>
      </c>
      <c r="K10" s="6">
        <f>MAX(B10-$C$4,0)*C10</f>
        <v/>
      </c>
      <c r="L10" s="3">
        <f>IF(OR(I10&gt;=Inputs!$C$22,K10&gt;=Inputs!$C$23),"해당(정당한 사유 필요)","미해당")</f>
        <v/>
      </c>
      <c r="M10" s="3">
        <f>IF(ABS(I10)&gt;=Inputs!$C$24,"초과","미만")</f>
        <v/>
      </c>
      <c r="N10" s="3">
        <f>IF(AND(ABS(I10)&lt;Inputs!$C$24,Inputs!$C$18&lt;Inputs!$C$25),"해당","미해당(거래총액 30억 초과)")</f>
        <v/>
      </c>
    </row>
    <row r="11">
      <c r="A11" s="8" t="inlineStr">
        <is>
          <t>E. 무의결권 한도 하한</t>
        </is>
      </c>
      <c r="B11" s="10">
        <f>ROUNDUP(Inputs!$C$18/((Inputs!$C$20*Calc!$C$13-Inputs!$C$17)/(1-Inputs!$C$20)),0)</f>
        <v/>
      </c>
      <c r="C11" s="6">
        <f>ROUND(Inputs!$C$18/B11,0)</f>
        <v/>
      </c>
      <c r="D11" s="6">
        <f>Calc!$C$13+C11</f>
        <v/>
      </c>
      <c r="E11" s="11">
        <f>C11/D11</f>
        <v/>
      </c>
      <c r="F11" s="6">
        <f>Inputs!$C$17+C11</f>
        <v/>
      </c>
      <c r="G11" s="11">
        <f>F11/D11</f>
        <v/>
      </c>
      <c r="H11" s="3">
        <f>IF(G11&lt;=Inputs!$C$20,"충족","초과")</f>
        <v/>
      </c>
      <c r="I11" s="11">
        <f>B11/$C$4-1</f>
        <v/>
      </c>
      <c r="J11" s="3">
        <f>IF(E11&gt;=Inputs!$C$21,"해당","미해당")</f>
        <v/>
      </c>
      <c r="K11" s="6">
        <f>MAX(B11-$C$4,0)*C11</f>
        <v/>
      </c>
      <c r="L11" s="3">
        <f>IF(OR(I11&gt;=Inputs!$C$22,K11&gt;=Inputs!$C$23),"해당(정당한 사유 필요)","미해당")</f>
        <v/>
      </c>
      <c r="M11" s="3">
        <f>IF(ABS(I11)&gt;=Inputs!$C$24,"초과","미만")</f>
        <v/>
      </c>
      <c r="N11" s="3">
        <f>IF(AND(ABS(I11)&lt;Inputs!$C$24,Inputs!$C$18&lt;Inputs!$C$25),"해당","미해당(거래총액 30억 초과)")</f>
        <v/>
      </c>
    </row>
    <row r="13">
      <c r="A13" s="3" t="inlineStr">
        <is>
          <t>※ E안: 무의결권 비율이 정확히 25%가 되는 최소 발행가액 (2-2종 + 3종 ≤ 총주식의 1/4). 상증세법 이익은 기존 주주(KLI, 법인) 귀속이므로 증여세가 아닌 법인세 영역이며 비특수관계라 부당행위계산 미적용.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6" customWidth="1" min="4" max="4"/>
    <col width="22" customWidth="1" min="5" max="5"/>
    <col width="24" customWidth="1" min="6" max="6"/>
  </cols>
  <sheetData>
    <row r="1">
      <c r="A1" s="1" t="inlineStr">
        <is>
          <t>민감도: 감정가액 평균 × 취득부대비용 인정 여부 → 1주당 순자산가치 / 25,000원 대비 차이율</t>
        </is>
      </c>
    </row>
    <row r="3">
      <c r="A3" s="2" t="inlineStr">
        <is>
          <t>감정가 평균 (억원)</t>
        </is>
      </c>
      <c r="B3" s="2" t="inlineStr">
        <is>
          <t>순자산 (억원)</t>
        </is>
      </c>
      <c r="C3" s="2" t="inlineStr">
        <is>
          <t>1주당 순자산가치 (원)</t>
        </is>
      </c>
      <c r="D3" s="2" t="inlineStr">
        <is>
          <t>25,000원 대비</t>
        </is>
      </c>
      <c r="E3" s="2" t="inlineStr">
        <is>
          <t>3종 주식수 (시가 일치 시)</t>
        </is>
      </c>
      <c r="F3" s="2" t="inlineStr">
        <is>
          <t>무의결권 비율 (시가 일치 시)</t>
        </is>
      </c>
    </row>
    <row r="4">
      <c r="A4" s="4" t="n">
        <v>300000</v>
      </c>
      <c r="B4" s="12">
        <f>(A4*1000000+Inputs!$C$8-Calc!$C$11)/100000000</f>
        <v/>
      </c>
      <c r="C4" s="6">
        <f>B4*100000000/Calc!$C$13</f>
        <v/>
      </c>
      <c r="D4" s="11">
        <f>Inputs!$C$19/C4-1</f>
        <v/>
      </c>
      <c r="E4" s="6">
        <f>ROUND(Inputs!$C$18/C4,0)</f>
        <v/>
      </c>
      <c r="F4" s="11">
        <f>(Inputs!$C$17+E4)/(Calc!$C$13+E4)</f>
        <v/>
      </c>
    </row>
    <row r="5">
      <c r="A5" s="4" t="n">
        <v>310000</v>
      </c>
      <c r="B5" s="12">
        <f>(A5*1000000+Inputs!$C$8-Calc!$C$11)/100000000</f>
        <v/>
      </c>
      <c r="C5" s="6">
        <f>B5*100000000/Calc!$C$13</f>
        <v/>
      </c>
      <c r="D5" s="11">
        <f>Inputs!$C$19/C5-1</f>
        <v/>
      </c>
      <c r="E5" s="6">
        <f>ROUND(Inputs!$C$18/C5,0)</f>
        <v/>
      </c>
      <c r="F5" s="11">
        <f>(Inputs!$C$17+E5)/(Calc!$C$13+E5)</f>
        <v/>
      </c>
    </row>
    <row r="6">
      <c r="A6" s="4" t="n">
        <v>320000</v>
      </c>
      <c r="B6" s="12">
        <f>(A6*1000000+Inputs!$C$8-Calc!$C$11)/100000000</f>
        <v/>
      </c>
      <c r="C6" s="6">
        <f>B6*100000000/Calc!$C$13</f>
        <v/>
      </c>
      <c r="D6" s="11">
        <f>Inputs!$C$19/C6-1</f>
        <v/>
      </c>
      <c r="E6" s="6">
        <f>ROUND(Inputs!$C$18/C6,0)</f>
        <v/>
      </c>
      <c r="F6" s="11">
        <f>(Inputs!$C$17+E6)/(Calc!$C$13+E6)</f>
        <v/>
      </c>
    </row>
    <row r="7">
      <c r="A7" s="4" t="n">
        <v>330000</v>
      </c>
      <c r="B7" s="12">
        <f>(A7*1000000+Inputs!$C$8-Calc!$C$11)/100000000</f>
        <v/>
      </c>
      <c r="C7" s="6">
        <f>B7*100000000/Calc!$C$13</f>
        <v/>
      </c>
      <c r="D7" s="11">
        <f>Inputs!$C$19/C7-1</f>
        <v/>
      </c>
      <c r="E7" s="6">
        <f>ROUND(Inputs!$C$18/C7,0)</f>
        <v/>
      </c>
      <c r="F7" s="11">
        <f>(Inputs!$C$17+E7)/(Calc!$C$13+E7)</f>
        <v/>
      </c>
    </row>
    <row r="8">
      <c r="A8" s="4" t="n">
        <v>334500</v>
      </c>
      <c r="B8" s="12">
        <f>(A8*1000000+Inputs!$C$8-Calc!$C$11)/100000000</f>
        <v/>
      </c>
      <c r="C8" s="6">
        <f>B8*100000000/Calc!$C$13</f>
        <v/>
      </c>
      <c r="D8" s="11">
        <f>Inputs!$C$19/C8-1</f>
        <v/>
      </c>
      <c r="E8" s="6">
        <f>ROUND(Inputs!$C$18/C8,0)</f>
        <v/>
      </c>
      <c r="F8" s="11">
        <f>(Inputs!$C$17+E8)/(Calc!$C$13+E8)</f>
        <v/>
      </c>
    </row>
    <row r="9">
      <c r="A9" s="4" t="n">
        <v>340000</v>
      </c>
      <c r="B9" s="12">
        <f>(A9*1000000+Inputs!$C$8-Calc!$C$11)/100000000</f>
        <v/>
      </c>
      <c r="C9" s="6">
        <f>B9*100000000/Calc!$C$13</f>
        <v/>
      </c>
      <c r="D9" s="11">
        <f>Inputs!$C$19/C9-1</f>
        <v/>
      </c>
      <c r="E9" s="6">
        <f>ROUND(Inputs!$C$18/C9,0)</f>
        <v/>
      </c>
      <c r="F9" s="11">
        <f>(Inputs!$C$17+E9)/(Calc!$C$13+E9)</f>
        <v/>
      </c>
    </row>
    <row r="10">
      <c r="A10" s="4" t="n">
        <v>350000</v>
      </c>
      <c r="B10" s="12">
        <f>(A10*1000000+Inputs!$C$8-Calc!$C$11)/100000000</f>
        <v/>
      </c>
      <c r="C10" s="6">
        <f>B10*100000000/Calc!$C$13</f>
        <v/>
      </c>
      <c r="D10" s="11">
        <f>Inputs!$C$19/C10-1</f>
        <v/>
      </c>
      <c r="E10" s="6">
        <f>ROUND(Inputs!$C$18/C10,0)</f>
        <v/>
      </c>
      <c r="F10" s="11">
        <f>(Inputs!$C$17+E10)/(Calc!$C$13+E10)</f>
        <v/>
      </c>
    </row>
    <row r="11">
      <c r="A11" s="4" t="n">
        <v>360000</v>
      </c>
      <c r="B11" s="12">
        <f>(A11*1000000+Inputs!$C$8-Calc!$C$11)/100000000</f>
        <v/>
      </c>
      <c r="C11" s="6">
        <f>B11*100000000/Calc!$C$13</f>
        <v/>
      </c>
      <c r="D11" s="11">
        <f>Inputs!$C$19/C11-1</f>
        <v/>
      </c>
      <c r="E11" s="6">
        <f>ROUND(Inputs!$C$18/C11,0)</f>
        <v/>
      </c>
      <c r="F11" s="11">
        <f>(Inputs!$C$17+E11)/(Calc!$C$13+E11)</f>
        <v/>
      </c>
    </row>
    <row r="13">
      <c r="A13" s="3" t="inlineStr">
        <is>
          <t>※ 감정가 평균이 낮아질수록 25,000원과의 괴리가 커지고, 시가 일치 발행 시 3종 주식수 증가로 무의결권 25% 한도에 접근함.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3" t="inlineStr">
        <is>
          <t># 산정 논리 및 근거</t>
        </is>
      </c>
    </row>
    <row r="2">
      <c r="A2" s="14" t="inlineStr">
        <is>
          <t>1. 평가방법: 상증세법 §63①1나 비상장주식 보충적 평가. 부동산 등 비율 80% 이상이고 사업개시 3년 미만이면 시행령 §54④에 따라 순손익가치 없이 1주당 순자산가치 100%. 최대주주 할증은 시행령 §53⑦에 따라 배제.</t>
        </is>
      </c>
    </row>
    <row r="3">
      <c r="A3" s="14" t="inlineStr">
        <is>
          <t>2. 순자산가액(시행령 §55): 자산은 §60~§66 시가 평가, 선급비용·이연자산 등은 자산에서 제외 → 취득세·수수료·금융비용(약 189억)은 순자산에 반영되지 않음.</t>
        </is>
      </c>
    </row>
    <row r="4">
      <c r="A4" s="14" t="inlineStr">
        <is>
          <t>3. 부동산 시가(시행령 §49): 평가기준일(3종 납입일) 전후 6개월 내 매매가액·감정가액. 기준시가 10억 초과 부동산은 2개 이상 감정기관 평균이어야 감정가액 인정. 둘 이상의 시가가 있으면 평가기준일에 가장 가까운 날의 가액 적용 → 감정 가격시점·작성일이 매매계약일(2026-10-02)보다 납입일(2026-10-31)에 가까워야 감정가가 우선.</t>
        </is>
      </c>
    </row>
    <row r="5">
      <c r="A5" s="14" t="inlineStr">
        <is>
          <t>4. 종류주식 구분 없음: 보충적 평가는 배당·의결권 차이를 반영하지 않고 전 주식에 단일 1주당 가치를 적용. 따라서 이 값은 3종 권리(무배당·2년 후 발행가액 감자)의 경제적 가치가 아니라 세법상 참고치임.</t>
        </is>
      </c>
    </row>
    <row r="6">
      <c r="A6" s="14" t="inlineStr">
        <is>
          <t>5. 상증세법 §39(증자 이익): 제3자 배정 고가 인수 시 기존 주주 이익. 비특수관계인 간에는 거래관행상 정당한 사유가 없는 경우에 한하고, 30%·3억 기준은 시행령 §29. 이익 귀속자 KLI는 법인이므로 증여세 아닌 법인세 영역, 비특수관계라 법인세법 §52 부당행위계산 미적용.</t>
        </is>
      </c>
    </row>
    <row r="7">
      <c r="A7" s="14" t="inlineStr">
        <is>
          <t>6. 공정거래법 부당지원(§45①9): 심사지침 안전지대는 정상가격 차이 7% 미만 및 거래총액 30억 미만을 모두 충족할 때. 3종 100억은 거래총액 요건 미충족 → 정상가격 산정 근거(감정가 기반 순자산가치, 독립 투자자 25,000원 거래사례)와 지원 의도 부재 자료로 대응.</t>
        </is>
      </c>
    </row>
    <row r="8">
      <c r="A8" s="14" t="inlineStr">
        <is>
          <t>7. 상법 §344조의3②: 무의결권·의결권제한 주식은 발행주식총수의 1/4 이내(비상장). 부투법 §30: 10% 이상 소유 주주는 주요주주.</t>
        </is>
      </c>
    </row>
    <row r="9">
      <c r="A9" s="14" t="inlineStr">
        <is>
          <t>8. 본 파일은 내부 검토용이며 세무법인·법무법인(BKL) 확인이 필요함. 수치는 협의 과정에서 변동될 수 있음. 감정가액 ②는 미접수 상태로 ①과 동일 가정.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2026-09-29T08:04:15Z</dcterms:created>
  <dcterms:modified xmlns:dcterms="http://purl.org/dc/terms/" xmlns:xsi="http://www.w3.org/2001/XMLSchema-instance" xsi:type="dcterms:W3CDTF">2026-09-29T08:04:15Z</dcterms:modified>
</cp:coreProperties>
</file>