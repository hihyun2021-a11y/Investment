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puts" sheetId="2" state="visible" r:id="rId2"/>
    <sheet xmlns:r="http://schemas.openxmlformats.org/officeDocument/2006/relationships" name="CF" sheetId="3" state="visible" r:id="rId3"/>
    <sheet xmlns:r="http://schemas.openxmlformats.org/officeDocument/2006/relationships" name="Sensitivity" sheetId="4" state="visible" r:id="rId4"/>
    <sheet xmlns:r="http://schemas.openxmlformats.org/officeDocument/2006/relationships" name="Model_Ref"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8">
    <numFmt numFmtId="164" formatCode="#,##0;(#,##0);&quot;-&quot;"/>
    <numFmt numFmtId="165" formatCode="#,##0&quot;원&quot;;(#,##0&quot;원&quot;);&quot;-&quot;"/>
    <numFmt numFmtId="166" formatCode="0.0%;(0.0%);&quot;-&quot;"/>
    <numFmt numFmtId="167" formatCode="0.00%;(0.00%);&quot;-&quot;"/>
    <numFmt numFmtId="168" formatCode="yyyy-mm-dd"/>
    <numFmt numFmtId="169" formatCode="0.0"/>
    <numFmt numFmtId="170" formatCode="0.0000"/>
    <numFmt numFmtId="171" formatCode="0.00&quot;x&quot;"/>
  </numFmts>
  <fonts count="8">
    <font>
      <name val="Calibri"/>
      <family val="2"/>
      <color theme="1"/>
      <sz val="11"/>
      <scheme val="minor"/>
    </font>
    <font>
      <name val="Arial"/>
      <b val="1"/>
      <sz val="13"/>
    </font>
    <font>
      <name val="Arial"/>
      <i val="1"/>
      <color rgb="00595959"/>
      <sz val="9"/>
    </font>
    <font>
      <name val="Arial"/>
      <b val="1"/>
      <color rgb="00FFFFFF"/>
      <sz val="10"/>
    </font>
    <font>
      <name val="Arial"/>
      <sz val="10"/>
    </font>
    <font>
      <name val="Arial"/>
      <color rgb="000000FF"/>
      <sz val="10"/>
    </font>
    <font>
      <name val="Arial"/>
      <b val="1"/>
      <sz val="10"/>
    </font>
    <font>
      <name val="Arial"/>
      <color rgb="00008000"/>
      <sz val="10"/>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F0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6" fillId="0" borderId="1" pivotButton="0" quotePrefix="0" xfId="0"/>
    <xf numFmtId="164" fontId="7" fillId="0" borderId="1" pivotButton="0" quotePrefix="0" xfId="0"/>
    <xf numFmtId="165" fontId="4" fillId="0" borderId="1" pivotButton="0" quotePrefix="0" xfId="0"/>
    <xf numFmtId="166" fontId="4" fillId="0" borderId="1" pivotButton="0" quotePrefix="0" xfId="0"/>
    <xf numFmtId="167" fontId="4" fillId="0" borderId="1" pivotButton="0" quotePrefix="0" xfId="0"/>
    <xf numFmtId="0" fontId="2" fillId="0" borderId="1" pivotButton="0" quotePrefix="0" xfId="0"/>
    <xf numFmtId="0" fontId="4" fillId="0" borderId="1" pivotButton="0" quotePrefix="0" xfId="0"/>
    <xf numFmtId="167" fontId="7" fillId="0" borderId="1" pivotButton="0" quotePrefix="0" xfId="0"/>
    <xf numFmtId="0" fontId="6" fillId="5" borderId="1" pivotButton="0" quotePrefix="0" xfId="0"/>
    <xf numFmtId="164" fontId="7" fillId="5" borderId="1" pivotButton="0" quotePrefix="0" xfId="0"/>
    <xf numFmtId="165" fontId="4" fillId="5" borderId="1" pivotButton="0" quotePrefix="0" xfId="0"/>
    <xf numFmtId="166" fontId="4" fillId="5" borderId="1" pivotButton="0" quotePrefix="0" xfId="0"/>
    <xf numFmtId="164" fontId="4" fillId="0" borderId="1" pivotButton="0" quotePrefix="0" xfId="0"/>
    <xf numFmtId="164" fontId="6" fillId="5" borderId="1" pivotButton="0" quotePrefix="0" xfId="0"/>
    <xf numFmtId="166" fontId="6" fillId="5" borderId="1" pivotButton="0" quotePrefix="0" xfId="0"/>
    <xf numFmtId="171" fontId="7" fillId="0" borderId="1" pivotButton="0" quotePrefix="0" xfId="0"/>
    <xf numFmtId="0" fontId="4" fillId="0" borderId="1" applyAlignment="1" pivotButton="0" quotePrefix="0" xfId="0">
      <alignment horizontal="center" vertical="center" wrapText="1"/>
    </xf>
    <xf numFmtId="166" fontId="7" fillId="0" borderId="1" pivotButton="0" quotePrefix="0" xfId="0"/>
    <xf numFmtId="165" fontId="7" fillId="0" borderId="1" pivotButton="0" quotePrefix="0" xfId="0"/>
    <xf numFmtId="164" fontId="5" fillId="0" borderId="1" applyAlignment="1" pivotButton="0" quotePrefix="0" xfId="0">
      <alignment horizontal="right" vertical="center" wrapText="1"/>
    </xf>
    <xf numFmtId="165" fontId="5" fillId="0" borderId="1" applyAlignment="1" pivotButton="0" quotePrefix="0" xfId="0">
      <alignment horizontal="right" vertical="center" wrapText="1"/>
    </xf>
    <xf numFmtId="164" fontId="4" fillId="0" borderId="1" applyAlignment="1" pivotButton="0" quotePrefix="0" xfId="0">
      <alignment horizontal="right" vertical="center" wrapText="1"/>
    </xf>
    <xf numFmtId="168" fontId="5" fillId="0" borderId="1" applyAlignment="1" pivotButton="0" quotePrefix="0" xfId="0">
      <alignment horizontal="right" vertical="center" wrapText="1"/>
    </xf>
    <xf numFmtId="0" fontId="4" fillId="3" borderId="1" pivotButton="0" quotePrefix="0" xfId="0"/>
    <xf numFmtId="164" fontId="5" fillId="4" borderId="1" applyAlignment="1" pivotButton="0" quotePrefix="0" xfId="0">
      <alignment horizontal="right" vertical="center" wrapText="1"/>
    </xf>
    <xf numFmtId="166" fontId="5" fillId="4" borderId="1" applyAlignment="1" pivotButton="0" quotePrefix="0" xfId="0">
      <alignment horizontal="right" vertical="center" wrapText="1"/>
    </xf>
    <xf numFmtId="166" fontId="4" fillId="0" borderId="1" applyAlignment="1" pivotButton="0" quotePrefix="0" xfId="0">
      <alignment horizontal="right" vertical="center" wrapText="1"/>
    </xf>
    <xf numFmtId="167" fontId="5" fillId="0" borderId="1" applyAlignment="1" pivotButton="0" quotePrefix="0" xfId="0">
      <alignment horizontal="right" vertical="center" wrapText="1"/>
    </xf>
    <xf numFmtId="166" fontId="5" fillId="0" borderId="1" applyAlignment="1" pivotButton="0" quotePrefix="0" xfId="0">
      <alignment horizontal="right" vertical="center" wrapText="1"/>
    </xf>
    <xf numFmtId="165" fontId="4" fillId="0" borderId="1" applyAlignment="1" pivotButton="0" quotePrefix="0" xfId="0">
      <alignment horizontal="right" vertical="center" wrapText="1"/>
    </xf>
    <xf numFmtId="0" fontId="6" fillId="3" borderId="1" pivotButton="0" quotePrefix="0" xfId="0"/>
    <xf numFmtId="164" fontId="4" fillId="5" borderId="1" pivotButton="0" quotePrefix="0" xfId="0"/>
    <xf numFmtId="169" fontId="7" fillId="0" borderId="1" pivotButton="0" quotePrefix="0" xfId="0"/>
    <xf numFmtId="170" fontId="4" fillId="0" borderId="1" pivotButton="0" quotePrefix="0" xfId="0"/>
    <xf numFmtId="164" fontId="6" fillId="3" borderId="1" pivotButton="0" quotePrefix="0" xfId="0"/>
    <xf numFmtId="164" fontId="6" fillId="0" borderId="1" pivotButton="0" quotePrefix="0" xfId="0"/>
    <xf numFmtId="167" fontId="6" fillId="5" borderId="1" pivotButton="0" quotePrefix="0" xfId="0"/>
    <xf numFmtId="171" fontId="6" fillId="0" borderId="1" pivotButton="0" quotePrefix="0" xfId="0"/>
    <xf numFmtId="166" fontId="5" fillId="3" borderId="1" pivotButton="0" quotePrefix="0" xfId="0"/>
    <xf numFmtId="166" fontId="5" fillId="0" borderId="1" pivotButton="0" quotePrefix="0" xfId="0"/>
    <xf numFmtId="0" fontId="5" fillId="0" borderId="1" pivotButton="0" quotePrefix="0" xfId="0"/>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50" customWidth="1" min="6" max="6"/>
  </cols>
  <sheetData>
    <row r="1">
      <c r="A1" s="1" t="inlineStr">
        <is>
          <t>3종 종류주식 조건변경안 — 개략 주식가치평가 (Summary)</t>
        </is>
      </c>
    </row>
    <row r="2">
      <c r="A2" s="2" t="inlineStr">
        <is>
          <t>프로젝트 ANYANG-LOGIS · 작성 2026-09-18 · finance-ir 내부 검토용 개략 산정 (외부 회계법인 평가 대체 불가). 단위: 백만원 / 주당 원</t>
        </is>
      </c>
    </row>
    <row r="4">
      <c r="A4" s="3" t="inlineStr">
        <is>
          <t>A. 평가 결과</t>
        </is>
      </c>
      <c r="B4" s="3" t="inlineStr">
        <is>
          <t>가치 (백만원)</t>
        </is>
      </c>
      <c r="C4" s="3" t="inlineStr">
        <is>
          <t>주당 (원)</t>
        </is>
      </c>
      <c r="D4" s="3" t="inlineStr">
        <is>
          <t>발행가 대비</t>
        </is>
      </c>
      <c r="E4" s="3" t="inlineStr">
        <is>
          <t>IRR (연)</t>
        </is>
      </c>
      <c r="F4" s="3" t="inlineStr">
        <is>
          <t>비고</t>
        </is>
      </c>
    </row>
    <row r="5">
      <c r="A5" s="4" t="inlineStr">
        <is>
          <t>기존 조건: 무배당·무의결권, 24개월 후 원금 감자</t>
        </is>
      </c>
      <c r="B5" s="5">
        <f>Inputs!B4/(1+Inputs!B21)^(Inputs!B11/12)</f>
        <v/>
      </c>
      <c r="C5" s="6">
        <f>B5*1000000/Inputs!$B$7</f>
        <v/>
      </c>
      <c r="D5" s="7">
        <f>C5/Inputs!$B$5</f>
        <v/>
      </c>
      <c r="E5" s="8">
        <f>(Inputs!B4/Inputs!B4)^(1/(Inputs!B11/12))-1</f>
        <v/>
      </c>
      <c r="F5" s="9" t="inlineStr">
        <is>
          <t>기준 재무모델 A&amp;R L43 조건. 2년 무이표 할인 = 정상가격 &lt; 발행가</t>
        </is>
      </c>
    </row>
    <row r="6">
      <c r="A6" s="10" t="inlineStr">
        <is>
          <t>변경안 시나리오 A: 24개월 내 감자 (기존과 동일)</t>
        </is>
      </c>
      <c r="B6" s="5">
        <f>CF!I28</f>
        <v/>
      </c>
      <c r="C6" s="6">
        <f>B6*1000000/Inputs!$B$7</f>
        <v/>
      </c>
      <c r="D6" s="7">
        <f>C6/Inputs!$B$5</f>
        <v/>
      </c>
      <c r="E6" s="11">
        <f>CF!E30</f>
        <v/>
      </c>
      <c r="F6" s="9" t="inlineStr">
        <is>
          <t>확률 Inputs!B17</t>
        </is>
      </c>
    </row>
    <row r="7">
      <c r="A7" s="10" t="inlineStr">
        <is>
          <t>변경안 시나리오 B: 25~48개월 8% 배당 → 감자</t>
        </is>
      </c>
      <c r="B7" s="5">
        <f>CF!J28</f>
        <v/>
      </c>
      <c r="C7" s="6">
        <f>B7*1000000/Inputs!$B$7</f>
        <v/>
      </c>
      <c r="D7" s="7">
        <f>C7/Inputs!$B$5</f>
        <v/>
      </c>
      <c r="E7" s="11">
        <f>CF!F30</f>
        <v/>
      </c>
      <c r="F7" s="9" t="inlineStr">
        <is>
          <t>확률 Inputs!B18. 배당률 = 할인율이면 FY4 시점 가치 ≒ 원금 → A와 유사</t>
        </is>
      </c>
    </row>
    <row r="8">
      <c r="A8" s="10" t="inlineStr">
        <is>
          <t>변경안 시나리오 C: 48개월 후 보통주 전환 (선택 기준)</t>
        </is>
      </c>
      <c r="B8" s="5">
        <f>CF!K28</f>
        <v/>
      </c>
      <c r="C8" s="6">
        <f>B8*1000000/Inputs!$B$7</f>
        <v/>
      </c>
      <c r="D8" s="7">
        <f>C8/Inputs!$B$5</f>
        <v/>
      </c>
      <c r="E8" s="11">
        <f>CF!G30</f>
        <v/>
      </c>
      <c r="F8" s="9" t="inlineStr">
        <is>
          <t>확률 Inputs!B19. 전환비율 기준(Inputs!B33)에 따라 가치가 크게 달라짐 — 아래 B표</t>
        </is>
      </c>
    </row>
    <row r="9">
      <c r="A9" s="12" t="inlineStr">
        <is>
          <t>변경안 확률가중 기대가치</t>
        </is>
      </c>
      <c r="B9" s="13">
        <f>CF!L28</f>
        <v/>
      </c>
      <c r="C9" s="14">
        <f>B9*1000000/Inputs!$B$7</f>
        <v/>
      </c>
      <c r="D9" s="15">
        <f>C9/Inputs!$B$5</f>
        <v/>
      </c>
      <c r="E9" s="11">
        <f>CF!H30</f>
        <v/>
      </c>
      <c r="F9" s="9" t="inlineStr">
        <is>
          <t>= A·B·C 확률가중</t>
        </is>
      </c>
    </row>
    <row r="10">
      <c r="A10" s="4" t="inlineStr">
        <is>
          <t>발행가 대비 기대가치 차이 (LF 고가 인수분)</t>
        </is>
      </c>
      <c r="B10" s="16">
        <f>B9-Inputs!B4</f>
        <v/>
      </c>
      <c r="C10" s="6">
        <f>C9-Inputs!B5</f>
        <v/>
      </c>
      <c r="D10" s="7">
        <f>D9-1</f>
        <v/>
      </c>
      <c r="F10" s="9" t="inlineStr">
        <is>
          <t>음수 = 발행가가 정상가격(기대가치)보다 높음 → 공정거래법상 '지원행위' 요건(고가 인수) 방향</t>
        </is>
      </c>
    </row>
    <row r="12">
      <c r="A12" s="3" t="inlineStr">
        <is>
          <t>B. 시나리오 C 전환비율 기준별 비교</t>
        </is>
      </c>
      <c r="B12" s="3" t="inlineStr">
        <is>
          <t>① 발행가액 기준</t>
        </is>
      </c>
      <c r="C12" s="3" t="inlineStr">
        <is>
          <t>② 1:1</t>
        </is>
      </c>
      <c r="D12" s="3" t="inlineStr">
        <is>
          <t>③ FY8 공정가치 기준</t>
        </is>
      </c>
      <c r="E12" s="3" t="inlineStr"/>
      <c r="F12" s="3" t="inlineStr">
        <is>
          <t>비고</t>
        </is>
      </c>
    </row>
    <row r="13">
      <c r="A13" s="10" t="inlineStr">
        <is>
          <t>전환주식수 (주)</t>
        </is>
      </c>
      <c r="B13" s="5">
        <f>Inputs!B40</f>
        <v/>
      </c>
      <c r="C13" s="5">
        <f>Inputs!B41</f>
        <v/>
      </c>
      <c r="D13" s="5">
        <f>Inputs!B43</f>
        <v/>
      </c>
      <c r="F13" s="9" t="inlineStr">
        <is>
          <t>③은 FY8 시점 보통주 공정가치(Inputs!B42)로 3종 원금을 전환</t>
        </is>
      </c>
    </row>
    <row r="14">
      <c r="A14" s="10" t="inlineStr">
        <is>
          <t>전환 후 LF 보통주 지분율</t>
        </is>
      </c>
      <c r="B14" s="7">
        <f>Inputs!$B$40/(Inputs!$B$25+Inputs!$B$40)</f>
        <v/>
      </c>
      <c r="C14" s="7">
        <f>Inputs!$B$41/(Inputs!$B$25+Inputs!$B$41)</f>
        <v/>
      </c>
      <c r="D14" s="7">
        <f>Inputs!$B$43/(Inputs!$B$25+Inputs!$B$43)</f>
        <v/>
      </c>
    </row>
    <row r="15">
      <c r="A15" s="10" t="inlineStr">
        <is>
          <t>시나리오 C 가치 (백만원)</t>
        </is>
      </c>
      <c r="B15" s="16">
        <f>(Inputs!$B$40/(Inputs!$B$25+Inputs!$B$40))*Inputs!$B$47/(1+Inputs!$B$21)^10</f>
        <v/>
      </c>
      <c r="C15" s="16">
        <f>(Inputs!$B$41/(Inputs!$B$25+Inputs!$B$41))*Inputs!$B$47/(1+Inputs!$B$21)^10</f>
        <v/>
      </c>
      <c r="D15" s="16">
        <f>(Inputs!$B$43/(Inputs!$B$25+Inputs!$B$43))*Inputs!$B$47/(1+Inputs!$B$21)^10</f>
        <v/>
      </c>
    </row>
    <row r="16">
      <c r="A16" s="10" t="inlineStr">
        <is>
          <t>시나리오 C 발행가 대비</t>
        </is>
      </c>
      <c r="B16" s="7">
        <f>B15/Inputs!$B$4</f>
        <v/>
      </c>
      <c r="C16" s="7">
        <f>C15/Inputs!$B$4</f>
        <v/>
      </c>
      <c r="D16" s="7">
        <f>D15/Inputs!$B$4</f>
        <v/>
      </c>
    </row>
    <row r="17">
      <c r="A17" s="12" t="inlineStr">
        <is>
          <t>확률가중 기대가치 (백만원)</t>
        </is>
      </c>
      <c r="B17" s="17">
        <f>Inputs!$B$17*CF!$I$28+Inputs!$B$18*CF!$J$28+Inputs!$B$19*B15</f>
        <v/>
      </c>
      <c r="C17" s="17">
        <f>Inputs!$B$17*CF!$I$28+Inputs!$B$18*CF!$J$28+Inputs!$B$19*C15</f>
        <v/>
      </c>
      <c r="D17" s="17">
        <f>Inputs!$B$17*CF!$I$28+Inputs!$B$18*CF!$J$28+Inputs!$B$19*D15</f>
        <v/>
      </c>
    </row>
    <row r="18">
      <c r="A18" s="12" t="inlineStr">
        <is>
          <t>확률가중 기대가치 발행가 대비</t>
        </is>
      </c>
      <c r="B18" s="18">
        <f>B17/Inputs!$B$4</f>
        <v/>
      </c>
      <c r="C18" s="18">
        <f>C17/Inputs!$B$4</f>
        <v/>
      </c>
      <c r="D18" s="18">
        <f>D17/Inputs!$B$4</f>
        <v/>
      </c>
    </row>
    <row r="19">
      <c r="A19" s="10" t="inlineStr">
        <is>
          <t>KLI 보통주 IRR (시나리오 C 발생 시)</t>
        </is>
      </c>
      <c r="B19" s="11">
        <f>CF!O30</f>
        <v/>
      </c>
      <c r="C19" s="11">
        <f>CF!P30</f>
        <v/>
      </c>
      <c r="D19" s="11">
        <f>CF!Q30</f>
        <v/>
      </c>
      <c r="E19" s="11">
        <f>CF!N30</f>
        <v/>
      </c>
      <c r="F19" s="9" t="inlineStr">
        <is>
          <t>E열 = 기준(감자 정상 시) KLI IRR 16.44%. ①은 KLI 희석 최대, ②는 LF 손실 최대, ③이 중립</t>
        </is>
      </c>
    </row>
    <row r="20">
      <c r="A20" s="10" t="inlineStr">
        <is>
          <t>KLI 보통주 E.Multiple (시나리오 C 발생 시)</t>
        </is>
      </c>
      <c r="B20" s="19">
        <f>CF!O31</f>
        <v/>
      </c>
      <c r="C20" s="19">
        <f>CF!P31</f>
        <v/>
      </c>
      <c r="D20" s="19">
        <f>CF!Q31</f>
        <v/>
      </c>
      <c r="E20" s="19">
        <f>CF!N31</f>
        <v/>
      </c>
    </row>
    <row r="22">
      <c r="A22" s="3" t="inlineStr">
        <is>
          <t>C. 정상가격(=발행가) 정합을 위한 조건 (참고)</t>
        </is>
      </c>
      <c r="B22" s="3" t="inlineStr">
        <is>
          <t>값</t>
        </is>
      </c>
      <c r="C22" s="3" t="inlineStr"/>
      <c r="D22" s="3" t="inlineStr"/>
      <c r="E22" s="3" t="inlineStr"/>
      <c r="F22" s="3" t="inlineStr">
        <is>
          <t>비고</t>
        </is>
      </c>
    </row>
    <row r="23">
      <c r="A23" s="10" t="inlineStr">
        <is>
          <t>시나리오 A에서 기대가치 = 발행가가 되는 감자 프리미엄 (24개월)</t>
        </is>
      </c>
      <c r="B23" s="8">
        <f>(1+Inputs!B21)^(Inputs!B11/12)-1</f>
        <v/>
      </c>
      <c r="F23" s="9" t="inlineStr">
        <is>
          <t>= (1+할인율)^2 − 1. 감자대가를 원금×(1+프리미엄)으로 하면 2년 무배당이어도 정상가격 정합 (세법상 시가와 별도 검토 필요)</t>
        </is>
      </c>
    </row>
    <row r="24">
      <c r="A24" s="10" t="inlineStr">
        <is>
          <t>동일 효과의 초기부터 누적확정배당률 (연, 감자 시 일괄 지급)</t>
        </is>
      </c>
      <c r="B24" s="8">
        <f>B23/(Inputs!B11/12)</f>
        <v/>
      </c>
      <c r="F24" s="9" t="inlineStr">
        <is>
          <t>= 프리미엄 ÷ 2년 (단리 환산). 3순위 누적배당으로 설계 시 1·2종 배당 순위와 충돌 없음</t>
        </is>
      </c>
    </row>
    <row r="25">
      <c r="A25" s="10" t="inlineStr">
        <is>
          <t>변경안 기대가치의 발행가 미달분을 메우는 데 필요한 FY4 일시금</t>
        </is>
      </c>
      <c r="B25" s="16">
        <f>-B10*(1+Inputs!B21)^(Inputs!B11/12)</f>
        <v/>
      </c>
      <c r="F25" s="9" t="inlineStr">
        <is>
          <t>= 미달분 × (1+r)^2. 감자 시 일괄 지급 시 필요 프리미엄 금액(백만원)</t>
        </is>
      </c>
    </row>
    <row r="27">
      <c r="A27" s="3" t="inlineStr">
        <is>
          <t>D. 리츠·KLI 측 영향</t>
        </is>
      </c>
      <c r="B27" s="3" t="inlineStr">
        <is>
          <t>값</t>
        </is>
      </c>
      <c r="C27" s="3" t="inlineStr">
        <is>
          <t>단위</t>
        </is>
      </c>
      <c r="D27" s="3" t="inlineStr"/>
      <c r="E27" s="3" t="inlineStr"/>
      <c r="F27" s="3" t="inlineStr">
        <is>
          <t>비고</t>
        </is>
      </c>
    </row>
    <row r="28">
      <c r="A28" s="10" t="inlineStr">
        <is>
          <t>시나리오 B 추가 배당 부담 (3순위, 총액)</t>
        </is>
      </c>
      <c r="B28" s="16">
        <f>Inputs!B4*Inputs!B12*Inputs!B13/12</f>
        <v/>
      </c>
      <c r="C28" s="20" t="inlineStr">
        <is>
          <t>백만원</t>
        </is>
      </c>
      <c r="F28" s="9" t="inlineStr">
        <is>
          <t>= 10,000 × 8% × 2년. 1종(7.0%)·2종(7.5%) 배당 후 3순위. 기준 모델상 보통주 운영배당이 FY3부터 0이므로 실질 재원은 여유현금·감가상각 초과배당</t>
        </is>
      </c>
    </row>
    <row r="29">
      <c r="A29" s="10" t="inlineStr">
        <is>
          <t>시나리오 B 반기 배당액</t>
        </is>
      </c>
      <c r="B29" s="16">
        <f>Inputs!B4*Inputs!B12/Inputs!B15</f>
        <v/>
      </c>
      <c r="C29" s="20" t="inlineStr">
        <is>
          <t>백만원</t>
        </is>
      </c>
    </row>
    <row r="30">
      <c r="A30" s="10" t="inlineStr">
        <is>
          <t>시나리오 C KLI 보통주 지분율 (선택 기준)</t>
        </is>
      </c>
      <c r="B30" s="21">
        <f>Inputs!B46</f>
        <v/>
      </c>
      <c r="F30" s="9" t="inlineStr">
        <is>
          <t>의결권 비율에도 영향 (보통주 의결권 60.2% → 희석). 정관·주주간계약 반영 필요</t>
        </is>
      </c>
    </row>
    <row r="31">
      <c r="A31" s="10" t="inlineStr">
        <is>
          <t>시나리오 C KLI FY20 회수액 감소 (기준 대비)</t>
        </is>
      </c>
      <c r="B31" s="16">
        <f>(Inputs!B30+Inputs!B26)-Inputs!B46*Inputs!B47</f>
        <v/>
      </c>
      <c r="C31" s="20" t="inlineStr">
        <is>
          <t>백만원</t>
        </is>
      </c>
      <c r="F31" s="9" t="inlineStr">
        <is>
          <t>= 기준 63,260 − KLI 지분율 × 73,260</t>
        </is>
      </c>
    </row>
    <row r="33">
      <c r="A33" s="3" t="inlineStr">
        <is>
          <t>E. 상증세법 참고치</t>
        </is>
      </c>
      <c r="B33" s="3" t="inlineStr">
        <is>
          <t>값</t>
        </is>
      </c>
      <c r="C33" s="3" t="inlineStr">
        <is>
          <t>단위</t>
        </is>
      </c>
      <c r="D33" s="3" t="inlineStr"/>
      <c r="E33" s="3" t="inlineStr"/>
      <c r="F33" s="3" t="inlineStr">
        <is>
          <t>비고</t>
        </is>
      </c>
    </row>
    <row r="34">
      <c r="A34" s="10" t="inlineStr">
        <is>
          <t>혼합 순자산가치 (주당, 3년 미만 법인 → 순자산가치만)</t>
        </is>
      </c>
      <c r="B34" s="22">
        <f>Inputs!B37</f>
        <v/>
      </c>
      <c r="C34" s="20" t="inlineStr">
        <is>
          <t>원</t>
        </is>
      </c>
      <c r="F34" s="9" t="inlineStr">
        <is>
          <t>상증세법 시행령 §54④ (사업개시 3년 미만 → 순자산가치). 보통주 5천원·우선주 25천원 혼합이라 종류주식 평가에 그대로 쓰면 왜곡. 회계법인은 종류주식별(청산우선순위 반영) 평가 필요</t>
        </is>
      </c>
    </row>
    <row r="35">
      <c r="A35" s="10" t="inlineStr">
        <is>
          <t>3종 청산우선 기준 주당 청구액</t>
        </is>
      </c>
      <c r="B35" s="6">
        <f>Inputs!B4*1000000/Inputs!B7</f>
        <v/>
      </c>
      <c r="C35" s="20" t="inlineStr">
        <is>
          <t>원</t>
        </is>
      </c>
      <c r="F35" s="9" t="inlineStr">
        <is>
          <t>= 원금 ÷ 주식수 = 발행가. 시간가치 미반영 명목 청구액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3" topLeftCell="A4" activePane="bottomLeft" state="frozen"/>
      <selection pane="bottomLeft" activeCell="A1" sqref="A1"/>
    </sheetView>
  </sheetViews>
  <sheetFormatPr baseColWidth="8" defaultRowHeight="15"/>
  <cols>
    <col width="44" customWidth="1" min="1" max="1"/>
    <col width="16" customWidth="1" min="2" max="2"/>
    <col width="10" customWidth="1" min="3" max="3"/>
    <col width="62" customWidth="1" min="4" max="4"/>
  </cols>
  <sheetData>
    <row r="1">
      <c r="A1" s="1" t="inlineStr">
        <is>
          <t>3종 종류주식 조건변경안 — 평가 입력값</t>
        </is>
      </c>
    </row>
    <row r="2">
      <c r="A2" s="2" t="inlineStr">
        <is>
          <t>파란 글자 = 입력값(수정 가능) · 검정 = 수식 · 노란 바탕 = 핵심 가정. 금액 단위 백만원, 주당 단위 원. 출처 셀 주소는 기준 재무모델 v02(인가ver) 기준</t>
        </is>
      </c>
    </row>
    <row r="3">
      <c r="A3" s="3" t="inlineStr">
        <is>
          <t>항목</t>
        </is>
      </c>
      <c r="B3" s="3" t="inlineStr">
        <is>
          <t>값</t>
        </is>
      </c>
      <c r="C3" s="3" t="inlineStr">
        <is>
          <t>단위</t>
        </is>
      </c>
      <c r="D3" s="3" t="inlineStr">
        <is>
          <t>출처 / 비고</t>
        </is>
      </c>
    </row>
    <row r="4">
      <c r="A4" s="10" t="inlineStr">
        <is>
          <t>3종 종류주식 발행금액</t>
        </is>
      </c>
      <c r="B4" s="23" t="n">
        <v>10000</v>
      </c>
      <c r="C4" s="20" t="inlineStr">
        <is>
          <t>백만원</t>
        </is>
      </c>
      <c r="D4" s="9" t="inlineStr">
        <is>
          <t>04_Equity투자자/models/20260915_재무모델_Financial_Modeling_인가ver_v02.xlsm A&amp;R Q43 / IM Q61</t>
        </is>
      </c>
    </row>
    <row r="5">
      <c r="A5" s="10" t="inlineStr">
        <is>
          <t>발행가액 (주당)</t>
        </is>
      </c>
      <c r="B5" s="24" t="n">
        <v>25000</v>
      </c>
      <c r="C5" s="20" t="inlineStr">
        <is>
          <t>원</t>
        </is>
      </c>
      <c r="D5" s="9" t="inlineStr">
        <is>
          <t>A&amp;R P93 (25천원)</t>
        </is>
      </c>
    </row>
    <row r="6">
      <c r="A6" s="10" t="inlineStr">
        <is>
          <t>액면가 (주당)</t>
        </is>
      </c>
      <c r="B6" s="24" t="n">
        <v>1000</v>
      </c>
      <c r="C6" s="20" t="inlineStr">
        <is>
          <t>원</t>
        </is>
      </c>
      <c r="D6" s="9" t="inlineStr">
        <is>
          <t>A&amp;R Q93 (1천원)</t>
        </is>
      </c>
    </row>
    <row r="7">
      <c r="A7" s="10" t="inlineStr">
        <is>
          <t>발행주식수</t>
        </is>
      </c>
      <c r="B7" s="25">
        <f>B4*1000000/B5</f>
        <v/>
      </c>
      <c r="C7" s="20" t="inlineStr">
        <is>
          <t>주</t>
        </is>
      </c>
      <c r="D7" s="9" t="inlineStr">
        <is>
          <t>= 발행금액 ÷ 발행가액 (A&amp;R R93 = 400,000주)</t>
        </is>
      </c>
    </row>
    <row r="8">
      <c r="A8" s="10" t="inlineStr">
        <is>
          <t>주금납입일 (FY0)</t>
        </is>
      </c>
      <c r="B8" s="26" t="n">
        <v>46326</v>
      </c>
      <c r="C8" s="20" t="inlineStr"/>
      <c r="D8" s="9" t="inlineStr">
        <is>
          <t>A&amp;R M43 (리츠 운용 개시일)</t>
        </is>
      </c>
    </row>
    <row r="9">
      <c r="A9" s="10" t="inlineStr">
        <is>
          <t>기존 조건 감자 예정일</t>
        </is>
      </c>
      <c r="B9" s="26" t="n">
        <v>47057</v>
      </c>
      <c r="C9" s="20" t="inlineStr"/>
      <c r="D9" s="9" t="inlineStr">
        <is>
          <t>A&amp;R N43 (조달기간 24개월, 확정배당 0%, C.G 0%)</t>
        </is>
      </c>
    </row>
    <row r="11">
      <c r="A11" s="27" t="inlineStr">
        <is>
          <t>[변경안] ① 무배당·무의결권 기간</t>
        </is>
      </c>
      <c r="B11" s="28" t="n">
        <v>24</v>
      </c>
      <c r="C11" s="20" t="inlineStr">
        <is>
          <t>개월</t>
        </is>
      </c>
      <c r="D11" s="9" t="inlineStr">
        <is>
          <t>사용자 제시 조건</t>
        </is>
      </c>
    </row>
    <row r="12">
      <c r="A12" s="27" t="inlineStr">
        <is>
          <t>[변경안] ② 감자 미완료 시 3순위 확정배당률 (연)</t>
        </is>
      </c>
      <c r="B12" s="29" t="n">
        <v>0.08</v>
      </c>
      <c r="C12" s="20" t="inlineStr"/>
      <c r="D12" s="9" t="inlineStr">
        <is>
          <t>사용자 제시 조건 (25~48개월)</t>
        </is>
      </c>
    </row>
    <row r="13">
      <c r="A13" s="27" t="inlineStr">
        <is>
          <t>[변경안] ② 확정배당 지급 기간</t>
        </is>
      </c>
      <c r="B13" s="28" t="n">
        <v>24</v>
      </c>
      <c r="C13" s="20" t="inlineStr">
        <is>
          <t>개월</t>
        </is>
      </c>
      <c r="D13" s="9" t="inlineStr">
        <is>
          <t>사용자 제시 조건</t>
        </is>
      </c>
    </row>
    <row r="14">
      <c r="A14" s="27" t="inlineStr">
        <is>
          <t>[변경안] ③ 보통주 전환 시점</t>
        </is>
      </c>
      <c r="B14" s="28" t="n">
        <v>48</v>
      </c>
      <c r="C14" s="20" t="inlineStr">
        <is>
          <t>개월</t>
        </is>
      </c>
      <c r="D14" s="9" t="inlineStr">
        <is>
          <t>사용자 제시 조건 (48개월까지 감자 미완료 시)</t>
        </is>
      </c>
    </row>
    <row r="15">
      <c r="A15" s="10" t="inlineStr">
        <is>
          <t>배당 지급 횟수 (연)</t>
        </is>
      </c>
      <c r="B15" s="23" t="n">
        <v>2</v>
      </c>
      <c r="C15" s="20" t="inlineStr">
        <is>
          <t>회</t>
        </is>
      </c>
      <c r="D15" s="9" t="inlineStr">
        <is>
          <t>리츠 반기 배당 (IM Q8 '매 6개월 단위'), FY = 반기</t>
        </is>
      </c>
    </row>
    <row r="17">
      <c r="A17" s="27" t="inlineStr">
        <is>
          <t>시나리오 A 확률 — 24개월 내 감자 완료 (기존 계획)</t>
        </is>
      </c>
      <c r="B17" s="29" t="n">
        <v>0.7</v>
      </c>
      <c r="C17" s="20" t="inlineStr"/>
      <c r="D17" s="9" t="inlineStr">
        <is>
          <t>[가정] 24개월 리파이(선순위 2,130억, A&amp;R P33) 정상 실행 전제. 민감도 시트 참조</t>
        </is>
      </c>
    </row>
    <row r="18">
      <c r="A18" s="27" t="inlineStr">
        <is>
          <t>시나리오 B 확률 — 25~48개월 내 감자 (8% 배당 후 감자)</t>
        </is>
      </c>
      <c r="B18" s="29" t="n">
        <v>0.2</v>
      </c>
      <c r="C18" s="20" t="inlineStr"/>
      <c r="D18" s="9" t="inlineStr">
        <is>
          <t>[가정] 감자 시점은 보수적으로 48개월(FY8) 말 가정</t>
        </is>
      </c>
    </row>
    <row r="19">
      <c r="A19" s="10" t="inlineStr">
        <is>
          <t>시나리오 C 확률 — 48개월 후 보통주 전환</t>
        </is>
      </c>
      <c r="B19" s="30">
        <f>1-B17-B18</f>
        <v/>
      </c>
      <c r="C19" s="20" t="inlineStr"/>
      <c r="D19" s="9" t="inlineStr">
        <is>
          <t>= 1 − A − B</t>
        </is>
      </c>
    </row>
    <row r="21">
      <c r="A21" s="27" t="inlineStr">
        <is>
          <t>할인율 — 3종 요구수익률 (연)</t>
        </is>
      </c>
      <c r="B21" s="29" t="n">
        <v>0.08</v>
      </c>
      <c r="C21" s="20" t="inlineStr"/>
      <c r="D21" s="9" t="inlineStr">
        <is>
          <t>[가정] 변경안 확정배당률과 동일. 참고: 1종 CoC 7.0%(IM T59)·2종 CoC 7.5%/IRR 9.24%(IM J50). 민감도 시트 참조</t>
        </is>
      </c>
    </row>
    <row r="22">
      <c r="A22" s="10" t="inlineStr">
        <is>
          <t>보통주 요구수익률 (전환 시 공정가치 산정용)</t>
        </is>
      </c>
      <c r="B22" s="31" t="n">
        <v>0.1643858639503997</v>
      </c>
      <c r="C22" s="20" t="inlineStr"/>
      <c r="D22" s="9" t="inlineStr">
        <is>
          <t>IM J102 보통주 IRR (기준 재무모델)</t>
        </is>
      </c>
    </row>
    <row r="24">
      <c r="A24" s="10" t="inlineStr">
        <is>
          <t>보통주 발행가액 (주당)</t>
        </is>
      </c>
      <c r="B24" s="24" t="n">
        <v>5000</v>
      </c>
      <c r="C24" s="20" t="inlineStr">
        <is>
          <t>원</t>
        </is>
      </c>
      <c r="D24" s="9" t="inlineStr">
        <is>
          <t>A&amp;R P94 (5천원)</t>
        </is>
      </c>
    </row>
    <row r="25">
      <c r="A25" s="10" t="inlineStr">
        <is>
          <t>보통주 발행주식수 (KLI)</t>
        </is>
      </c>
      <c r="B25" s="23" t="n">
        <v>2960000</v>
      </c>
      <c r="C25" s="20" t="inlineStr">
        <is>
          <t>주</t>
        </is>
      </c>
      <c r="D25" s="9" t="inlineStr">
        <is>
          <t>A&amp;R R94</t>
        </is>
      </c>
    </row>
    <row r="26">
      <c r="A26" s="10" t="inlineStr">
        <is>
          <t>보통주 출자금 (KLI)</t>
        </is>
      </c>
      <c r="B26" s="23" t="n">
        <v>14800</v>
      </c>
      <c r="C26" s="20" t="inlineStr">
        <is>
          <t>백만원</t>
        </is>
      </c>
      <c r="D26" s="9" t="inlineStr">
        <is>
          <t>IM Q62</t>
        </is>
      </c>
    </row>
    <row r="27">
      <c r="A27" s="10" t="inlineStr">
        <is>
          <t>보통주 운영배당 FY1</t>
        </is>
      </c>
      <c r="B27" s="23" t="n">
        <v>555</v>
      </c>
      <c r="C27" s="20" t="inlineStr">
        <is>
          <t>백만원</t>
        </is>
      </c>
      <c r="D27" s="9" t="inlineStr">
        <is>
          <t>IM K79 (초기 1년 연 7.5% 확정)</t>
        </is>
      </c>
    </row>
    <row r="28">
      <c r="A28" s="10" t="inlineStr">
        <is>
          <t>보통주 운영배당 FY2</t>
        </is>
      </c>
      <c r="B28" s="23" t="n">
        <v>555</v>
      </c>
      <c r="C28" s="20" t="inlineStr">
        <is>
          <t>백만원</t>
        </is>
      </c>
      <c r="D28" s="9" t="inlineStr">
        <is>
          <t>IM K80</t>
        </is>
      </c>
    </row>
    <row r="29">
      <c r="A29" s="10" t="inlineStr">
        <is>
          <t>보통주 운영배당 FY3~FY20 (반기당)</t>
        </is>
      </c>
      <c r="B29" s="23" t="n">
        <v>0</v>
      </c>
      <c r="C29" s="20" t="inlineStr">
        <is>
          <t>백만원</t>
        </is>
      </c>
      <c r="D29" s="9" t="inlineStr">
        <is>
          <t>IM K81:K98 = 0 (잔여배당 없음, 기준 모델)</t>
        </is>
      </c>
    </row>
    <row r="30">
      <c r="A30" s="10" t="inlineStr">
        <is>
          <t>보통주 매각차익 배분 C.G (FY20)</t>
        </is>
      </c>
      <c r="B30" s="23" t="n">
        <v>48460.42781955277</v>
      </c>
      <c r="C30" s="20" t="inlineStr">
        <is>
          <t>백만원</t>
        </is>
      </c>
      <c r="D30" s="9" t="inlineStr">
        <is>
          <t>IM L98 (= 매각차익 60,575 × 80%, IM U62)</t>
        </is>
      </c>
    </row>
    <row r="31">
      <c r="A31" s="10" t="inlineStr">
        <is>
          <t>매각차익 보통주 배분율</t>
        </is>
      </c>
      <c r="B31" s="32" t="n">
        <v>0.8</v>
      </c>
      <c r="C31" s="20" t="inlineStr"/>
      <c r="D31" s="9" t="inlineStr">
        <is>
          <t>IM U62</t>
        </is>
      </c>
    </row>
    <row r="33">
      <c r="A33" s="27" t="inlineStr">
        <is>
          <t>보통주 전환비율 기준 선택</t>
        </is>
      </c>
      <c r="B33" s="28" t="n">
        <v>1</v>
      </c>
      <c r="C33" s="20" t="inlineStr"/>
      <c r="D33" s="9" t="inlineStr">
        <is>
          <t>1 = 발행가액 기준(3종 1주→보통주 5주) / 2 = 1:1 / 3 = 전환시점 보통주 공정가치 기준. Summary에 3안 병렬 비교</t>
        </is>
      </c>
    </row>
    <row r="35">
      <c r="A35" s="10" t="inlineStr">
        <is>
          <t>[상증세법 참고] 총 납입자본</t>
        </is>
      </c>
      <c r="B35" s="23" t="n">
        <v>98800</v>
      </c>
      <c r="C35" s="20" t="inlineStr">
        <is>
          <t>백만원</t>
        </is>
      </c>
      <c r="D35" s="9" t="inlineStr">
        <is>
          <t>IM W51 (1종 24,000+2종 50,000+3종 10,000+보통주 14,800)</t>
        </is>
      </c>
    </row>
    <row r="36">
      <c r="A36" s="10" t="inlineStr">
        <is>
          <t>[상증세법 참고] 총 발행주식수</t>
        </is>
      </c>
      <c r="B36" s="23" t="n">
        <v>6320000</v>
      </c>
      <c r="C36" s="20" t="inlineStr">
        <is>
          <t>주</t>
        </is>
      </c>
      <c r="D36" s="9" t="inlineStr">
        <is>
          <t>A&amp;R R95</t>
        </is>
      </c>
    </row>
    <row r="37">
      <c r="A37" s="10" t="inlineStr">
        <is>
          <t>[상증세법 참고] 혼합 순자산가치 (주당)</t>
        </is>
      </c>
      <c r="B37" s="33">
        <f>B35*1000000/B36</f>
        <v/>
      </c>
      <c r="C37" s="20" t="inlineStr">
        <is>
          <t>원</t>
        </is>
      </c>
      <c r="D37" s="9" t="inlineStr">
        <is>
          <t>= 납입자본 ÷ 총주식수. 보통주 5천원·우선주 25천원 혼합 발행이라 종류주식 평가에는 부적합 (Notes 참조)</t>
        </is>
      </c>
    </row>
    <row r="39">
      <c r="A39" s="34" t="inlineStr">
        <is>
          <t>전환 시 3종 → 보통주 전환주식수 (기준별)</t>
        </is>
      </c>
      <c r="B39" s="20" t="inlineStr">
        <is>
          <t>주</t>
        </is>
      </c>
      <c r="C39" s="10" t="inlineStr"/>
      <c r="D39" s="10" t="inlineStr"/>
    </row>
    <row r="40">
      <c r="A40" s="10" t="inlineStr">
        <is>
          <t xml:space="preserve">  ① 발행가액 기준 (3종 발행금액 ÷ 보통주 발행가)</t>
        </is>
      </c>
      <c r="B40" s="16">
        <f>B4*1000000/B24</f>
        <v/>
      </c>
      <c r="C40" s="20" t="inlineStr">
        <is>
          <t>주</t>
        </is>
      </c>
      <c r="D40" s="9" t="inlineStr">
        <is>
          <t>= 10,000백만 ÷ 5,000원 → 2,000,000주 (3종 1주당 보통주 5주)</t>
        </is>
      </c>
    </row>
    <row r="41">
      <c r="A41" s="10" t="inlineStr">
        <is>
          <t xml:space="preserve">  ② 1:1 기준 (3종 주식수 그대로)</t>
        </is>
      </c>
      <c r="B41" s="16">
        <f>B7</f>
        <v/>
      </c>
      <c r="C41" s="20" t="inlineStr">
        <is>
          <t>주</t>
        </is>
      </c>
      <c r="D41" s="9" t="inlineStr">
        <is>
          <t>= 400,000주. 발행가 5:1 차이로 LF 원금 대비 가치 급감</t>
        </is>
      </c>
    </row>
    <row r="42">
      <c r="A42" s="10" t="inlineStr">
        <is>
          <t xml:space="preserve">  ③ 전환시점(FY8) 보통주 공정가치 (주당)</t>
        </is>
      </c>
      <c r="B42" s="6">
        <f>(B30+B26)*1000000/(1+B22)^((20-B14/12*B15)/B15)/B25</f>
        <v/>
      </c>
      <c r="C42" s="20" t="inlineStr">
        <is>
          <t>원</t>
        </is>
      </c>
      <c r="D42" s="9" t="inlineStr">
        <is>
          <t>= PV_FY8[(C.G+보통주 원금) at FY20, 보통주 요구수익률] ÷ 보통주 주식수. FY9~19 운영배당 0 가정</t>
        </is>
      </c>
    </row>
    <row r="43">
      <c r="A43" s="10" t="inlineStr">
        <is>
          <t xml:space="preserve">  ③ 공정가치 기준 전환주식수</t>
        </is>
      </c>
      <c r="B43" s="16">
        <f>B4*1000000/B42</f>
        <v/>
      </c>
      <c r="C43" s="20" t="inlineStr">
        <is>
          <t>주</t>
        </is>
      </c>
      <c r="D43" s="9" t="inlineStr">
        <is>
          <t>= 3종 발행금액 ÷ FY8 보통주 공정가치</t>
        </is>
      </c>
    </row>
    <row r="44">
      <c r="A44" s="34" t="inlineStr">
        <is>
          <t>선택 기준 전환주식수</t>
        </is>
      </c>
      <c r="B44" s="35">
        <f>CHOOSE(B33,B40,B41,B43)</f>
        <v/>
      </c>
      <c r="C44" s="20" t="inlineStr">
        <is>
          <t>주</t>
        </is>
      </c>
      <c r="D44" s="9" t="inlineStr">
        <is>
          <t>Inputs!B33 선택값 반영</t>
        </is>
      </c>
    </row>
    <row r="45">
      <c r="A45" s="10" t="inlineStr">
        <is>
          <t>전환 후 LF(3종) 보통주 지분율</t>
        </is>
      </c>
      <c r="B45" s="7">
        <f>B44/(B25+B44)</f>
        <v/>
      </c>
      <c r="C45" s="10" t="inlineStr"/>
      <c r="D45" s="9" t="inlineStr">
        <is>
          <t>= 전환주식수 ÷ (KLI 보통주 + 전환주식수)</t>
        </is>
      </c>
    </row>
    <row r="46">
      <c r="A46" s="10" t="inlineStr">
        <is>
          <t>전환 후 KLI 보통주 지분율</t>
        </is>
      </c>
      <c r="B46" s="7">
        <f>1-B45</f>
        <v/>
      </c>
      <c r="C46" s="10" t="inlineStr"/>
      <c r="D46" s="9" t="inlineStr"/>
    </row>
    <row r="47">
      <c r="A47" s="10" t="inlineStr">
        <is>
          <t>FY20 보통주 풀 총 회수액 (시나리오 C)</t>
        </is>
      </c>
      <c r="B47" s="16">
        <f>B30+B26+B4</f>
        <v/>
      </c>
      <c r="C47" s="20" t="inlineStr">
        <is>
          <t>백만원</t>
        </is>
      </c>
      <c r="D47" s="9" t="inlineStr">
        <is>
          <t>= 보통주 C.G + 보통주 원금 + 감자되지 않은 3종 원금(리츠 내 잔존 자본). 미감자에 따른 이자비용 절감 효과는 무시(보수적)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8" customWidth="1" min="3" max="3"/>
    <col width="10" customWidth="1" min="4" max="4"/>
    <col width="13" customWidth="1" min="5" max="5"/>
    <col width="13" customWidth="1" min="6" max="6"/>
    <col width="13" customWidth="1" min="7" max="7"/>
    <col width="13" customWidth="1" min="8" max="8"/>
    <col width="12" customWidth="1" min="9" max="9"/>
    <col width="12" customWidth="1" min="10" max="10"/>
    <col width="12" customWidth="1" min="11" max="11"/>
    <col width="12" customWidth="1" min="12" max="12"/>
    <col width="3" customWidth="1" min="13" max="13"/>
    <col width="14" customWidth="1" min="14" max="14"/>
    <col width="14" customWidth="1" min="15" max="15"/>
    <col width="14" customWidth="1" min="16" max="16"/>
    <col width="14" customWidth="1" min="17" max="17"/>
  </cols>
  <sheetData>
    <row r="1">
      <c r="A1" s="1" t="inlineStr">
        <is>
          <t>3종 종류주식 보유자(LF) 현금흐름 — 시나리오별 (단위: 백만원, FY = 반기)</t>
        </is>
      </c>
    </row>
    <row r="2">
      <c r="A2" s="2" t="inlineStr">
        <is>
          <t>FY0 = 주금납입(2026-10-31). A: FY4 말 원금 감자 / B: FY5~8 연 8% 3순위 확정배당 후 FY8 말 감자 / C: FY8 말 보통주 전환 → FY20 매각 시 지분율만큼 회수</t>
        </is>
      </c>
    </row>
    <row r="4">
      <c r="A4" s="3" t="inlineStr">
        <is>
          <t>FY</t>
        </is>
      </c>
      <c r="B4" s="3" t="inlineStr">
        <is>
          <t>경과월</t>
        </is>
      </c>
      <c r="C4" s="3" t="inlineStr">
        <is>
          <t>t(년)</t>
        </is>
      </c>
      <c r="D4" s="3" t="inlineStr">
        <is>
          <t>할인계수</t>
        </is>
      </c>
      <c r="E4" s="3" t="inlineStr">
        <is>
          <t>A: 24개월 감자</t>
        </is>
      </c>
      <c r="F4" s="3" t="inlineStr">
        <is>
          <t>B: 8% 배당→48개월 감자</t>
        </is>
      </c>
      <c r="G4" s="3" t="inlineStr">
        <is>
          <t>C: 보통주 전환(선택기준)</t>
        </is>
      </c>
      <c r="H4" s="3" t="inlineStr">
        <is>
          <t>기대 CF (확률가중)</t>
        </is>
      </c>
      <c r="I4" s="3" t="inlineStr">
        <is>
          <t>PV A</t>
        </is>
      </c>
      <c r="J4" s="3" t="inlineStr">
        <is>
          <t>PV B</t>
        </is>
      </c>
      <c r="K4" s="3" t="inlineStr">
        <is>
          <t>PV C</t>
        </is>
      </c>
      <c r="L4" s="3" t="inlineStr">
        <is>
          <t>PV 기대</t>
        </is>
      </c>
      <c r="N4" s="3" t="inlineStr">
        <is>
          <t>KLI 보통주 CF: 기준(감자 정상)</t>
        </is>
      </c>
      <c r="O4" s="3" t="inlineStr">
        <is>
          <t>KLI CF: C-①발행가액</t>
        </is>
      </c>
      <c r="P4" s="3" t="inlineStr">
        <is>
          <t>KLI CF: C-②1:1</t>
        </is>
      </c>
      <c r="Q4" s="3" t="inlineStr">
        <is>
          <t>KLI CF: C-③공정가치</t>
        </is>
      </c>
    </row>
    <row r="5">
      <c r="A5" s="20" t="n">
        <v>0</v>
      </c>
      <c r="B5" s="5">
        <f>A5*12/Inputs!$B$15</f>
        <v/>
      </c>
      <c r="C5" s="36">
        <f>A5/Inputs!$B$15</f>
        <v/>
      </c>
      <c r="D5" s="37">
        <f>1/(1+Inputs!$B$21)^C5</f>
        <v/>
      </c>
      <c r="E5" s="16">
        <f>IF(A5=0,-Inputs!$B$4,IF(B5=Inputs!$B$11,Inputs!$B$4,0))</f>
        <v/>
      </c>
      <c r="F5" s="16">
        <f>IF(A5=0,-Inputs!$B$4,IF(AND(B5&gt;Inputs!$B$11,B5&lt;=Inputs!$B$11+Inputs!$B$13),Inputs!$B$4*Inputs!$B$12/Inputs!$B$15,0)+IF(B5=Inputs!$B$11+Inputs!$B$13,Inputs!$B$4,0))</f>
        <v/>
      </c>
      <c r="G5" s="16">
        <f>IF(A5=0,-Inputs!$B$4,IF(A5=20,Inputs!$B$45*Inputs!$B$47,IF(B5&gt;Inputs!$B$14,Inputs!$B$45*Inputs!$B$29,0)))</f>
        <v/>
      </c>
      <c r="H5" s="16">
        <f>Inputs!$B$17*E5+Inputs!$B$18*F5+Inputs!$B$19*G5</f>
        <v/>
      </c>
      <c r="I5" s="16">
        <f>E5*$D5</f>
        <v/>
      </c>
      <c r="J5" s="16">
        <f>F5*$D5</f>
        <v/>
      </c>
      <c r="K5" s="16">
        <f>G5*$D5</f>
        <v/>
      </c>
      <c r="L5" s="16">
        <f>H5*$D5</f>
        <v/>
      </c>
      <c r="N5" s="16">
        <f>IF(A5=0,-Inputs!$B$26,IF(A5=1,Inputs!$B$27,IF(A5=2,Inputs!$B$28,IF(A5&gt;=3,Inputs!$B$29,0)))+IF(A5=20,Inputs!$B$30+Inputs!$B$26,0))</f>
        <v/>
      </c>
      <c r="O5" s="16">
        <f>IF(A5=0,-Inputs!$B$26,IF(A5&lt;=8,IF(A5=1,Inputs!$B$27,IF(A5=2,Inputs!$B$28,IF(A5&gt;=3,Inputs!$B$29,0))),(Inputs!$B$25/(Inputs!$B$25+Inputs!$B$40))*(IF(A5=1,Inputs!$B$27,IF(A5=2,Inputs!$B$28,IF(A5&gt;=3,Inputs!$B$29,0)))))+IF(A5=20,(Inputs!$B$25/(Inputs!$B$25+Inputs!$B$40))*Inputs!$B$47,0))</f>
        <v/>
      </c>
      <c r="P5" s="16">
        <f>IF(A5=0,-Inputs!$B$26,IF(A5&lt;=8,IF(A5=1,Inputs!$B$27,IF(A5=2,Inputs!$B$28,IF(A5&gt;=3,Inputs!$B$29,0))),(Inputs!$B$25/(Inputs!$B$25+Inputs!$B$41))*(IF(A5=1,Inputs!$B$27,IF(A5=2,Inputs!$B$28,IF(A5&gt;=3,Inputs!$B$29,0)))))+IF(A5=20,(Inputs!$B$25/(Inputs!$B$25+Inputs!$B$41))*Inputs!$B$47,0))</f>
        <v/>
      </c>
      <c r="Q5" s="16">
        <f>IF(A5=0,-Inputs!$B$26,IF(A5&lt;=8,IF(A5=1,Inputs!$B$27,IF(A5=2,Inputs!$B$28,IF(A5&gt;=3,Inputs!$B$29,0))),(Inputs!$B$25/(Inputs!$B$25+Inputs!$B$43))*(IF(A5=1,Inputs!$B$27,IF(A5=2,Inputs!$B$28,IF(A5&gt;=3,Inputs!$B$29,0)))))+IF(A5=20,(Inputs!$B$25/(Inputs!$B$25+Inputs!$B$43))*Inputs!$B$47,0))</f>
        <v/>
      </c>
    </row>
    <row r="6">
      <c r="A6" s="20" t="n">
        <v>1</v>
      </c>
      <c r="B6" s="5">
        <f>A6*12/Inputs!$B$15</f>
        <v/>
      </c>
      <c r="C6" s="36">
        <f>A6/Inputs!$B$15</f>
        <v/>
      </c>
      <c r="D6" s="37">
        <f>1/(1+Inputs!$B$21)^C6</f>
        <v/>
      </c>
      <c r="E6" s="16">
        <f>IF(A6=0,-Inputs!$B$4,IF(B6=Inputs!$B$11,Inputs!$B$4,0))</f>
        <v/>
      </c>
      <c r="F6" s="16">
        <f>IF(A6=0,-Inputs!$B$4,IF(AND(B6&gt;Inputs!$B$11,B6&lt;=Inputs!$B$11+Inputs!$B$13),Inputs!$B$4*Inputs!$B$12/Inputs!$B$15,0)+IF(B6=Inputs!$B$11+Inputs!$B$13,Inputs!$B$4,0))</f>
        <v/>
      </c>
      <c r="G6" s="16">
        <f>IF(A6=0,-Inputs!$B$4,IF(A6=20,Inputs!$B$45*Inputs!$B$47,IF(B6&gt;Inputs!$B$14,Inputs!$B$45*Inputs!$B$29,0)))</f>
        <v/>
      </c>
      <c r="H6" s="16">
        <f>Inputs!$B$17*E6+Inputs!$B$18*F6+Inputs!$B$19*G6</f>
        <v/>
      </c>
      <c r="I6" s="16">
        <f>E6*$D6</f>
        <v/>
      </c>
      <c r="J6" s="16">
        <f>F6*$D6</f>
        <v/>
      </c>
      <c r="K6" s="16">
        <f>G6*$D6</f>
        <v/>
      </c>
      <c r="L6" s="16">
        <f>H6*$D6</f>
        <v/>
      </c>
      <c r="N6" s="16">
        <f>IF(A6=0,-Inputs!$B$26,IF(A6=1,Inputs!$B$27,IF(A6=2,Inputs!$B$28,IF(A6&gt;=3,Inputs!$B$29,0)))+IF(A6=20,Inputs!$B$30+Inputs!$B$26,0))</f>
        <v/>
      </c>
      <c r="O6" s="16">
        <f>IF(A6=0,-Inputs!$B$26,IF(A6&lt;=8,IF(A6=1,Inputs!$B$27,IF(A6=2,Inputs!$B$28,IF(A6&gt;=3,Inputs!$B$29,0))),(Inputs!$B$25/(Inputs!$B$25+Inputs!$B$40))*(IF(A6=1,Inputs!$B$27,IF(A6=2,Inputs!$B$28,IF(A6&gt;=3,Inputs!$B$29,0)))))+IF(A6=20,(Inputs!$B$25/(Inputs!$B$25+Inputs!$B$40))*Inputs!$B$47,0))</f>
        <v/>
      </c>
      <c r="P6" s="16">
        <f>IF(A6=0,-Inputs!$B$26,IF(A6&lt;=8,IF(A6=1,Inputs!$B$27,IF(A6=2,Inputs!$B$28,IF(A6&gt;=3,Inputs!$B$29,0))),(Inputs!$B$25/(Inputs!$B$25+Inputs!$B$41))*(IF(A6=1,Inputs!$B$27,IF(A6=2,Inputs!$B$28,IF(A6&gt;=3,Inputs!$B$29,0)))))+IF(A6=20,(Inputs!$B$25/(Inputs!$B$25+Inputs!$B$41))*Inputs!$B$47,0))</f>
        <v/>
      </c>
      <c r="Q6" s="16">
        <f>IF(A6=0,-Inputs!$B$26,IF(A6&lt;=8,IF(A6=1,Inputs!$B$27,IF(A6=2,Inputs!$B$28,IF(A6&gt;=3,Inputs!$B$29,0))),(Inputs!$B$25/(Inputs!$B$25+Inputs!$B$43))*(IF(A6=1,Inputs!$B$27,IF(A6=2,Inputs!$B$28,IF(A6&gt;=3,Inputs!$B$29,0)))))+IF(A6=20,(Inputs!$B$25/(Inputs!$B$25+Inputs!$B$43))*Inputs!$B$47,0))</f>
        <v/>
      </c>
    </row>
    <row r="7">
      <c r="A7" s="20" t="n">
        <v>2</v>
      </c>
      <c r="B7" s="5">
        <f>A7*12/Inputs!$B$15</f>
        <v/>
      </c>
      <c r="C7" s="36">
        <f>A7/Inputs!$B$15</f>
        <v/>
      </c>
      <c r="D7" s="37">
        <f>1/(1+Inputs!$B$21)^C7</f>
        <v/>
      </c>
      <c r="E7" s="16">
        <f>IF(A7=0,-Inputs!$B$4,IF(B7=Inputs!$B$11,Inputs!$B$4,0))</f>
        <v/>
      </c>
      <c r="F7" s="16">
        <f>IF(A7=0,-Inputs!$B$4,IF(AND(B7&gt;Inputs!$B$11,B7&lt;=Inputs!$B$11+Inputs!$B$13),Inputs!$B$4*Inputs!$B$12/Inputs!$B$15,0)+IF(B7=Inputs!$B$11+Inputs!$B$13,Inputs!$B$4,0))</f>
        <v/>
      </c>
      <c r="G7" s="16">
        <f>IF(A7=0,-Inputs!$B$4,IF(A7=20,Inputs!$B$45*Inputs!$B$47,IF(B7&gt;Inputs!$B$14,Inputs!$B$45*Inputs!$B$29,0)))</f>
        <v/>
      </c>
      <c r="H7" s="16">
        <f>Inputs!$B$17*E7+Inputs!$B$18*F7+Inputs!$B$19*G7</f>
        <v/>
      </c>
      <c r="I7" s="16">
        <f>E7*$D7</f>
        <v/>
      </c>
      <c r="J7" s="16">
        <f>F7*$D7</f>
        <v/>
      </c>
      <c r="K7" s="16">
        <f>G7*$D7</f>
        <v/>
      </c>
      <c r="L7" s="16">
        <f>H7*$D7</f>
        <v/>
      </c>
      <c r="N7" s="16">
        <f>IF(A7=0,-Inputs!$B$26,IF(A7=1,Inputs!$B$27,IF(A7=2,Inputs!$B$28,IF(A7&gt;=3,Inputs!$B$29,0)))+IF(A7=20,Inputs!$B$30+Inputs!$B$26,0))</f>
        <v/>
      </c>
      <c r="O7" s="16">
        <f>IF(A7=0,-Inputs!$B$26,IF(A7&lt;=8,IF(A7=1,Inputs!$B$27,IF(A7=2,Inputs!$B$28,IF(A7&gt;=3,Inputs!$B$29,0))),(Inputs!$B$25/(Inputs!$B$25+Inputs!$B$40))*(IF(A7=1,Inputs!$B$27,IF(A7=2,Inputs!$B$28,IF(A7&gt;=3,Inputs!$B$29,0)))))+IF(A7=20,(Inputs!$B$25/(Inputs!$B$25+Inputs!$B$40))*Inputs!$B$47,0))</f>
        <v/>
      </c>
      <c r="P7" s="16">
        <f>IF(A7=0,-Inputs!$B$26,IF(A7&lt;=8,IF(A7=1,Inputs!$B$27,IF(A7=2,Inputs!$B$28,IF(A7&gt;=3,Inputs!$B$29,0))),(Inputs!$B$25/(Inputs!$B$25+Inputs!$B$41))*(IF(A7=1,Inputs!$B$27,IF(A7=2,Inputs!$B$28,IF(A7&gt;=3,Inputs!$B$29,0)))))+IF(A7=20,(Inputs!$B$25/(Inputs!$B$25+Inputs!$B$41))*Inputs!$B$47,0))</f>
        <v/>
      </c>
      <c r="Q7" s="16">
        <f>IF(A7=0,-Inputs!$B$26,IF(A7&lt;=8,IF(A7=1,Inputs!$B$27,IF(A7=2,Inputs!$B$28,IF(A7&gt;=3,Inputs!$B$29,0))),(Inputs!$B$25/(Inputs!$B$25+Inputs!$B$43))*(IF(A7=1,Inputs!$B$27,IF(A7=2,Inputs!$B$28,IF(A7&gt;=3,Inputs!$B$29,0)))))+IF(A7=20,(Inputs!$B$25/(Inputs!$B$25+Inputs!$B$43))*Inputs!$B$47,0))</f>
        <v/>
      </c>
    </row>
    <row r="8">
      <c r="A8" s="20" t="n">
        <v>3</v>
      </c>
      <c r="B8" s="5">
        <f>A8*12/Inputs!$B$15</f>
        <v/>
      </c>
      <c r="C8" s="36">
        <f>A8/Inputs!$B$15</f>
        <v/>
      </c>
      <c r="D8" s="37">
        <f>1/(1+Inputs!$B$21)^C8</f>
        <v/>
      </c>
      <c r="E8" s="16">
        <f>IF(A8=0,-Inputs!$B$4,IF(B8=Inputs!$B$11,Inputs!$B$4,0))</f>
        <v/>
      </c>
      <c r="F8" s="16">
        <f>IF(A8=0,-Inputs!$B$4,IF(AND(B8&gt;Inputs!$B$11,B8&lt;=Inputs!$B$11+Inputs!$B$13),Inputs!$B$4*Inputs!$B$12/Inputs!$B$15,0)+IF(B8=Inputs!$B$11+Inputs!$B$13,Inputs!$B$4,0))</f>
        <v/>
      </c>
      <c r="G8" s="16">
        <f>IF(A8=0,-Inputs!$B$4,IF(A8=20,Inputs!$B$45*Inputs!$B$47,IF(B8&gt;Inputs!$B$14,Inputs!$B$45*Inputs!$B$29,0)))</f>
        <v/>
      </c>
      <c r="H8" s="16">
        <f>Inputs!$B$17*E8+Inputs!$B$18*F8+Inputs!$B$19*G8</f>
        <v/>
      </c>
      <c r="I8" s="16">
        <f>E8*$D8</f>
        <v/>
      </c>
      <c r="J8" s="16">
        <f>F8*$D8</f>
        <v/>
      </c>
      <c r="K8" s="16">
        <f>G8*$D8</f>
        <v/>
      </c>
      <c r="L8" s="16">
        <f>H8*$D8</f>
        <v/>
      </c>
      <c r="N8" s="16">
        <f>IF(A8=0,-Inputs!$B$26,IF(A8=1,Inputs!$B$27,IF(A8=2,Inputs!$B$28,IF(A8&gt;=3,Inputs!$B$29,0)))+IF(A8=20,Inputs!$B$30+Inputs!$B$26,0))</f>
        <v/>
      </c>
      <c r="O8" s="16">
        <f>IF(A8=0,-Inputs!$B$26,IF(A8&lt;=8,IF(A8=1,Inputs!$B$27,IF(A8=2,Inputs!$B$28,IF(A8&gt;=3,Inputs!$B$29,0))),(Inputs!$B$25/(Inputs!$B$25+Inputs!$B$40))*(IF(A8=1,Inputs!$B$27,IF(A8=2,Inputs!$B$28,IF(A8&gt;=3,Inputs!$B$29,0)))))+IF(A8=20,(Inputs!$B$25/(Inputs!$B$25+Inputs!$B$40))*Inputs!$B$47,0))</f>
        <v/>
      </c>
      <c r="P8" s="16">
        <f>IF(A8=0,-Inputs!$B$26,IF(A8&lt;=8,IF(A8=1,Inputs!$B$27,IF(A8=2,Inputs!$B$28,IF(A8&gt;=3,Inputs!$B$29,0))),(Inputs!$B$25/(Inputs!$B$25+Inputs!$B$41))*(IF(A8=1,Inputs!$B$27,IF(A8=2,Inputs!$B$28,IF(A8&gt;=3,Inputs!$B$29,0)))))+IF(A8=20,(Inputs!$B$25/(Inputs!$B$25+Inputs!$B$41))*Inputs!$B$47,0))</f>
        <v/>
      </c>
      <c r="Q8" s="16">
        <f>IF(A8=0,-Inputs!$B$26,IF(A8&lt;=8,IF(A8=1,Inputs!$B$27,IF(A8=2,Inputs!$B$28,IF(A8&gt;=3,Inputs!$B$29,0))),(Inputs!$B$25/(Inputs!$B$25+Inputs!$B$43))*(IF(A8=1,Inputs!$B$27,IF(A8=2,Inputs!$B$28,IF(A8&gt;=3,Inputs!$B$29,0)))))+IF(A8=20,(Inputs!$B$25/(Inputs!$B$25+Inputs!$B$43))*Inputs!$B$47,0))</f>
        <v/>
      </c>
    </row>
    <row r="9">
      <c r="A9" s="20" t="n">
        <v>4</v>
      </c>
      <c r="B9" s="5">
        <f>A9*12/Inputs!$B$15</f>
        <v/>
      </c>
      <c r="C9" s="36">
        <f>A9/Inputs!$B$15</f>
        <v/>
      </c>
      <c r="D9" s="37">
        <f>1/(1+Inputs!$B$21)^C9</f>
        <v/>
      </c>
      <c r="E9" s="16">
        <f>IF(A9=0,-Inputs!$B$4,IF(B9=Inputs!$B$11,Inputs!$B$4,0))</f>
        <v/>
      </c>
      <c r="F9" s="16">
        <f>IF(A9=0,-Inputs!$B$4,IF(AND(B9&gt;Inputs!$B$11,B9&lt;=Inputs!$B$11+Inputs!$B$13),Inputs!$B$4*Inputs!$B$12/Inputs!$B$15,0)+IF(B9=Inputs!$B$11+Inputs!$B$13,Inputs!$B$4,0))</f>
        <v/>
      </c>
      <c r="G9" s="16">
        <f>IF(A9=0,-Inputs!$B$4,IF(A9=20,Inputs!$B$45*Inputs!$B$47,IF(B9&gt;Inputs!$B$14,Inputs!$B$45*Inputs!$B$29,0)))</f>
        <v/>
      </c>
      <c r="H9" s="16">
        <f>Inputs!$B$17*E9+Inputs!$B$18*F9+Inputs!$B$19*G9</f>
        <v/>
      </c>
      <c r="I9" s="16">
        <f>E9*$D9</f>
        <v/>
      </c>
      <c r="J9" s="16">
        <f>F9*$D9</f>
        <v/>
      </c>
      <c r="K9" s="16">
        <f>G9*$D9</f>
        <v/>
      </c>
      <c r="L9" s="16">
        <f>H9*$D9</f>
        <v/>
      </c>
      <c r="N9" s="16">
        <f>IF(A9=0,-Inputs!$B$26,IF(A9=1,Inputs!$B$27,IF(A9=2,Inputs!$B$28,IF(A9&gt;=3,Inputs!$B$29,0)))+IF(A9=20,Inputs!$B$30+Inputs!$B$26,0))</f>
        <v/>
      </c>
      <c r="O9" s="16">
        <f>IF(A9=0,-Inputs!$B$26,IF(A9&lt;=8,IF(A9=1,Inputs!$B$27,IF(A9=2,Inputs!$B$28,IF(A9&gt;=3,Inputs!$B$29,0))),(Inputs!$B$25/(Inputs!$B$25+Inputs!$B$40))*(IF(A9=1,Inputs!$B$27,IF(A9=2,Inputs!$B$28,IF(A9&gt;=3,Inputs!$B$29,0)))))+IF(A9=20,(Inputs!$B$25/(Inputs!$B$25+Inputs!$B$40))*Inputs!$B$47,0))</f>
        <v/>
      </c>
      <c r="P9" s="16">
        <f>IF(A9=0,-Inputs!$B$26,IF(A9&lt;=8,IF(A9=1,Inputs!$B$27,IF(A9=2,Inputs!$B$28,IF(A9&gt;=3,Inputs!$B$29,0))),(Inputs!$B$25/(Inputs!$B$25+Inputs!$B$41))*(IF(A9=1,Inputs!$B$27,IF(A9=2,Inputs!$B$28,IF(A9&gt;=3,Inputs!$B$29,0)))))+IF(A9=20,(Inputs!$B$25/(Inputs!$B$25+Inputs!$B$41))*Inputs!$B$47,0))</f>
        <v/>
      </c>
      <c r="Q9" s="16">
        <f>IF(A9=0,-Inputs!$B$26,IF(A9&lt;=8,IF(A9=1,Inputs!$B$27,IF(A9=2,Inputs!$B$28,IF(A9&gt;=3,Inputs!$B$29,0))),(Inputs!$B$25/(Inputs!$B$25+Inputs!$B$43))*(IF(A9=1,Inputs!$B$27,IF(A9=2,Inputs!$B$28,IF(A9&gt;=3,Inputs!$B$29,0)))))+IF(A9=20,(Inputs!$B$25/(Inputs!$B$25+Inputs!$B$43))*Inputs!$B$47,0))</f>
        <v/>
      </c>
    </row>
    <row r="10">
      <c r="A10" s="20" t="n">
        <v>5</v>
      </c>
      <c r="B10" s="5">
        <f>A10*12/Inputs!$B$15</f>
        <v/>
      </c>
      <c r="C10" s="36">
        <f>A10/Inputs!$B$15</f>
        <v/>
      </c>
      <c r="D10" s="37">
        <f>1/(1+Inputs!$B$21)^C10</f>
        <v/>
      </c>
      <c r="E10" s="16">
        <f>IF(A10=0,-Inputs!$B$4,IF(B10=Inputs!$B$11,Inputs!$B$4,0))</f>
        <v/>
      </c>
      <c r="F10" s="16">
        <f>IF(A10=0,-Inputs!$B$4,IF(AND(B10&gt;Inputs!$B$11,B10&lt;=Inputs!$B$11+Inputs!$B$13),Inputs!$B$4*Inputs!$B$12/Inputs!$B$15,0)+IF(B10=Inputs!$B$11+Inputs!$B$13,Inputs!$B$4,0))</f>
        <v/>
      </c>
      <c r="G10" s="16">
        <f>IF(A10=0,-Inputs!$B$4,IF(A10=20,Inputs!$B$45*Inputs!$B$47,IF(B10&gt;Inputs!$B$14,Inputs!$B$45*Inputs!$B$29,0)))</f>
        <v/>
      </c>
      <c r="H10" s="16">
        <f>Inputs!$B$17*E10+Inputs!$B$18*F10+Inputs!$B$19*G10</f>
        <v/>
      </c>
      <c r="I10" s="16">
        <f>E10*$D10</f>
        <v/>
      </c>
      <c r="J10" s="16">
        <f>F10*$D10</f>
        <v/>
      </c>
      <c r="K10" s="16">
        <f>G10*$D10</f>
        <v/>
      </c>
      <c r="L10" s="16">
        <f>H10*$D10</f>
        <v/>
      </c>
      <c r="N10" s="16">
        <f>IF(A10=0,-Inputs!$B$26,IF(A10=1,Inputs!$B$27,IF(A10=2,Inputs!$B$28,IF(A10&gt;=3,Inputs!$B$29,0)))+IF(A10=20,Inputs!$B$30+Inputs!$B$26,0))</f>
        <v/>
      </c>
      <c r="O10" s="16">
        <f>IF(A10=0,-Inputs!$B$26,IF(A10&lt;=8,IF(A10=1,Inputs!$B$27,IF(A10=2,Inputs!$B$28,IF(A10&gt;=3,Inputs!$B$29,0))),(Inputs!$B$25/(Inputs!$B$25+Inputs!$B$40))*(IF(A10=1,Inputs!$B$27,IF(A10=2,Inputs!$B$28,IF(A10&gt;=3,Inputs!$B$29,0)))))+IF(A10=20,(Inputs!$B$25/(Inputs!$B$25+Inputs!$B$40))*Inputs!$B$47,0))</f>
        <v/>
      </c>
      <c r="P10" s="16">
        <f>IF(A10=0,-Inputs!$B$26,IF(A10&lt;=8,IF(A10=1,Inputs!$B$27,IF(A10=2,Inputs!$B$28,IF(A10&gt;=3,Inputs!$B$29,0))),(Inputs!$B$25/(Inputs!$B$25+Inputs!$B$41))*(IF(A10=1,Inputs!$B$27,IF(A10=2,Inputs!$B$28,IF(A10&gt;=3,Inputs!$B$29,0)))))+IF(A10=20,(Inputs!$B$25/(Inputs!$B$25+Inputs!$B$41))*Inputs!$B$47,0))</f>
        <v/>
      </c>
      <c r="Q10" s="16">
        <f>IF(A10=0,-Inputs!$B$26,IF(A10&lt;=8,IF(A10=1,Inputs!$B$27,IF(A10=2,Inputs!$B$28,IF(A10&gt;=3,Inputs!$B$29,0))),(Inputs!$B$25/(Inputs!$B$25+Inputs!$B$43))*(IF(A10=1,Inputs!$B$27,IF(A10=2,Inputs!$B$28,IF(A10&gt;=3,Inputs!$B$29,0)))))+IF(A10=20,(Inputs!$B$25/(Inputs!$B$25+Inputs!$B$43))*Inputs!$B$47,0))</f>
        <v/>
      </c>
    </row>
    <row r="11">
      <c r="A11" s="20" t="n">
        <v>6</v>
      </c>
      <c r="B11" s="5">
        <f>A11*12/Inputs!$B$15</f>
        <v/>
      </c>
      <c r="C11" s="36">
        <f>A11/Inputs!$B$15</f>
        <v/>
      </c>
      <c r="D11" s="37">
        <f>1/(1+Inputs!$B$21)^C11</f>
        <v/>
      </c>
      <c r="E11" s="16">
        <f>IF(A11=0,-Inputs!$B$4,IF(B11=Inputs!$B$11,Inputs!$B$4,0))</f>
        <v/>
      </c>
      <c r="F11" s="16">
        <f>IF(A11=0,-Inputs!$B$4,IF(AND(B11&gt;Inputs!$B$11,B11&lt;=Inputs!$B$11+Inputs!$B$13),Inputs!$B$4*Inputs!$B$12/Inputs!$B$15,0)+IF(B11=Inputs!$B$11+Inputs!$B$13,Inputs!$B$4,0))</f>
        <v/>
      </c>
      <c r="G11" s="16">
        <f>IF(A11=0,-Inputs!$B$4,IF(A11=20,Inputs!$B$45*Inputs!$B$47,IF(B11&gt;Inputs!$B$14,Inputs!$B$45*Inputs!$B$29,0)))</f>
        <v/>
      </c>
      <c r="H11" s="16">
        <f>Inputs!$B$17*E11+Inputs!$B$18*F11+Inputs!$B$19*G11</f>
        <v/>
      </c>
      <c r="I11" s="16">
        <f>E11*$D11</f>
        <v/>
      </c>
      <c r="J11" s="16">
        <f>F11*$D11</f>
        <v/>
      </c>
      <c r="K11" s="16">
        <f>G11*$D11</f>
        <v/>
      </c>
      <c r="L11" s="16">
        <f>H11*$D11</f>
        <v/>
      </c>
      <c r="N11" s="16">
        <f>IF(A11=0,-Inputs!$B$26,IF(A11=1,Inputs!$B$27,IF(A11=2,Inputs!$B$28,IF(A11&gt;=3,Inputs!$B$29,0)))+IF(A11=20,Inputs!$B$30+Inputs!$B$26,0))</f>
        <v/>
      </c>
      <c r="O11" s="16">
        <f>IF(A11=0,-Inputs!$B$26,IF(A11&lt;=8,IF(A11=1,Inputs!$B$27,IF(A11=2,Inputs!$B$28,IF(A11&gt;=3,Inputs!$B$29,0))),(Inputs!$B$25/(Inputs!$B$25+Inputs!$B$40))*(IF(A11=1,Inputs!$B$27,IF(A11=2,Inputs!$B$28,IF(A11&gt;=3,Inputs!$B$29,0)))))+IF(A11=20,(Inputs!$B$25/(Inputs!$B$25+Inputs!$B$40))*Inputs!$B$47,0))</f>
        <v/>
      </c>
      <c r="P11" s="16">
        <f>IF(A11=0,-Inputs!$B$26,IF(A11&lt;=8,IF(A11=1,Inputs!$B$27,IF(A11=2,Inputs!$B$28,IF(A11&gt;=3,Inputs!$B$29,0))),(Inputs!$B$25/(Inputs!$B$25+Inputs!$B$41))*(IF(A11=1,Inputs!$B$27,IF(A11=2,Inputs!$B$28,IF(A11&gt;=3,Inputs!$B$29,0)))))+IF(A11=20,(Inputs!$B$25/(Inputs!$B$25+Inputs!$B$41))*Inputs!$B$47,0))</f>
        <v/>
      </c>
      <c r="Q11" s="16">
        <f>IF(A11=0,-Inputs!$B$26,IF(A11&lt;=8,IF(A11=1,Inputs!$B$27,IF(A11=2,Inputs!$B$28,IF(A11&gt;=3,Inputs!$B$29,0))),(Inputs!$B$25/(Inputs!$B$25+Inputs!$B$43))*(IF(A11=1,Inputs!$B$27,IF(A11=2,Inputs!$B$28,IF(A11&gt;=3,Inputs!$B$29,0)))))+IF(A11=20,(Inputs!$B$25/(Inputs!$B$25+Inputs!$B$43))*Inputs!$B$47,0))</f>
        <v/>
      </c>
    </row>
    <row r="12">
      <c r="A12" s="20" t="n">
        <v>7</v>
      </c>
      <c r="B12" s="5">
        <f>A12*12/Inputs!$B$15</f>
        <v/>
      </c>
      <c r="C12" s="36">
        <f>A12/Inputs!$B$15</f>
        <v/>
      </c>
      <c r="D12" s="37">
        <f>1/(1+Inputs!$B$21)^C12</f>
        <v/>
      </c>
      <c r="E12" s="16">
        <f>IF(A12=0,-Inputs!$B$4,IF(B12=Inputs!$B$11,Inputs!$B$4,0))</f>
        <v/>
      </c>
      <c r="F12" s="16">
        <f>IF(A12=0,-Inputs!$B$4,IF(AND(B12&gt;Inputs!$B$11,B12&lt;=Inputs!$B$11+Inputs!$B$13),Inputs!$B$4*Inputs!$B$12/Inputs!$B$15,0)+IF(B12=Inputs!$B$11+Inputs!$B$13,Inputs!$B$4,0))</f>
        <v/>
      </c>
      <c r="G12" s="16">
        <f>IF(A12=0,-Inputs!$B$4,IF(A12=20,Inputs!$B$45*Inputs!$B$47,IF(B12&gt;Inputs!$B$14,Inputs!$B$45*Inputs!$B$29,0)))</f>
        <v/>
      </c>
      <c r="H12" s="16">
        <f>Inputs!$B$17*E12+Inputs!$B$18*F12+Inputs!$B$19*G12</f>
        <v/>
      </c>
      <c r="I12" s="16">
        <f>E12*$D12</f>
        <v/>
      </c>
      <c r="J12" s="16">
        <f>F12*$D12</f>
        <v/>
      </c>
      <c r="K12" s="16">
        <f>G12*$D12</f>
        <v/>
      </c>
      <c r="L12" s="16">
        <f>H12*$D12</f>
        <v/>
      </c>
      <c r="N12" s="16">
        <f>IF(A12=0,-Inputs!$B$26,IF(A12=1,Inputs!$B$27,IF(A12=2,Inputs!$B$28,IF(A12&gt;=3,Inputs!$B$29,0)))+IF(A12=20,Inputs!$B$30+Inputs!$B$26,0))</f>
        <v/>
      </c>
      <c r="O12" s="16">
        <f>IF(A12=0,-Inputs!$B$26,IF(A12&lt;=8,IF(A12=1,Inputs!$B$27,IF(A12=2,Inputs!$B$28,IF(A12&gt;=3,Inputs!$B$29,0))),(Inputs!$B$25/(Inputs!$B$25+Inputs!$B$40))*(IF(A12=1,Inputs!$B$27,IF(A12=2,Inputs!$B$28,IF(A12&gt;=3,Inputs!$B$29,0)))))+IF(A12=20,(Inputs!$B$25/(Inputs!$B$25+Inputs!$B$40))*Inputs!$B$47,0))</f>
        <v/>
      </c>
      <c r="P12" s="16">
        <f>IF(A12=0,-Inputs!$B$26,IF(A12&lt;=8,IF(A12=1,Inputs!$B$27,IF(A12=2,Inputs!$B$28,IF(A12&gt;=3,Inputs!$B$29,0))),(Inputs!$B$25/(Inputs!$B$25+Inputs!$B$41))*(IF(A12=1,Inputs!$B$27,IF(A12=2,Inputs!$B$28,IF(A12&gt;=3,Inputs!$B$29,0)))))+IF(A12=20,(Inputs!$B$25/(Inputs!$B$25+Inputs!$B$41))*Inputs!$B$47,0))</f>
        <v/>
      </c>
      <c r="Q12" s="16">
        <f>IF(A12=0,-Inputs!$B$26,IF(A12&lt;=8,IF(A12=1,Inputs!$B$27,IF(A12=2,Inputs!$B$28,IF(A12&gt;=3,Inputs!$B$29,0))),(Inputs!$B$25/(Inputs!$B$25+Inputs!$B$43))*(IF(A12=1,Inputs!$B$27,IF(A12=2,Inputs!$B$28,IF(A12&gt;=3,Inputs!$B$29,0)))))+IF(A12=20,(Inputs!$B$25/(Inputs!$B$25+Inputs!$B$43))*Inputs!$B$47,0))</f>
        <v/>
      </c>
    </row>
    <row r="13">
      <c r="A13" s="20" t="n">
        <v>8</v>
      </c>
      <c r="B13" s="5">
        <f>A13*12/Inputs!$B$15</f>
        <v/>
      </c>
      <c r="C13" s="36">
        <f>A13/Inputs!$B$15</f>
        <v/>
      </c>
      <c r="D13" s="37">
        <f>1/(1+Inputs!$B$21)^C13</f>
        <v/>
      </c>
      <c r="E13" s="16">
        <f>IF(A13=0,-Inputs!$B$4,IF(B13=Inputs!$B$11,Inputs!$B$4,0))</f>
        <v/>
      </c>
      <c r="F13" s="16">
        <f>IF(A13=0,-Inputs!$B$4,IF(AND(B13&gt;Inputs!$B$11,B13&lt;=Inputs!$B$11+Inputs!$B$13),Inputs!$B$4*Inputs!$B$12/Inputs!$B$15,0)+IF(B13=Inputs!$B$11+Inputs!$B$13,Inputs!$B$4,0))</f>
        <v/>
      </c>
      <c r="G13" s="16">
        <f>IF(A13=0,-Inputs!$B$4,IF(A13=20,Inputs!$B$45*Inputs!$B$47,IF(B13&gt;Inputs!$B$14,Inputs!$B$45*Inputs!$B$29,0)))</f>
        <v/>
      </c>
      <c r="H13" s="16">
        <f>Inputs!$B$17*E13+Inputs!$B$18*F13+Inputs!$B$19*G13</f>
        <v/>
      </c>
      <c r="I13" s="16">
        <f>E13*$D13</f>
        <v/>
      </c>
      <c r="J13" s="16">
        <f>F13*$D13</f>
        <v/>
      </c>
      <c r="K13" s="16">
        <f>G13*$D13</f>
        <v/>
      </c>
      <c r="L13" s="16">
        <f>H13*$D13</f>
        <v/>
      </c>
      <c r="N13" s="16">
        <f>IF(A13=0,-Inputs!$B$26,IF(A13=1,Inputs!$B$27,IF(A13=2,Inputs!$B$28,IF(A13&gt;=3,Inputs!$B$29,0)))+IF(A13=20,Inputs!$B$30+Inputs!$B$26,0))</f>
        <v/>
      </c>
      <c r="O13" s="16">
        <f>IF(A13=0,-Inputs!$B$26,IF(A13&lt;=8,IF(A13=1,Inputs!$B$27,IF(A13=2,Inputs!$B$28,IF(A13&gt;=3,Inputs!$B$29,0))),(Inputs!$B$25/(Inputs!$B$25+Inputs!$B$40))*(IF(A13=1,Inputs!$B$27,IF(A13=2,Inputs!$B$28,IF(A13&gt;=3,Inputs!$B$29,0)))))+IF(A13=20,(Inputs!$B$25/(Inputs!$B$25+Inputs!$B$40))*Inputs!$B$47,0))</f>
        <v/>
      </c>
      <c r="P13" s="16">
        <f>IF(A13=0,-Inputs!$B$26,IF(A13&lt;=8,IF(A13=1,Inputs!$B$27,IF(A13=2,Inputs!$B$28,IF(A13&gt;=3,Inputs!$B$29,0))),(Inputs!$B$25/(Inputs!$B$25+Inputs!$B$41))*(IF(A13=1,Inputs!$B$27,IF(A13=2,Inputs!$B$28,IF(A13&gt;=3,Inputs!$B$29,0)))))+IF(A13=20,(Inputs!$B$25/(Inputs!$B$25+Inputs!$B$41))*Inputs!$B$47,0))</f>
        <v/>
      </c>
      <c r="Q13" s="16">
        <f>IF(A13=0,-Inputs!$B$26,IF(A13&lt;=8,IF(A13=1,Inputs!$B$27,IF(A13=2,Inputs!$B$28,IF(A13&gt;=3,Inputs!$B$29,0))),(Inputs!$B$25/(Inputs!$B$25+Inputs!$B$43))*(IF(A13=1,Inputs!$B$27,IF(A13=2,Inputs!$B$28,IF(A13&gt;=3,Inputs!$B$29,0)))))+IF(A13=20,(Inputs!$B$25/(Inputs!$B$25+Inputs!$B$43))*Inputs!$B$47,0))</f>
        <v/>
      </c>
    </row>
    <row r="14">
      <c r="A14" s="20" t="n">
        <v>9</v>
      </c>
      <c r="B14" s="5">
        <f>A14*12/Inputs!$B$15</f>
        <v/>
      </c>
      <c r="C14" s="36">
        <f>A14/Inputs!$B$15</f>
        <v/>
      </c>
      <c r="D14" s="37">
        <f>1/(1+Inputs!$B$21)^C14</f>
        <v/>
      </c>
      <c r="E14" s="16">
        <f>IF(A14=0,-Inputs!$B$4,IF(B14=Inputs!$B$11,Inputs!$B$4,0))</f>
        <v/>
      </c>
      <c r="F14" s="16">
        <f>IF(A14=0,-Inputs!$B$4,IF(AND(B14&gt;Inputs!$B$11,B14&lt;=Inputs!$B$11+Inputs!$B$13),Inputs!$B$4*Inputs!$B$12/Inputs!$B$15,0)+IF(B14=Inputs!$B$11+Inputs!$B$13,Inputs!$B$4,0))</f>
        <v/>
      </c>
      <c r="G14" s="16">
        <f>IF(A14=0,-Inputs!$B$4,IF(A14=20,Inputs!$B$45*Inputs!$B$47,IF(B14&gt;Inputs!$B$14,Inputs!$B$45*Inputs!$B$29,0)))</f>
        <v/>
      </c>
      <c r="H14" s="16">
        <f>Inputs!$B$17*E14+Inputs!$B$18*F14+Inputs!$B$19*G14</f>
        <v/>
      </c>
      <c r="I14" s="16">
        <f>E14*$D14</f>
        <v/>
      </c>
      <c r="J14" s="16">
        <f>F14*$D14</f>
        <v/>
      </c>
      <c r="K14" s="16">
        <f>G14*$D14</f>
        <v/>
      </c>
      <c r="L14" s="16">
        <f>H14*$D14</f>
        <v/>
      </c>
      <c r="N14" s="16">
        <f>IF(A14=0,-Inputs!$B$26,IF(A14=1,Inputs!$B$27,IF(A14=2,Inputs!$B$28,IF(A14&gt;=3,Inputs!$B$29,0)))+IF(A14=20,Inputs!$B$30+Inputs!$B$26,0))</f>
        <v/>
      </c>
      <c r="O14" s="16">
        <f>IF(A14=0,-Inputs!$B$26,IF(A14&lt;=8,IF(A14=1,Inputs!$B$27,IF(A14=2,Inputs!$B$28,IF(A14&gt;=3,Inputs!$B$29,0))),(Inputs!$B$25/(Inputs!$B$25+Inputs!$B$40))*(IF(A14=1,Inputs!$B$27,IF(A14=2,Inputs!$B$28,IF(A14&gt;=3,Inputs!$B$29,0)))))+IF(A14=20,(Inputs!$B$25/(Inputs!$B$25+Inputs!$B$40))*Inputs!$B$47,0))</f>
        <v/>
      </c>
      <c r="P14" s="16">
        <f>IF(A14=0,-Inputs!$B$26,IF(A14&lt;=8,IF(A14=1,Inputs!$B$27,IF(A14=2,Inputs!$B$28,IF(A14&gt;=3,Inputs!$B$29,0))),(Inputs!$B$25/(Inputs!$B$25+Inputs!$B$41))*(IF(A14=1,Inputs!$B$27,IF(A14=2,Inputs!$B$28,IF(A14&gt;=3,Inputs!$B$29,0)))))+IF(A14=20,(Inputs!$B$25/(Inputs!$B$25+Inputs!$B$41))*Inputs!$B$47,0))</f>
        <v/>
      </c>
      <c r="Q14" s="16">
        <f>IF(A14=0,-Inputs!$B$26,IF(A14&lt;=8,IF(A14=1,Inputs!$B$27,IF(A14=2,Inputs!$B$28,IF(A14&gt;=3,Inputs!$B$29,0))),(Inputs!$B$25/(Inputs!$B$25+Inputs!$B$43))*(IF(A14=1,Inputs!$B$27,IF(A14=2,Inputs!$B$28,IF(A14&gt;=3,Inputs!$B$29,0)))))+IF(A14=20,(Inputs!$B$25/(Inputs!$B$25+Inputs!$B$43))*Inputs!$B$47,0))</f>
        <v/>
      </c>
    </row>
    <row r="15">
      <c r="A15" s="20" t="n">
        <v>10</v>
      </c>
      <c r="B15" s="5">
        <f>A15*12/Inputs!$B$15</f>
        <v/>
      </c>
      <c r="C15" s="36">
        <f>A15/Inputs!$B$15</f>
        <v/>
      </c>
      <c r="D15" s="37">
        <f>1/(1+Inputs!$B$21)^C15</f>
        <v/>
      </c>
      <c r="E15" s="16">
        <f>IF(A15=0,-Inputs!$B$4,IF(B15=Inputs!$B$11,Inputs!$B$4,0))</f>
        <v/>
      </c>
      <c r="F15" s="16">
        <f>IF(A15=0,-Inputs!$B$4,IF(AND(B15&gt;Inputs!$B$11,B15&lt;=Inputs!$B$11+Inputs!$B$13),Inputs!$B$4*Inputs!$B$12/Inputs!$B$15,0)+IF(B15=Inputs!$B$11+Inputs!$B$13,Inputs!$B$4,0))</f>
        <v/>
      </c>
      <c r="G15" s="16">
        <f>IF(A15=0,-Inputs!$B$4,IF(A15=20,Inputs!$B$45*Inputs!$B$47,IF(B15&gt;Inputs!$B$14,Inputs!$B$45*Inputs!$B$29,0)))</f>
        <v/>
      </c>
      <c r="H15" s="16">
        <f>Inputs!$B$17*E15+Inputs!$B$18*F15+Inputs!$B$19*G15</f>
        <v/>
      </c>
      <c r="I15" s="16">
        <f>E15*$D15</f>
        <v/>
      </c>
      <c r="J15" s="16">
        <f>F15*$D15</f>
        <v/>
      </c>
      <c r="K15" s="16">
        <f>G15*$D15</f>
        <v/>
      </c>
      <c r="L15" s="16">
        <f>H15*$D15</f>
        <v/>
      </c>
      <c r="N15" s="16">
        <f>IF(A15=0,-Inputs!$B$26,IF(A15=1,Inputs!$B$27,IF(A15=2,Inputs!$B$28,IF(A15&gt;=3,Inputs!$B$29,0)))+IF(A15=20,Inputs!$B$30+Inputs!$B$26,0))</f>
        <v/>
      </c>
      <c r="O15" s="16">
        <f>IF(A15=0,-Inputs!$B$26,IF(A15&lt;=8,IF(A15=1,Inputs!$B$27,IF(A15=2,Inputs!$B$28,IF(A15&gt;=3,Inputs!$B$29,0))),(Inputs!$B$25/(Inputs!$B$25+Inputs!$B$40))*(IF(A15=1,Inputs!$B$27,IF(A15=2,Inputs!$B$28,IF(A15&gt;=3,Inputs!$B$29,0)))))+IF(A15=20,(Inputs!$B$25/(Inputs!$B$25+Inputs!$B$40))*Inputs!$B$47,0))</f>
        <v/>
      </c>
      <c r="P15" s="16">
        <f>IF(A15=0,-Inputs!$B$26,IF(A15&lt;=8,IF(A15=1,Inputs!$B$27,IF(A15=2,Inputs!$B$28,IF(A15&gt;=3,Inputs!$B$29,0))),(Inputs!$B$25/(Inputs!$B$25+Inputs!$B$41))*(IF(A15=1,Inputs!$B$27,IF(A15=2,Inputs!$B$28,IF(A15&gt;=3,Inputs!$B$29,0)))))+IF(A15=20,(Inputs!$B$25/(Inputs!$B$25+Inputs!$B$41))*Inputs!$B$47,0))</f>
        <v/>
      </c>
      <c r="Q15" s="16">
        <f>IF(A15=0,-Inputs!$B$26,IF(A15&lt;=8,IF(A15=1,Inputs!$B$27,IF(A15=2,Inputs!$B$28,IF(A15&gt;=3,Inputs!$B$29,0))),(Inputs!$B$25/(Inputs!$B$25+Inputs!$B$43))*(IF(A15=1,Inputs!$B$27,IF(A15=2,Inputs!$B$28,IF(A15&gt;=3,Inputs!$B$29,0)))))+IF(A15=20,(Inputs!$B$25/(Inputs!$B$25+Inputs!$B$43))*Inputs!$B$47,0))</f>
        <v/>
      </c>
    </row>
    <row r="16">
      <c r="A16" s="20" t="n">
        <v>11</v>
      </c>
      <c r="B16" s="5">
        <f>A16*12/Inputs!$B$15</f>
        <v/>
      </c>
      <c r="C16" s="36">
        <f>A16/Inputs!$B$15</f>
        <v/>
      </c>
      <c r="D16" s="37">
        <f>1/(1+Inputs!$B$21)^C16</f>
        <v/>
      </c>
      <c r="E16" s="16">
        <f>IF(A16=0,-Inputs!$B$4,IF(B16=Inputs!$B$11,Inputs!$B$4,0))</f>
        <v/>
      </c>
      <c r="F16" s="16">
        <f>IF(A16=0,-Inputs!$B$4,IF(AND(B16&gt;Inputs!$B$11,B16&lt;=Inputs!$B$11+Inputs!$B$13),Inputs!$B$4*Inputs!$B$12/Inputs!$B$15,0)+IF(B16=Inputs!$B$11+Inputs!$B$13,Inputs!$B$4,0))</f>
        <v/>
      </c>
      <c r="G16" s="16">
        <f>IF(A16=0,-Inputs!$B$4,IF(A16=20,Inputs!$B$45*Inputs!$B$47,IF(B16&gt;Inputs!$B$14,Inputs!$B$45*Inputs!$B$29,0)))</f>
        <v/>
      </c>
      <c r="H16" s="16">
        <f>Inputs!$B$17*E16+Inputs!$B$18*F16+Inputs!$B$19*G16</f>
        <v/>
      </c>
      <c r="I16" s="16">
        <f>E16*$D16</f>
        <v/>
      </c>
      <c r="J16" s="16">
        <f>F16*$D16</f>
        <v/>
      </c>
      <c r="K16" s="16">
        <f>G16*$D16</f>
        <v/>
      </c>
      <c r="L16" s="16">
        <f>H16*$D16</f>
        <v/>
      </c>
      <c r="N16" s="16">
        <f>IF(A16=0,-Inputs!$B$26,IF(A16=1,Inputs!$B$27,IF(A16=2,Inputs!$B$28,IF(A16&gt;=3,Inputs!$B$29,0)))+IF(A16=20,Inputs!$B$30+Inputs!$B$26,0))</f>
        <v/>
      </c>
      <c r="O16" s="16">
        <f>IF(A16=0,-Inputs!$B$26,IF(A16&lt;=8,IF(A16=1,Inputs!$B$27,IF(A16=2,Inputs!$B$28,IF(A16&gt;=3,Inputs!$B$29,0))),(Inputs!$B$25/(Inputs!$B$25+Inputs!$B$40))*(IF(A16=1,Inputs!$B$27,IF(A16=2,Inputs!$B$28,IF(A16&gt;=3,Inputs!$B$29,0)))))+IF(A16=20,(Inputs!$B$25/(Inputs!$B$25+Inputs!$B$40))*Inputs!$B$47,0))</f>
        <v/>
      </c>
      <c r="P16" s="16">
        <f>IF(A16=0,-Inputs!$B$26,IF(A16&lt;=8,IF(A16=1,Inputs!$B$27,IF(A16=2,Inputs!$B$28,IF(A16&gt;=3,Inputs!$B$29,0))),(Inputs!$B$25/(Inputs!$B$25+Inputs!$B$41))*(IF(A16=1,Inputs!$B$27,IF(A16=2,Inputs!$B$28,IF(A16&gt;=3,Inputs!$B$29,0)))))+IF(A16=20,(Inputs!$B$25/(Inputs!$B$25+Inputs!$B$41))*Inputs!$B$47,0))</f>
        <v/>
      </c>
      <c r="Q16" s="16">
        <f>IF(A16=0,-Inputs!$B$26,IF(A16&lt;=8,IF(A16=1,Inputs!$B$27,IF(A16=2,Inputs!$B$28,IF(A16&gt;=3,Inputs!$B$29,0))),(Inputs!$B$25/(Inputs!$B$25+Inputs!$B$43))*(IF(A16=1,Inputs!$B$27,IF(A16=2,Inputs!$B$28,IF(A16&gt;=3,Inputs!$B$29,0)))))+IF(A16=20,(Inputs!$B$25/(Inputs!$B$25+Inputs!$B$43))*Inputs!$B$47,0))</f>
        <v/>
      </c>
    </row>
    <row r="17">
      <c r="A17" s="20" t="n">
        <v>12</v>
      </c>
      <c r="B17" s="5">
        <f>A17*12/Inputs!$B$15</f>
        <v/>
      </c>
      <c r="C17" s="36">
        <f>A17/Inputs!$B$15</f>
        <v/>
      </c>
      <c r="D17" s="37">
        <f>1/(1+Inputs!$B$21)^C17</f>
        <v/>
      </c>
      <c r="E17" s="16">
        <f>IF(A17=0,-Inputs!$B$4,IF(B17=Inputs!$B$11,Inputs!$B$4,0))</f>
        <v/>
      </c>
      <c r="F17" s="16">
        <f>IF(A17=0,-Inputs!$B$4,IF(AND(B17&gt;Inputs!$B$11,B17&lt;=Inputs!$B$11+Inputs!$B$13),Inputs!$B$4*Inputs!$B$12/Inputs!$B$15,0)+IF(B17=Inputs!$B$11+Inputs!$B$13,Inputs!$B$4,0))</f>
        <v/>
      </c>
      <c r="G17" s="16">
        <f>IF(A17=0,-Inputs!$B$4,IF(A17=20,Inputs!$B$45*Inputs!$B$47,IF(B17&gt;Inputs!$B$14,Inputs!$B$45*Inputs!$B$29,0)))</f>
        <v/>
      </c>
      <c r="H17" s="16">
        <f>Inputs!$B$17*E17+Inputs!$B$18*F17+Inputs!$B$19*G17</f>
        <v/>
      </c>
      <c r="I17" s="16">
        <f>E17*$D17</f>
        <v/>
      </c>
      <c r="J17" s="16">
        <f>F17*$D17</f>
        <v/>
      </c>
      <c r="K17" s="16">
        <f>G17*$D17</f>
        <v/>
      </c>
      <c r="L17" s="16">
        <f>H17*$D17</f>
        <v/>
      </c>
      <c r="N17" s="16">
        <f>IF(A17=0,-Inputs!$B$26,IF(A17=1,Inputs!$B$27,IF(A17=2,Inputs!$B$28,IF(A17&gt;=3,Inputs!$B$29,0)))+IF(A17=20,Inputs!$B$30+Inputs!$B$26,0))</f>
        <v/>
      </c>
      <c r="O17" s="16">
        <f>IF(A17=0,-Inputs!$B$26,IF(A17&lt;=8,IF(A17=1,Inputs!$B$27,IF(A17=2,Inputs!$B$28,IF(A17&gt;=3,Inputs!$B$29,0))),(Inputs!$B$25/(Inputs!$B$25+Inputs!$B$40))*(IF(A17=1,Inputs!$B$27,IF(A17=2,Inputs!$B$28,IF(A17&gt;=3,Inputs!$B$29,0)))))+IF(A17=20,(Inputs!$B$25/(Inputs!$B$25+Inputs!$B$40))*Inputs!$B$47,0))</f>
        <v/>
      </c>
      <c r="P17" s="16">
        <f>IF(A17=0,-Inputs!$B$26,IF(A17&lt;=8,IF(A17=1,Inputs!$B$27,IF(A17=2,Inputs!$B$28,IF(A17&gt;=3,Inputs!$B$29,0))),(Inputs!$B$25/(Inputs!$B$25+Inputs!$B$41))*(IF(A17=1,Inputs!$B$27,IF(A17=2,Inputs!$B$28,IF(A17&gt;=3,Inputs!$B$29,0)))))+IF(A17=20,(Inputs!$B$25/(Inputs!$B$25+Inputs!$B$41))*Inputs!$B$47,0))</f>
        <v/>
      </c>
      <c r="Q17" s="16">
        <f>IF(A17=0,-Inputs!$B$26,IF(A17&lt;=8,IF(A17=1,Inputs!$B$27,IF(A17=2,Inputs!$B$28,IF(A17&gt;=3,Inputs!$B$29,0))),(Inputs!$B$25/(Inputs!$B$25+Inputs!$B$43))*(IF(A17=1,Inputs!$B$27,IF(A17=2,Inputs!$B$28,IF(A17&gt;=3,Inputs!$B$29,0)))))+IF(A17=20,(Inputs!$B$25/(Inputs!$B$25+Inputs!$B$43))*Inputs!$B$47,0))</f>
        <v/>
      </c>
    </row>
    <row r="18">
      <c r="A18" s="20" t="n">
        <v>13</v>
      </c>
      <c r="B18" s="5">
        <f>A18*12/Inputs!$B$15</f>
        <v/>
      </c>
      <c r="C18" s="36">
        <f>A18/Inputs!$B$15</f>
        <v/>
      </c>
      <c r="D18" s="37">
        <f>1/(1+Inputs!$B$21)^C18</f>
        <v/>
      </c>
      <c r="E18" s="16">
        <f>IF(A18=0,-Inputs!$B$4,IF(B18=Inputs!$B$11,Inputs!$B$4,0))</f>
        <v/>
      </c>
      <c r="F18" s="16">
        <f>IF(A18=0,-Inputs!$B$4,IF(AND(B18&gt;Inputs!$B$11,B18&lt;=Inputs!$B$11+Inputs!$B$13),Inputs!$B$4*Inputs!$B$12/Inputs!$B$15,0)+IF(B18=Inputs!$B$11+Inputs!$B$13,Inputs!$B$4,0))</f>
        <v/>
      </c>
      <c r="G18" s="16">
        <f>IF(A18=0,-Inputs!$B$4,IF(A18=20,Inputs!$B$45*Inputs!$B$47,IF(B18&gt;Inputs!$B$14,Inputs!$B$45*Inputs!$B$29,0)))</f>
        <v/>
      </c>
      <c r="H18" s="16">
        <f>Inputs!$B$17*E18+Inputs!$B$18*F18+Inputs!$B$19*G18</f>
        <v/>
      </c>
      <c r="I18" s="16">
        <f>E18*$D18</f>
        <v/>
      </c>
      <c r="J18" s="16">
        <f>F18*$D18</f>
        <v/>
      </c>
      <c r="K18" s="16">
        <f>G18*$D18</f>
        <v/>
      </c>
      <c r="L18" s="16">
        <f>H18*$D18</f>
        <v/>
      </c>
      <c r="N18" s="16">
        <f>IF(A18=0,-Inputs!$B$26,IF(A18=1,Inputs!$B$27,IF(A18=2,Inputs!$B$28,IF(A18&gt;=3,Inputs!$B$29,0)))+IF(A18=20,Inputs!$B$30+Inputs!$B$26,0))</f>
        <v/>
      </c>
      <c r="O18" s="16">
        <f>IF(A18=0,-Inputs!$B$26,IF(A18&lt;=8,IF(A18=1,Inputs!$B$27,IF(A18=2,Inputs!$B$28,IF(A18&gt;=3,Inputs!$B$29,0))),(Inputs!$B$25/(Inputs!$B$25+Inputs!$B$40))*(IF(A18=1,Inputs!$B$27,IF(A18=2,Inputs!$B$28,IF(A18&gt;=3,Inputs!$B$29,0)))))+IF(A18=20,(Inputs!$B$25/(Inputs!$B$25+Inputs!$B$40))*Inputs!$B$47,0))</f>
        <v/>
      </c>
      <c r="P18" s="16">
        <f>IF(A18=0,-Inputs!$B$26,IF(A18&lt;=8,IF(A18=1,Inputs!$B$27,IF(A18=2,Inputs!$B$28,IF(A18&gt;=3,Inputs!$B$29,0))),(Inputs!$B$25/(Inputs!$B$25+Inputs!$B$41))*(IF(A18=1,Inputs!$B$27,IF(A18=2,Inputs!$B$28,IF(A18&gt;=3,Inputs!$B$29,0)))))+IF(A18=20,(Inputs!$B$25/(Inputs!$B$25+Inputs!$B$41))*Inputs!$B$47,0))</f>
        <v/>
      </c>
      <c r="Q18" s="16">
        <f>IF(A18=0,-Inputs!$B$26,IF(A18&lt;=8,IF(A18=1,Inputs!$B$27,IF(A18=2,Inputs!$B$28,IF(A18&gt;=3,Inputs!$B$29,0))),(Inputs!$B$25/(Inputs!$B$25+Inputs!$B$43))*(IF(A18=1,Inputs!$B$27,IF(A18=2,Inputs!$B$28,IF(A18&gt;=3,Inputs!$B$29,0)))))+IF(A18=20,(Inputs!$B$25/(Inputs!$B$25+Inputs!$B$43))*Inputs!$B$47,0))</f>
        <v/>
      </c>
    </row>
    <row r="19">
      <c r="A19" s="20" t="n">
        <v>14</v>
      </c>
      <c r="B19" s="5">
        <f>A19*12/Inputs!$B$15</f>
        <v/>
      </c>
      <c r="C19" s="36">
        <f>A19/Inputs!$B$15</f>
        <v/>
      </c>
      <c r="D19" s="37">
        <f>1/(1+Inputs!$B$21)^C19</f>
        <v/>
      </c>
      <c r="E19" s="16">
        <f>IF(A19=0,-Inputs!$B$4,IF(B19=Inputs!$B$11,Inputs!$B$4,0))</f>
        <v/>
      </c>
      <c r="F19" s="16">
        <f>IF(A19=0,-Inputs!$B$4,IF(AND(B19&gt;Inputs!$B$11,B19&lt;=Inputs!$B$11+Inputs!$B$13),Inputs!$B$4*Inputs!$B$12/Inputs!$B$15,0)+IF(B19=Inputs!$B$11+Inputs!$B$13,Inputs!$B$4,0))</f>
        <v/>
      </c>
      <c r="G19" s="16">
        <f>IF(A19=0,-Inputs!$B$4,IF(A19=20,Inputs!$B$45*Inputs!$B$47,IF(B19&gt;Inputs!$B$14,Inputs!$B$45*Inputs!$B$29,0)))</f>
        <v/>
      </c>
      <c r="H19" s="16">
        <f>Inputs!$B$17*E19+Inputs!$B$18*F19+Inputs!$B$19*G19</f>
        <v/>
      </c>
      <c r="I19" s="16">
        <f>E19*$D19</f>
        <v/>
      </c>
      <c r="J19" s="16">
        <f>F19*$D19</f>
        <v/>
      </c>
      <c r="K19" s="16">
        <f>G19*$D19</f>
        <v/>
      </c>
      <c r="L19" s="16">
        <f>H19*$D19</f>
        <v/>
      </c>
      <c r="N19" s="16">
        <f>IF(A19=0,-Inputs!$B$26,IF(A19=1,Inputs!$B$27,IF(A19=2,Inputs!$B$28,IF(A19&gt;=3,Inputs!$B$29,0)))+IF(A19=20,Inputs!$B$30+Inputs!$B$26,0))</f>
        <v/>
      </c>
      <c r="O19" s="16">
        <f>IF(A19=0,-Inputs!$B$26,IF(A19&lt;=8,IF(A19=1,Inputs!$B$27,IF(A19=2,Inputs!$B$28,IF(A19&gt;=3,Inputs!$B$29,0))),(Inputs!$B$25/(Inputs!$B$25+Inputs!$B$40))*(IF(A19=1,Inputs!$B$27,IF(A19=2,Inputs!$B$28,IF(A19&gt;=3,Inputs!$B$29,0)))))+IF(A19=20,(Inputs!$B$25/(Inputs!$B$25+Inputs!$B$40))*Inputs!$B$47,0))</f>
        <v/>
      </c>
      <c r="P19" s="16">
        <f>IF(A19=0,-Inputs!$B$26,IF(A19&lt;=8,IF(A19=1,Inputs!$B$27,IF(A19=2,Inputs!$B$28,IF(A19&gt;=3,Inputs!$B$29,0))),(Inputs!$B$25/(Inputs!$B$25+Inputs!$B$41))*(IF(A19=1,Inputs!$B$27,IF(A19=2,Inputs!$B$28,IF(A19&gt;=3,Inputs!$B$29,0)))))+IF(A19=20,(Inputs!$B$25/(Inputs!$B$25+Inputs!$B$41))*Inputs!$B$47,0))</f>
        <v/>
      </c>
      <c r="Q19" s="16">
        <f>IF(A19=0,-Inputs!$B$26,IF(A19&lt;=8,IF(A19=1,Inputs!$B$27,IF(A19=2,Inputs!$B$28,IF(A19&gt;=3,Inputs!$B$29,0))),(Inputs!$B$25/(Inputs!$B$25+Inputs!$B$43))*(IF(A19=1,Inputs!$B$27,IF(A19=2,Inputs!$B$28,IF(A19&gt;=3,Inputs!$B$29,0)))))+IF(A19=20,(Inputs!$B$25/(Inputs!$B$25+Inputs!$B$43))*Inputs!$B$47,0))</f>
        <v/>
      </c>
    </row>
    <row r="20">
      <c r="A20" s="20" t="n">
        <v>15</v>
      </c>
      <c r="B20" s="5">
        <f>A20*12/Inputs!$B$15</f>
        <v/>
      </c>
      <c r="C20" s="36">
        <f>A20/Inputs!$B$15</f>
        <v/>
      </c>
      <c r="D20" s="37">
        <f>1/(1+Inputs!$B$21)^C20</f>
        <v/>
      </c>
      <c r="E20" s="16">
        <f>IF(A20=0,-Inputs!$B$4,IF(B20=Inputs!$B$11,Inputs!$B$4,0))</f>
        <v/>
      </c>
      <c r="F20" s="16">
        <f>IF(A20=0,-Inputs!$B$4,IF(AND(B20&gt;Inputs!$B$11,B20&lt;=Inputs!$B$11+Inputs!$B$13),Inputs!$B$4*Inputs!$B$12/Inputs!$B$15,0)+IF(B20=Inputs!$B$11+Inputs!$B$13,Inputs!$B$4,0))</f>
        <v/>
      </c>
      <c r="G20" s="16">
        <f>IF(A20=0,-Inputs!$B$4,IF(A20=20,Inputs!$B$45*Inputs!$B$47,IF(B20&gt;Inputs!$B$14,Inputs!$B$45*Inputs!$B$29,0)))</f>
        <v/>
      </c>
      <c r="H20" s="16">
        <f>Inputs!$B$17*E20+Inputs!$B$18*F20+Inputs!$B$19*G20</f>
        <v/>
      </c>
      <c r="I20" s="16">
        <f>E20*$D20</f>
        <v/>
      </c>
      <c r="J20" s="16">
        <f>F20*$D20</f>
        <v/>
      </c>
      <c r="K20" s="16">
        <f>G20*$D20</f>
        <v/>
      </c>
      <c r="L20" s="16">
        <f>H20*$D20</f>
        <v/>
      </c>
      <c r="N20" s="16">
        <f>IF(A20=0,-Inputs!$B$26,IF(A20=1,Inputs!$B$27,IF(A20=2,Inputs!$B$28,IF(A20&gt;=3,Inputs!$B$29,0)))+IF(A20=20,Inputs!$B$30+Inputs!$B$26,0))</f>
        <v/>
      </c>
      <c r="O20" s="16">
        <f>IF(A20=0,-Inputs!$B$26,IF(A20&lt;=8,IF(A20=1,Inputs!$B$27,IF(A20=2,Inputs!$B$28,IF(A20&gt;=3,Inputs!$B$29,0))),(Inputs!$B$25/(Inputs!$B$25+Inputs!$B$40))*(IF(A20=1,Inputs!$B$27,IF(A20=2,Inputs!$B$28,IF(A20&gt;=3,Inputs!$B$29,0)))))+IF(A20=20,(Inputs!$B$25/(Inputs!$B$25+Inputs!$B$40))*Inputs!$B$47,0))</f>
        <v/>
      </c>
      <c r="P20" s="16">
        <f>IF(A20=0,-Inputs!$B$26,IF(A20&lt;=8,IF(A20=1,Inputs!$B$27,IF(A20=2,Inputs!$B$28,IF(A20&gt;=3,Inputs!$B$29,0))),(Inputs!$B$25/(Inputs!$B$25+Inputs!$B$41))*(IF(A20=1,Inputs!$B$27,IF(A20=2,Inputs!$B$28,IF(A20&gt;=3,Inputs!$B$29,0)))))+IF(A20=20,(Inputs!$B$25/(Inputs!$B$25+Inputs!$B$41))*Inputs!$B$47,0))</f>
        <v/>
      </c>
      <c r="Q20" s="16">
        <f>IF(A20=0,-Inputs!$B$26,IF(A20&lt;=8,IF(A20=1,Inputs!$B$27,IF(A20=2,Inputs!$B$28,IF(A20&gt;=3,Inputs!$B$29,0))),(Inputs!$B$25/(Inputs!$B$25+Inputs!$B$43))*(IF(A20=1,Inputs!$B$27,IF(A20=2,Inputs!$B$28,IF(A20&gt;=3,Inputs!$B$29,0)))))+IF(A20=20,(Inputs!$B$25/(Inputs!$B$25+Inputs!$B$43))*Inputs!$B$47,0))</f>
        <v/>
      </c>
    </row>
    <row r="21">
      <c r="A21" s="20" t="n">
        <v>16</v>
      </c>
      <c r="B21" s="5">
        <f>A21*12/Inputs!$B$15</f>
        <v/>
      </c>
      <c r="C21" s="36">
        <f>A21/Inputs!$B$15</f>
        <v/>
      </c>
      <c r="D21" s="37">
        <f>1/(1+Inputs!$B$21)^C21</f>
        <v/>
      </c>
      <c r="E21" s="16">
        <f>IF(A21=0,-Inputs!$B$4,IF(B21=Inputs!$B$11,Inputs!$B$4,0))</f>
        <v/>
      </c>
      <c r="F21" s="16">
        <f>IF(A21=0,-Inputs!$B$4,IF(AND(B21&gt;Inputs!$B$11,B21&lt;=Inputs!$B$11+Inputs!$B$13),Inputs!$B$4*Inputs!$B$12/Inputs!$B$15,0)+IF(B21=Inputs!$B$11+Inputs!$B$13,Inputs!$B$4,0))</f>
        <v/>
      </c>
      <c r="G21" s="16">
        <f>IF(A21=0,-Inputs!$B$4,IF(A21=20,Inputs!$B$45*Inputs!$B$47,IF(B21&gt;Inputs!$B$14,Inputs!$B$45*Inputs!$B$29,0)))</f>
        <v/>
      </c>
      <c r="H21" s="16">
        <f>Inputs!$B$17*E21+Inputs!$B$18*F21+Inputs!$B$19*G21</f>
        <v/>
      </c>
      <c r="I21" s="16">
        <f>E21*$D21</f>
        <v/>
      </c>
      <c r="J21" s="16">
        <f>F21*$D21</f>
        <v/>
      </c>
      <c r="K21" s="16">
        <f>G21*$D21</f>
        <v/>
      </c>
      <c r="L21" s="16">
        <f>H21*$D21</f>
        <v/>
      </c>
      <c r="N21" s="16">
        <f>IF(A21=0,-Inputs!$B$26,IF(A21=1,Inputs!$B$27,IF(A21=2,Inputs!$B$28,IF(A21&gt;=3,Inputs!$B$29,0)))+IF(A21=20,Inputs!$B$30+Inputs!$B$26,0))</f>
        <v/>
      </c>
      <c r="O21" s="16">
        <f>IF(A21=0,-Inputs!$B$26,IF(A21&lt;=8,IF(A21=1,Inputs!$B$27,IF(A21=2,Inputs!$B$28,IF(A21&gt;=3,Inputs!$B$29,0))),(Inputs!$B$25/(Inputs!$B$25+Inputs!$B$40))*(IF(A21=1,Inputs!$B$27,IF(A21=2,Inputs!$B$28,IF(A21&gt;=3,Inputs!$B$29,0)))))+IF(A21=20,(Inputs!$B$25/(Inputs!$B$25+Inputs!$B$40))*Inputs!$B$47,0))</f>
        <v/>
      </c>
      <c r="P21" s="16">
        <f>IF(A21=0,-Inputs!$B$26,IF(A21&lt;=8,IF(A21=1,Inputs!$B$27,IF(A21=2,Inputs!$B$28,IF(A21&gt;=3,Inputs!$B$29,0))),(Inputs!$B$25/(Inputs!$B$25+Inputs!$B$41))*(IF(A21=1,Inputs!$B$27,IF(A21=2,Inputs!$B$28,IF(A21&gt;=3,Inputs!$B$29,0)))))+IF(A21=20,(Inputs!$B$25/(Inputs!$B$25+Inputs!$B$41))*Inputs!$B$47,0))</f>
        <v/>
      </c>
      <c r="Q21" s="16">
        <f>IF(A21=0,-Inputs!$B$26,IF(A21&lt;=8,IF(A21=1,Inputs!$B$27,IF(A21=2,Inputs!$B$28,IF(A21&gt;=3,Inputs!$B$29,0))),(Inputs!$B$25/(Inputs!$B$25+Inputs!$B$43))*(IF(A21=1,Inputs!$B$27,IF(A21=2,Inputs!$B$28,IF(A21&gt;=3,Inputs!$B$29,0)))))+IF(A21=20,(Inputs!$B$25/(Inputs!$B$25+Inputs!$B$43))*Inputs!$B$47,0))</f>
        <v/>
      </c>
    </row>
    <row r="22">
      <c r="A22" s="20" t="n">
        <v>17</v>
      </c>
      <c r="B22" s="5">
        <f>A22*12/Inputs!$B$15</f>
        <v/>
      </c>
      <c r="C22" s="36">
        <f>A22/Inputs!$B$15</f>
        <v/>
      </c>
      <c r="D22" s="37">
        <f>1/(1+Inputs!$B$21)^C22</f>
        <v/>
      </c>
      <c r="E22" s="16">
        <f>IF(A22=0,-Inputs!$B$4,IF(B22=Inputs!$B$11,Inputs!$B$4,0))</f>
        <v/>
      </c>
      <c r="F22" s="16">
        <f>IF(A22=0,-Inputs!$B$4,IF(AND(B22&gt;Inputs!$B$11,B22&lt;=Inputs!$B$11+Inputs!$B$13),Inputs!$B$4*Inputs!$B$12/Inputs!$B$15,0)+IF(B22=Inputs!$B$11+Inputs!$B$13,Inputs!$B$4,0))</f>
        <v/>
      </c>
      <c r="G22" s="16">
        <f>IF(A22=0,-Inputs!$B$4,IF(A22=20,Inputs!$B$45*Inputs!$B$47,IF(B22&gt;Inputs!$B$14,Inputs!$B$45*Inputs!$B$29,0)))</f>
        <v/>
      </c>
      <c r="H22" s="16">
        <f>Inputs!$B$17*E22+Inputs!$B$18*F22+Inputs!$B$19*G22</f>
        <v/>
      </c>
      <c r="I22" s="16">
        <f>E22*$D22</f>
        <v/>
      </c>
      <c r="J22" s="16">
        <f>F22*$D22</f>
        <v/>
      </c>
      <c r="K22" s="16">
        <f>G22*$D22</f>
        <v/>
      </c>
      <c r="L22" s="16">
        <f>H22*$D22</f>
        <v/>
      </c>
      <c r="N22" s="16">
        <f>IF(A22=0,-Inputs!$B$26,IF(A22=1,Inputs!$B$27,IF(A22=2,Inputs!$B$28,IF(A22&gt;=3,Inputs!$B$29,0)))+IF(A22=20,Inputs!$B$30+Inputs!$B$26,0))</f>
        <v/>
      </c>
      <c r="O22" s="16">
        <f>IF(A22=0,-Inputs!$B$26,IF(A22&lt;=8,IF(A22=1,Inputs!$B$27,IF(A22=2,Inputs!$B$28,IF(A22&gt;=3,Inputs!$B$29,0))),(Inputs!$B$25/(Inputs!$B$25+Inputs!$B$40))*(IF(A22=1,Inputs!$B$27,IF(A22=2,Inputs!$B$28,IF(A22&gt;=3,Inputs!$B$29,0)))))+IF(A22=20,(Inputs!$B$25/(Inputs!$B$25+Inputs!$B$40))*Inputs!$B$47,0))</f>
        <v/>
      </c>
      <c r="P22" s="16">
        <f>IF(A22=0,-Inputs!$B$26,IF(A22&lt;=8,IF(A22=1,Inputs!$B$27,IF(A22=2,Inputs!$B$28,IF(A22&gt;=3,Inputs!$B$29,0))),(Inputs!$B$25/(Inputs!$B$25+Inputs!$B$41))*(IF(A22=1,Inputs!$B$27,IF(A22=2,Inputs!$B$28,IF(A22&gt;=3,Inputs!$B$29,0)))))+IF(A22=20,(Inputs!$B$25/(Inputs!$B$25+Inputs!$B$41))*Inputs!$B$47,0))</f>
        <v/>
      </c>
      <c r="Q22" s="16">
        <f>IF(A22=0,-Inputs!$B$26,IF(A22&lt;=8,IF(A22=1,Inputs!$B$27,IF(A22=2,Inputs!$B$28,IF(A22&gt;=3,Inputs!$B$29,0))),(Inputs!$B$25/(Inputs!$B$25+Inputs!$B$43))*(IF(A22=1,Inputs!$B$27,IF(A22=2,Inputs!$B$28,IF(A22&gt;=3,Inputs!$B$29,0)))))+IF(A22=20,(Inputs!$B$25/(Inputs!$B$25+Inputs!$B$43))*Inputs!$B$47,0))</f>
        <v/>
      </c>
    </row>
    <row r="23">
      <c r="A23" s="20" t="n">
        <v>18</v>
      </c>
      <c r="B23" s="5">
        <f>A23*12/Inputs!$B$15</f>
        <v/>
      </c>
      <c r="C23" s="36">
        <f>A23/Inputs!$B$15</f>
        <v/>
      </c>
      <c r="D23" s="37">
        <f>1/(1+Inputs!$B$21)^C23</f>
        <v/>
      </c>
      <c r="E23" s="16">
        <f>IF(A23=0,-Inputs!$B$4,IF(B23=Inputs!$B$11,Inputs!$B$4,0))</f>
        <v/>
      </c>
      <c r="F23" s="16">
        <f>IF(A23=0,-Inputs!$B$4,IF(AND(B23&gt;Inputs!$B$11,B23&lt;=Inputs!$B$11+Inputs!$B$13),Inputs!$B$4*Inputs!$B$12/Inputs!$B$15,0)+IF(B23=Inputs!$B$11+Inputs!$B$13,Inputs!$B$4,0))</f>
        <v/>
      </c>
      <c r="G23" s="16">
        <f>IF(A23=0,-Inputs!$B$4,IF(A23=20,Inputs!$B$45*Inputs!$B$47,IF(B23&gt;Inputs!$B$14,Inputs!$B$45*Inputs!$B$29,0)))</f>
        <v/>
      </c>
      <c r="H23" s="16">
        <f>Inputs!$B$17*E23+Inputs!$B$18*F23+Inputs!$B$19*G23</f>
        <v/>
      </c>
      <c r="I23" s="16">
        <f>E23*$D23</f>
        <v/>
      </c>
      <c r="J23" s="16">
        <f>F23*$D23</f>
        <v/>
      </c>
      <c r="K23" s="16">
        <f>G23*$D23</f>
        <v/>
      </c>
      <c r="L23" s="16">
        <f>H23*$D23</f>
        <v/>
      </c>
      <c r="N23" s="16">
        <f>IF(A23=0,-Inputs!$B$26,IF(A23=1,Inputs!$B$27,IF(A23=2,Inputs!$B$28,IF(A23&gt;=3,Inputs!$B$29,0)))+IF(A23=20,Inputs!$B$30+Inputs!$B$26,0))</f>
        <v/>
      </c>
      <c r="O23" s="16">
        <f>IF(A23=0,-Inputs!$B$26,IF(A23&lt;=8,IF(A23=1,Inputs!$B$27,IF(A23=2,Inputs!$B$28,IF(A23&gt;=3,Inputs!$B$29,0))),(Inputs!$B$25/(Inputs!$B$25+Inputs!$B$40))*(IF(A23=1,Inputs!$B$27,IF(A23=2,Inputs!$B$28,IF(A23&gt;=3,Inputs!$B$29,0)))))+IF(A23=20,(Inputs!$B$25/(Inputs!$B$25+Inputs!$B$40))*Inputs!$B$47,0))</f>
        <v/>
      </c>
      <c r="P23" s="16">
        <f>IF(A23=0,-Inputs!$B$26,IF(A23&lt;=8,IF(A23=1,Inputs!$B$27,IF(A23=2,Inputs!$B$28,IF(A23&gt;=3,Inputs!$B$29,0))),(Inputs!$B$25/(Inputs!$B$25+Inputs!$B$41))*(IF(A23=1,Inputs!$B$27,IF(A23=2,Inputs!$B$28,IF(A23&gt;=3,Inputs!$B$29,0)))))+IF(A23=20,(Inputs!$B$25/(Inputs!$B$25+Inputs!$B$41))*Inputs!$B$47,0))</f>
        <v/>
      </c>
      <c r="Q23" s="16">
        <f>IF(A23=0,-Inputs!$B$26,IF(A23&lt;=8,IF(A23=1,Inputs!$B$27,IF(A23=2,Inputs!$B$28,IF(A23&gt;=3,Inputs!$B$29,0))),(Inputs!$B$25/(Inputs!$B$25+Inputs!$B$43))*(IF(A23=1,Inputs!$B$27,IF(A23=2,Inputs!$B$28,IF(A23&gt;=3,Inputs!$B$29,0)))))+IF(A23=20,(Inputs!$B$25/(Inputs!$B$25+Inputs!$B$43))*Inputs!$B$47,0))</f>
        <v/>
      </c>
    </row>
    <row r="24">
      <c r="A24" s="20" t="n">
        <v>19</v>
      </c>
      <c r="B24" s="5">
        <f>A24*12/Inputs!$B$15</f>
        <v/>
      </c>
      <c r="C24" s="36">
        <f>A24/Inputs!$B$15</f>
        <v/>
      </c>
      <c r="D24" s="37">
        <f>1/(1+Inputs!$B$21)^C24</f>
        <v/>
      </c>
      <c r="E24" s="16">
        <f>IF(A24=0,-Inputs!$B$4,IF(B24=Inputs!$B$11,Inputs!$B$4,0))</f>
        <v/>
      </c>
      <c r="F24" s="16">
        <f>IF(A24=0,-Inputs!$B$4,IF(AND(B24&gt;Inputs!$B$11,B24&lt;=Inputs!$B$11+Inputs!$B$13),Inputs!$B$4*Inputs!$B$12/Inputs!$B$15,0)+IF(B24=Inputs!$B$11+Inputs!$B$13,Inputs!$B$4,0))</f>
        <v/>
      </c>
      <c r="G24" s="16">
        <f>IF(A24=0,-Inputs!$B$4,IF(A24=20,Inputs!$B$45*Inputs!$B$47,IF(B24&gt;Inputs!$B$14,Inputs!$B$45*Inputs!$B$29,0)))</f>
        <v/>
      </c>
      <c r="H24" s="16">
        <f>Inputs!$B$17*E24+Inputs!$B$18*F24+Inputs!$B$19*G24</f>
        <v/>
      </c>
      <c r="I24" s="16">
        <f>E24*$D24</f>
        <v/>
      </c>
      <c r="J24" s="16">
        <f>F24*$D24</f>
        <v/>
      </c>
      <c r="K24" s="16">
        <f>G24*$D24</f>
        <v/>
      </c>
      <c r="L24" s="16">
        <f>H24*$D24</f>
        <v/>
      </c>
      <c r="N24" s="16">
        <f>IF(A24=0,-Inputs!$B$26,IF(A24=1,Inputs!$B$27,IF(A24=2,Inputs!$B$28,IF(A24&gt;=3,Inputs!$B$29,0)))+IF(A24=20,Inputs!$B$30+Inputs!$B$26,0))</f>
        <v/>
      </c>
      <c r="O24" s="16">
        <f>IF(A24=0,-Inputs!$B$26,IF(A24&lt;=8,IF(A24=1,Inputs!$B$27,IF(A24=2,Inputs!$B$28,IF(A24&gt;=3,Inputs!$B$29,0))),(Inputs!$B$25/(Inputs!$B$25+Inputs!$B$40))*(IF(A24=1,Inputs!$B$27,IF(A24=2,Inputs!$B$28,IF(A24&gt;=3,Inputs!$B$29,0)))))+IF(A24=20,(Inputs!$B$25/(Inputs!$B$25+Inputs!$B$40))*Inputs!$B$47,0))</f>
        <v/>
      </c>
      <c r="P24" s="16">
        <f>IF(A24=0,-Inputs!$B$26,IF(A24&lt;=8,IF(A24=1,Inputs!$B$27,IF(A24=2,Inputs!$B$28,IF(A24&gt;=3,Inputs!$B$29,0))),(Inputs!$B$25/(Inputs!$B$25+Inputs!$B$41))*(IF(A24=1,Inputs!$B$27,IF(A24=2,Inputs!$B$28,IF(A24&gt;=3,Inputs!$B$29,0)))))+IF(A24=20,(Inputs!$B$25/(Inputs!$B$25+Inputs!$B$41))*Inputs!$B$47,0))</f>
        <v/>
      </c>
      <c r="Q24" s="16">
        <f>IF(A24=0,-Inputs!$B$26,IF(A24&lt;=8,IF(A24=1,Inputs!$B$27,IF(A24=2,Inputs!$B$28,IF(A24&gt;=3,Inputs!$B$29,0))),(Inputs!$B$25/(Inputs!$B$25+Inputs!$B$43))*(IF(A24=1,Inputs!$B$27,IF(A24=2,Inputs!$B$28,IF(A24&gt;=3,Inputs!$B$29,0)))))+IF(A24=20,(Inputs!$B$25/(Inputs!$B$25+Inputs!$B$43))*Inputs!$B$47,0))</f>
        <v/>
      </c>
    </row>
    <row r="25">
      <c r="A25" s="20" t="n">
        <v>20</v>
      </c>
      <c r="B25" s="5">
        <f>A25*12/Inputs!$B$15</f>
        <v/>
      </c>
      <c r="C25" s="36">
        <f>A25/Inputs!$B$15</f>
        <v/>
      </c>
      <c r="D25" s="37">
        <f>1/(1+Inputs!$B$21)^C25</f>
        <v/>
      </c>
      <c r="E25" s="16">
        <f>IF(A25=0,-Inputs!$B$4,IF(B25=Inputs!$B$11,Inputs!$B$4,0))</f>
        <v/>
      </c>
      <c r="F25" s="16">
        <f>IF(A25=0,-Inputs!$B$4,IF(AND(B25&gt;Inputs!$B$11,B25&lt;=Inputs!$B$11+Inputs!$B$13),Inputs!$B$4*Inputs!$B$12/Inputs!$B$15,0)+IF(B25=Inputs!$B$11+Inputs!$B$13,Inputs!$B$4,0))</f>
        <v/>
      </c>
      <c r="G25" s="16">
        <f>IF(A25=0,-Inputs!$B$4,IF(A25=20,Inputs!$B$45*Inputs!$B$47,IF(B25&gt;Inputs!$B$14,Inputs!$B$45*Inputs!$B$29,0)))</f>
        <v/>
      </c>
      <c r="H25" s="16">
        <f>Inputs!$B$17*E25+Inputs!$B$18*F25+Inputs!$B$19*G25</f>
        <v/>
      </c>
      <c r="I25" s="16">
        <f>E25*$D25</f>
        <v/>
      </c>
      <c r="J25" s="16">
        <f>F25*$D25</f>
        <v/>
      </c>
      <c r="K25" s="16">
        <f>G25*$D25</f>
        <v/>
      </c>
      <c r="L25" s="16">
        <f>H25*$D25</f>
        <v/>
      </c>
      <c r="N25" s="16">
        <f>IF(A25=0,-Inputs!$B$26,IF(A25=1,Inputs!$B$27,IF(A25=2,Inputs!$B$28,IF(A25&gt;=3,Inputs!$B$29,0)))+IF(A25=20,Inputs!$B$30+Inputs!$B$26,0))</f>
        <v/>
      </c>
      <c r="O25" s="16">
        <f>IF(A25=0,-Inputs!$B$26,IF(A25&lt;=8,IF(A25=1,Inputs!$B$27,IF(A25=2,Inputs!$B$28,IF(A25&gt;=3,Inputs!$B$29,0))),(Inputs!$B$25/(Inputs!$B$25+Inputs!$B$40))*(IF(A25=1,Inputs!$B$27,IF(A25=2,Inputs!$B$28,IF(A25&gt;=3,Inputs!$B$29,0)))))+IF(A25=20,(Inputs!$B$25/(Inputs!$B$25+Inputs!$B$40))*Inputs!$B$47,0))</f>
        <v/>
      </c>
      <c r="P25" s="16">
        <f>IF(A25=0,-Inputs!$B$26,IF(A25&lt;=8,IF(A25=1,Inputs!$B$27,IF(A25=2,Inputs!$B$28,IF(A25&gt;=3,Inputs!$B$29,0))),(Inputs!$B$25/(Inputs!$B$25+Inputs!$B$41))*(IF(A25=1,Inputs!$B$27,IF(A25=2,Inputs!$B$28,IF(A25&gt;=3,Inputs!$B$29,0)))))+IF(A25=20,(Inputs!$B$25/(Inputs!$B$25+Inputs!$B$41))*Inputs!$B$47,0))</f>
        <v/>
      </c>
      <c r="Q25" s="16">
        <f>IF(A25=0,-Inputs!$B$26,IF(A25&lt;=8,IF(A25=1,Inputs!$B$27,IF(A25=2,Inputs!$B$28,IF(A25&gt;=3,Inputs!$B$29,0))),(Inputs!$B$25/(Inputs!$B$25+Inputs!$B$43))*(IF(A25=1,Inputs!$B$27,IF(A25=2,Inputs!$B$28,IF(A25&gt;=3,Inputs!$B$29,0)))))+IF(A25=20,(Inputs!$B$25/(Inputs!$B$25+Inputs!$B$43))*Inputs!$B$47,0))</f>
        <v/>
      </c>
    </row>
    <row r="27">
      <c r="A27" s="34" t="inlineStr">
        <is>
          <t>합계</t>
        </is>
      </c>
      <c r="E27" s="38">
        <f>SUM(E5:E25)</f>
        <v/>
      </c>
      <c r="F27" s="38">
        <f>SUM(F5:F25)</f>
        <v/>
      </c>
      <c r="G27" s="38">
        <f>SUM(G5:G25)</f>
        <v/>
      </c>
      <c r="H27" s="38">
        <f>SUM(H5:H25)</f>
        <v/>
      </c>
      <c r="N27" s="38">
        <f>SUM(N5:N25)</f>
        <v/>
      </c>
      <c r="O27" s="38">
        <f>SUM(O5:O25)</f>
        <v/>
      </c>
      <c r="P27" s="38">
        <f>SUM(P5:P25)</f>
        <v/>
      </c>
      <c r="Q27" s="38">
        <f>SUM(Q5:Q25)</f>
        <v/>
      </c>
    </row>
    <row r="28">
      <c r="A28" s="34" t="inlineStr">
        <is>
          <t>PV 합계 (FY0 투자 제외)</t>
        </is>
      </c>
      <c r="I28" s="17">
        <f>SUM(I6:I25)</f>
        <v/>
      </c>
      <c r="J28" s="17">
        <f>SUM(J6:J25)</f>
        <v/>
      </c>
      <c r="K28" s="17">
        <f>SUM(K6:K25)</f>
        <v/>
      </c>
      <c r="L28" s="17">
        <f>SUM(L6:L25)</f>
        <v/>
      </c>
    </row>
    <row r="29">
      <c r="A29" s="34" t="inlineStr">
        <is>
          <t>NPV (투자 포함)</t>
        </is>
      </c>
      <c r="I29" s="39">
        <f>I28-Inputs!$B$4</f>
        <v/>
      </c>
      <c r="J29" s="39">
        <f>J28-Inputs!$B$4</f>
        <v/>
      </c>
      <c r="K29" s="39">
        <f>K28-Inputs!$B$4</f>
        <v/>
      </c>
      <c r="L29" s="39">
        <f>L28-Inputs!$B$4</f>
        <v/>
      </c>
    </row>
    <row r="30">
      <c r="A30" s="34" t="inlineStr">
        <is>
          <t>IRR (연, 반기 IRR 연환산)</t>
        </is>
      </c>
      <c r="E30" s="40">
        <f>IFERROR((1+IRR(E5:E25))^Inputs!$B$15-1,"n/a")</f>
        <v/>
      </c>
      <c r="F30" s="40">
        <f>IFERROR((1+IRR(F5:F25))^Inputs!$B$15-1,"n/a")</f>
        <v/>
      </c>
      <c r="G30" s="40">
        <f>IFERROR((1+IRR(G5:G25))^Inputs!$B$15-1,"n/a")</f>
        <v/>
      </c>
      <c r="H30" s="40">
        <f>IFERROR((1+IRR(H5:H25))^Inputs!$B$15-1,"n/a")</f>
        <v/>
      </c>
      <c r="N30" s="40">
        <f>IFERROR((1+IRR(N5:N25))^Inputs!$B$15-1,"n/a")</f>
        <v/>
      </c>
      <c r="O30" s="40">
        <f>IFERROR((1+IRR(O5:O25))^Inputs!$B$15-1,"n/a")</f>
        <v/>
      </c>
      <c r="P30" s="40">
        <f>IFERROR((1+IRR(P5:P25))^Inputs!$B$15-1,"n/a")</f>
        <v/>
      </c>
      <c r="Q30" s="40">
        <f>IFERROR((1+IRR(Q5:Q25))^Inputs!$B$15-1,"n/a")</f>
        <v/>
      </c>
    </row>
    <row r="31">
      <c r="A31" s="34" t="inlineStr">
        <is>
          <t>E.Multiple (총회수/원금)</t>
        </is>
      </c>
      <c r="E31" s="41">
        <f>SUM(E6:E25)/Inputs!$B$4</f>
        <v/>
      </c>
      <c r="F31" s="41">
        <f>SUM(F6:F25)/Inputs!$B$4</f>
        <v/>
      </c>
      <c r="G31" s="41">
        <f>SUM(G6:G25)/Inputs!$B$4</f>
        <v/>
      </c>
      <c r="H31" s="41">
        <f>SUM(H6:H25)/Inputs!$B$4</f>
        <v/>
      </c>
      <c r="N31" s="41">
        <f>SUM(N6:N25)/Inputs!$B$26</f>
        <v/>
      </c>
      <c r="O31" s="41">
        <f>SUM(O6:O25)/Inputs!$B$26</f>
        <v/>
      </c>
      <c r="P31" s="41">
        <f>SUM(P6:P25)/Inputs!$B$26</f>
        <v/>
      </c>
      <c r="Q31" s="41">
        <f>SUM(Q6:Q25)/Inputs!$B$26</f>
        <v/>
      </c>
    </row>
    <row r="33">
      <c r="A33" s="2" t="inlineStr">
        <is>
          <t>* 시나리오 B의 감자 시점은 25~48개월 중 어느 시점이든 가능하나 48개월 말로 단순화(배당 최대 수취 → LF에 유리·리츠에 보수적). 시나리오 C의 FY9~19 보통주 운영배당은 기준 모델과 동일하게 0.</t>
        </is>
      </c>
      <c r="N33" s="2" t="inlineStr">
        <is>
          <t>KLI 기준 CF 검증: IRR 16.44%·E.Multiple 4.35x = 기준 재무모델 IM J102·J103과 일치해야 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민감도 — 확률가중 기대가치의 발행가 대비 (%)</t>
        </is>
      </c>
    </row>
    <row r="2">
      <c r="A2" s="2" t="inlineStr">
        <is>
          <t>행 = 할인율(연), 열 = 시나리오 A 확률. 시나리오 C 확률은 Inputs!B19 고정, B = 1 − A − C. 전환비율은 Inputs!B33 선택 기준</t>
        </is>
      </c>
    </row>
    <row r="4">
      <c r="A4" s="34" t="inlineStr">
        <is>
          <t>할인율 \ P(A)</t>
        </is>
      </c>
      <c r="B4" s="42" t="n">
        <v>0.5</v>
      </c>
      <c r="C4" s="42" t="n">
        <v>0.6</v>
      </c>
      <c r="D4" s="42" t="n">
        <v>0.7</v>
      </c>
      <c r="E4" s="42" t="n">
        <v>0.8</v>
      </c>
      <c r="F4" s="42" t="n">
        <v>0.9</v>
      </c>
    </row>
    <row r="5">
      <c r="A5" s="43" t="n">
        <v>0.06</v>
      </c>
      <c r="B5" s="7">
        <f>(B$4*(Inputs!$B$4/(1+$A5)^(Inputs!$B$11/12))+(1-B$4-Inputs!$B$19)*((Inputs!$B$4*Inputs!$B$12/Inputs!$B$15)*((1+$A5)^-(Inputs!$B$11/12+1/Inputs!$B$15)+(1+$A5)^-(Inputs!$B$11/12+2/Inputs!$B$15)+(1+$A5)^-(Inputs!$B$11/12+3/Inputs!$B$15)+(1+$A5)^-(Inputs!$B$11/12+4/Inputs!$B$15))+Inputs!$B$4*(1+$A5)^-((Inputs!$B$11+Inputs!$B$13)/12))+Inputs!$B$19*(Inputs!$B$45*Inputs!$B$47*(1+$A5)^-10))/Inputs!$B$4</f>
        <v/>
      </c>
      <c r="C5" s="7">
        <f>(C$4*(Inputs!$B$4/(1+$A5)^(Inputs!$B$11/12))+(1-C$4-Inputs!$B$19)*((Inputs!$B$4*Inputs!$B$12/Inputs!$B$15)*((1+$A5)^-(Inputs!$B$11/12+1/Inputs!$B$15)+(1+$A5)^-(Inputs!$B$11/12+2/Inputs!$B$15)+(1+$A5)^-(Inputs!$B$11/12+3/Inputs!$B$15)+(1+$A5)^-(Inputs!$B$11/12+4/Inputs!$B$15))+Inputs!$B$4*(1+$A5)^-((Inputs!$B$11+Inputs!$B$13)/12))+Inputs!$B$19*(Inputs!$B$45*Inputs!$B$47*(1+$A5)^-10))/Inputs!$B$4</f>
        <v/>
      </c>
      <c r="D5" s="7">
        <f>(D$4*(Inputs!$B$4/(1+$A5)^(Inputs!$B$11/12))+(1-D$4-Inputs!$B$19)*((Inputs!$B$4*Inputs!$B$12/Inputs!$B$15)*((1+$A5)^-(Inputs!$B$11/12+1/Inputs!$B$15)+(1+$A5)^-(Inputs!$B$11/12+2/Inputs!$B$15)+(1+$A5)^-(Inputs!$B$11/12+3/Inputs!$B$15)+(1+$A5)^-(Inputs!$B$11/12+4/Inputs!$B$15))+Inputs!$B$4*(1+$A5)^-((Inputs!$B$11+Inputs!$B$13)/12))+Inputs!$B$19*(Inputs!$B$45*Inputs!$B$47*(1+$A5)^-10))/Inputs!$B$4</f>
        <v/>
      </c>
      <c r="E5" s="7">
        <f>(E$4*(Inputs!$B$4/(1+$A5)^(Inputs!$B$11/12))+(1-E$4-Inputs!$B$19)*((Inputs!$B$4*Inputs!$B$12/Inputs!$B$15)*((1+$A5)^-(Inputs!$B$11/12+1/Inputs!$B$15)+(1+$A5)^-(Inputs!$B$11/12+2/Inputs!$B$15)+(1+$A5)^-(Inputs!$B$11/12+3/Inputs!$B$15)+(1+$A5)^-(Inputs!$B$11/12+4/Inputs!$B$15))+Inputs!$B$4*(1+$A5)^-((Inputs!$B$11+Inputs!$B$13)/12))+Inputs!$B$19*(Inputs!$B$45*Inputs!$B$47*(1+$A5)^-10))/Inputs!$B$4</f>
        <v/>
      </c>
      <c r="F5" s="7">
        <f>(F$4*(Inputs!$B$4/(1+$A5)^(Inputs!$B$11/12))+(1-F$4-Inputs!$B$19)*((Inputs!$B$4*Inputs!$B$12/Inputs!$B$15)*((1+$A5)^-(Inputs!$B$11/12+1/Inputs!$B$15)+(1+$A5)^-(Inputs!$B$11/12+2/Inputs!$B$15)+(1+$A5)^-(Inputs!$B$11/12+3/Inputs!$B$15)+(1+$A5)^-(Inputs!$B$11/12+4/Inputs!$B$15))+Inputs!$B$4*(1+$A5)^-((Inputs!$B$11+Inputs!$B$13)/12))+Inputs!$B$19*(Inputs!$B$45*Inputs!$B$47*(1+$A5)^-10))/Inputs!$B$4</f>
        <v/>
      </c>
    </row>
    <row r="6">
      <c r="A6" s="43" t="n">
        <v>0.07000000000000001</v>
      </c>
      <c r="B6" s="7">
        <f>(B$4*(Inputs!$B$4/(1+$A6)^(Inputs!$B$11/12))+(1-B$4-Inputs!$B$19)*((Inputs!$B$4*Inputs!$B$12/Inputs!$B$15)*((1+$A6)^-(Inputs!$B$11/12+1/Inputs!$B$15)+(1+$A6)^-(Inputs!$B$11/12+2/Inputs!$B$15)+(1+$A6)^-(Inputs!$B$11/12+3/Inputs!$B$15)+(1+$A6)^-(Inputs!$B$11/12+4/Inputs!$B$15))+Inputs!$B$4*(1+$A6)^-((Inputs!$B$11+Inputs!$B$13)/12))+Inputs!$B$19*(Inputs!$B$45*Inputs!$B$47*(1+$A6)^-10))/Inputs!$B$4</f>
        <v/>
      </c>
      <c r="C6" s="7">
        <f>(C$4*(Inputs!$B$4/(1+$A6)^(Inputs!$B$11/12))+(1-C$4-Inputs!$B$19)*((Inputs!$B$4*Inputs!$B$12/Inputs!$B$15)*((1+$A6)^-(Inputs!$B$11/12+1/Inputs!$B$15)+(1+$A6)^-(Inputs!$B$11/12+2/Inputs!$B$15)+(1+$A6)^-(Inputs!$B$11/12+3/Inputs!$B$15)+(1+$A6)^-(Inputs!$B$11/12+4/Inputs!$B$15))+Inputs!$B$4*(1+$A6)^-((Inputs!$B$11+Inputs!$B$13)/12))+Inputs!$B$19*(Inputs!$B$45*Inputs!$B$47*(1+$A6)^-10))/Inputs!$B$4</f>
        <v/>
      </c>
      <c r="D6" s="7">
        <f>(D$4*(Inputs!$B$4/(1+$A6)^(Inputs!$B$11/12))+(1-D$4-Inputs!$B$19)*((Inputs!$B$4*Inputs!$B$12/Inputs!$B$15)*((1+$A6)^-(Inputs!$B$11/12+1/Inputs!$B$15)+(1+$A6)^-(Inputs!$B$11/12+2/Inputs!$B$15)+(1+$A6)^-(Inputs!$B$11/12+3/Inputs!$B$15)+(1+$A6)^-(Inputs!$B$11/12+4/Inputs!$B$15))+Inputs!$B$4*(1+$A6)^-((Inputs!$B$11+Inputs!$B$13)/12))+Inputs!$B$19*(Inputs!$B$45*Inputs!$B$47*(1+$A6)^-10))/Inputs!$B$4</f>
        <v/>
      </c>
      <c r="E6" s="7">
        <f>(E$4*(Inputs!$B$4/(1+$A6)^(Inputs!$B$11/12))+(1-E$4-Inputs!$B$19)*((Inputs!$B$4*Inputs!$B$12/Inputs!$B$15)*((1+$A6)^-(Inputs!$B$11/12+1/Inputs!$B$15)+(1+$A6)^-(Inputs!$B$11/12+2/Inputs!$B$15)+(1+$A6)^-(Inputs!$B$11/12+3/Inputs!$B$15)+(1+$A6)^-(Inputs!$B$11/12+4/Inputs!$B$15))+Inputs!$B$4*(1+$A6)^-((Inputs!$B$11+Inputs!$B$13)/12))+Inputs!$B$19*(Inputs!$B$45*Inputs!$B$47*(1+$A6)^-10))/Inputs!$B$4</f>
        <v/>
      </c>
      <c r="F6" s="7">
        <f>(F$4*(Inputs!$B$4/(1+$A6)^(Inputs!$B$11/12))+(1-F$4-Inputs!$B$19)*((Inputs!$B$4*Inputs!$B$12/Inputs!$B$15)*((1+$A6)^-(Inputs!$B$11/12+1/Inputs!$B$15)+(1+$A6)^-(Inputs!$B$11/12+2/Inputs!$B$15)+(1+$A6)^-(Inputs!$B$11/12+3/Inputs!$B$15)+(1+$A6)^-(Inputs!$B$11/12+4/Inputs!$B$15))+Inputs!$B$4*(1+$A6)^-((Inputs!$B$11+Inputs!$B$13)/12))+Inputs!$B$19*(Inputs!$B$45*Inputs!$B$47*(1+$A6)^-10))/Inputs!$B$4</f>
        <v/>
      </c>
    </row>
    <row r="7">
      <c r="A7" s="43" t="n">
        <v>0.08</v>
      </c>
      <c r="B7" s="7">
        <f>(B$4*(Inputs!$B$4/(1+$A7)^(Inputs!$B$11/12))+(1-B$4-Inputs!$B$19)*((Inputs!$B$4*Inputs!$B$12/Inputs!$B$15)*((1+$A7)^-(Inputs!$B$11/12+1/Inputs!$B$15)+(1+$A7)^-(Inputs!$B$11/12+2/Inputs!$B$15)+(1+$A7)^-(Inputs!$B$11/12+3/Inputs!$B$15)+(1+$A7)^-(Inputs!$B$11/12+4/Inputs!$B$15))+Inputs!$B$4*(1+$A7)^-((Inputs!$B$11+Inputs!$B$13)/12))+Inputs!$B$19*(Inputs!$B$45*Inputs!$B$47*(1+$A7)^-10))/Inputs!$B$4</f>
        <v/>
      </c>
      <c r="C7" s="7">
        <f>(C$4*(Inputs!$B$4/(1+$A7)^(Inputs!$B$11/12))+(1-C$4-Inputs!$B$19)*((Inputs!$B$4*Inputs!$B$12/Inputs!$B$15)*((1+$A7)^-(Inputs!$B$11/12+1/Inputs!$B$15)+(1+$A7)^-(Inputs!$B$11/12+2/Inputs!$B$15)+(1+$A7)^-(Inputs!$B$11/12+3/Inputs!$B$15)+(1+$A7)^-(Inputs!$B$11/12+4/Inputs!$B$15))+Inputs!$B$4*(1+$A7)^-((Inputs!$B$11+Inputs!$B$13)/12))+Inputs!$B$19*(Inputs!$B$45*Inputs!$B$47*(1+$A7)^-10))/Inputs!$B$4</f>
        <v/>
      </c>
      <c r="D7" s="7">
        <f>(D$4*(Inputs!$B$4/(1+$A7)^(Inputs!$B$11/12))+(1-D$4-Inputs!$B$19)*((Inputs!$B$4*Inputs!$B$12/Inputs!$B$15)*((1+$A7)^-(Inputs!$B$11/12+1/Inputs!$B$15)+(1+$A7)^-(Inputs!$B$11/12+2/Inputs!$B$15)+(1+$A7)^-(Inputs!$B$11/12+3/Inputs!$B$15)+(1+$A7)^-(Inputs!$B$11/12+4/Inputs!$B$15))+Inputs!$B$4*(1+$A7)^-((Inputs!$B$11+Inputs!$B$13)/12))+Inputs!$B$19*(Inputs!$B$45*Inputs!$B$47*(1+$A7)^-10))/Inputs!$B$4</f>
        <v/>
      </c>
      <c r="E7" s="7">
        <f>(E$4*(Inputs!$B$4/(1+$A7)^(Inputs!$B$11/12))+(1-E$4-Inputs!$B$19)*((Inputs!$B$4*Inputs!$B$12/Inputs!$B$15)*((1+$A7)^-(Inputs!$B$11/12+1/Inputs!$B$15)+(1+$A7)^-(Inputs!$B$11/12+2/Inputs!$B$15)+(1+$A7)^-(Inputs!$B$11/12+3/Inputs!$B$15)+(1+$A7)^-(Inputs!$B$11/12+4/Inputs!$B$15))+Inputs!$B$4*(1+$A7)^-((Inputs!$B$11+Inputs!$B$13)/12))+Inputs!$B$19*(Inputs!$B$45*Inputs!$B$47*(1+$A7)^-10))/Inputs!$B$4</f>
        <v/>
      </c>
      <c r="F7" s="7">
        <f>(F$4*(Inputs!$B$4/(1+$A7)^(Inputs!$B$11/12))+(1-F$4-Inputs!$B$19)*((Inputs!$B$4*Inputs!$B$12/Inputs!$B$15)*((1+$A7)^-(Inputs!$B$11/12+1/Inputs!$B$15)+(1+$A7)^-(Inputs!$B$11/12+2/Inputs!$B$15)+(1+$A7)^-(Inputs!$B$11/12+3/Inputs!$B$15)+(1+$A7)^-(Inputs!$B$11/12+4/Inputs!$B$15))+Inputs!$B$4*(1+$A7)^-((Inputs!$B$11+Inputs!$B$13)/12))+Inputs!$B$19*(Inputs!$B$45*Inputs!$B$47*(1+$A7)^-10))/Inputs!$B$4</f>
        <v/>
      </c>
    </row>
    <row r="8">
      <c r="A8" s="43" t="n">
        <v>0.09</v>
      </c>
      <c r="B8" s="7">
        <f>(B$4*(Inputs!$B$4/(1+$A8)^(Inputs!$B$11/12))+(1-B$4-Inputs!$B$19)*((Inputs!$B$4*Inputs!$B$12/Inputs!$B$15)*((1+$A8)^-(Inputs!$B$11/12+1/Inputs!$B$15)+(1+$A8)^-(Inputs!$B$11/12+2/Inputs!$B$15)+(1+$A8)^-(Inputs!$B$11/12+3/Inputs!$B$15)+(1+$A8)^-(Inputs!$B$11/12+4/Inputs!$B$15))+Inputs!$B$4*(1+$A8)^-((Inputs!$B$11+Inputs!$B$13)/12))+Inputs!$B$19*(Inputs!$B$45*Inputs!$B$47*(1+$A8)^-10))/Inputs!$B$4</f>
        <v/>
      </c>
      <c r="C8" s="7">
        <f>(C$4*(Inputs!$B$4/(1+$A8)^(Inputs!$B$11/12))+(1-C$4-Inputs!$B$19)*((Inputs!$B$4*Inputs!$B$12/Inputs!$B$15)*((1+$A8)^-(Inputs!$B$11/12+1/Inputs!$B$15)+(1+$A8)^-(Inputs!$B$11/12+2/Inputs!$B$15)+(1+$A8)^-(Inputs!$B$11/12+3/Inputs!$B$15)+(1+$A8)^-(Inputs!$B$11/12+4/Inputs!$B$15))+Inputs!$B$4*(1+$A8)^-((Inputs!$B$11+Inputs!$B$13)/12))+Inputs!$B$19*(Inputs!$B$45*Inputs!$B$47*(1+$A8)^-10))/Inputs!$B$4</f>
        <v/>
      </c>
      <c r="D8" s="7">
        <f>(D$4*(Inputs!$B$4/(1+$A8)^(Inputs!$B$11/12))+(1-D$4-Inputs!$B$19)*((Inputs!$B$4*Inputs!$B$12/Inputs!$B$15)*((1+$A8)^-(Inputs!$B$11/12+1/Inputs!$B$15)+(1+$A8)^-(Inputs!$B$11/12+2/Inputs!$B$15)+(1+$A8)^-(Inputs!$B$11/12+3/Inputs!$B$15)+(1+$A8)^-(Inputs!$B$11/12+4/Inputs!$B$15))+Inputs!$B$4*(1+$A8)^-((Inputs!$B$11+Inputs!$B$13)/12))+Inputs!$B$19*(Inputs!$B$45*Inputs!$B$47*(1+$A8)^-10))/Inputs!$B$4</f>
        <v/>
      </c>
      <c r="E8" s="7">
        <f>(E$4*(Inputs!$B$4/(1+$A8)^(Inputs!$B$11/12))+(1-E$4-Inputs!$B$19)*((Inputs!$B$4*Inputs!$B$12/Inputs!$B$15)*((1+$A8)^-(Inputs!$B$11/12+1/Inputs!$B$15)+(1+$A8)^-(Inputs!$B$11/12+2/Inputs!$B$15)+(1+$A8)^-(Inputs!$B$11/12+3/Inputs!$B$15)+(1+$A8)^-(Inputs!$B$11/12+4/Inputs!$B$15))+Inputs!$B$4*(1+$A8)^-((Inputs!$B$11+Inputs!$B$13)/12))+Inputs!$B$19*(Inputs!$B$45*Inputs!$B$47*(1+$A8)^-10))/Inputs!$B$4</f>
        <v/>
      </c>
      <c r="F8" s="7">
        <f>(F$4*(Inputs!$B$4/(1+$A8)^(Inputs!$B$11/12))+(1-F$4-Inputs!$B$19)*((Inputs!$B$4*Inputs!$B$12/Inputs!$B$15)*((1+$A8)^-(Inputs!$B$11/12+1/Inputs!$B$15)+(1+$A8)^-(Inputs!$B$11/12+2/Inputs!$B$15)+(1+$A8)^-(Inputs!$B$11/12+3/Inputs!$B$15)+(1+$A8)^-(Inputs!$B$11/12+4/Inputs!$B$15))+Inputs!$B$4*(1+$A8)^-((Inputs!$B$11+Inputs!$B$13)/12))+Inputs!$B$19*(Inputs!$B$45*Inputs!$B$47*(1+$A8)^-10))/Inputs!$B$4</f>
        <v/>
      </c>
    </row>
    <row r="9">
      <c r="A9" s="43" t="n">
        <v>0.1</v>
      </c>
      <c r="B9" s="7">
        <f>(B$4*(Inputs!$B$4/(1+$A9)^(Inputs!$B$11/12))+(1-B$4-Inputs!$B$19)*((Inputs!$B$4*Inputs!$B$12/Inputs!$B$15)*((1+$A9)^-(Inputs!$B$11/12+1/Inputs!$B$15)+(1+$A9)^-(Inputs!$B$11/12+2/Inputs!$B$15)+(1+$A9)^-(Inputs!$B$11/12+3/Inputs!$B$15)+(1+$A9)^-(Inputs!$B$11/12+4/Inputs!$B$15))+Inputs!$B$4*(1+$A9)^-((Inputs!$B$11+Inputs!$B$13)/12))+Inputs!$B$19*(Inputs!$B$45*Inputs!$B$47*(1+$A9)^-10))/Inputs!$B$4</f>
        <v/>
      </c>
      <c r="C9" s="7">
        <f>(C$4*(Inputs!$B$4/(1+$A9)^(Inputs!$B$11/12))+(1-C$4-Inputs!$B$19)*((Inputs!$B$4*Inputs!$B$12/Inputs!$B$15)*((1+$A9)^-(Inputs!$B$11/12+1/Inputs!$B$15)+(1+$A9)^-(Inputs!$B$11/12+2/Inputs!$B$15)+(1+$A9)^-(Inputs!$B$11/12+3/Inputs!$B$15)+(1+$A9)^-(Inputs!$B$11/12+4/Inputs!$B$15))+Inputs!$B$4*(1+$A9)^-((Inputs!$B$11+Inputs!$B$13)/12))+Inputs!$B$19*(Inputs!$B$45*Inputs!$B$47*(1+$A9)^-10))/Inputs!$B$4</f>
        <v/>
      </c>
      <c r="D9" s="7">
        <f>(D$4*(Inputs!$B$4/(1+$A9)^(Inputs!$B$11/12))+(1-D$4-Inputs!$B$19)*((Inputs!$B$4*Inputs!$B$12/Inputs!$B$15)*((1+$A9)^-(Inputs!$B$11/12+1/Inputs!$B$15)+(1+$A9)^-(Inputs!$B$11/12+2/Inputs!$B$15)+(1+$A9)^-(Inputs!$B$11/12+3/Inputs!$B$15)+(1+$A9)^-(Inputs!$B$11/12+4/Inputs!$B$15))+Inputs!$B$4*(1+$A9)^-((Inputs!$B$11+Inputs!$B$13)/12))+Inputs!$B$19*(Inputs!$B$45*Inputs!$B$47*(1+$A9)^-10))/Inputs!$B$4</f>
        <v/>
      </c>
      <c r="E9" s="7">
        <f>(E$4*(Inputs!$B$4/(1+$A9)^(Inputs!$B$11/12))+(1-E$4-Inputs!$B$19)*((Inputs!$B$4*Inputs!$B$12/Inputs!$B$15)*((1+$A9)^-(Inputs!$B$11/12+1/Inputs!$B$15)+(1+$A9)^-(Inputs!$B$11/12+2/Inputs!$B$15)+(1+$A9)^-(Inputs!$B$11/12+3/Inputs!$B$15)+(1+$A9)^-(Inputs!$B$11/12+4/Inputs!$B$15))+Inputs!$B$4*(1+$A9)^-((Inputs!$B$11+Inputs!$B$13)/12))+Inputs!$B$19*(Inputs!$B$45*Inputs!$B$47*(1+$A9)^-10))/Inputs!$B$4</f>
        <v/>
      </c>
      <c r="F9" s="7">
        <f>(F$4*(Inputs!$B$4/(1+$A9)^(Inputs!$B$11/12))+(1-F$4-Inputs!$B$19)*((Inputs!$B$4*Inputs!$B$12/Inputs!$B$15)*((1+$A9)^-(Inputs!$B$11/12+1/Inputs!$B$15)+(1+$A9)^-(Inputs!$B$11/12+2/Inputs!$B$15)+(1+$A9)^-(Inputs!$B$11/12+3/Inputs!$B$15)+(1+$A9)^-(Inputs!$B$11/12+4/Inputs!$B$15))+Inputs!$B$4*(1+$A9)^-((Inputs!$B$11+Inputs!$B$13)/12))+Inputs!$B$19*(Inputs!$B$45*Inputs!$B$47*(1+$A9)^-10))/Inputs!$B$4</f>
        <v/>
      </c>
    </row>
    <row r="10">
      <c r="A10" s="43" t="n">
        <v>0.12</v>
      </c>
      <c r="B10" s="7">
        <f>(B$4*(Inputs!$B$4/(1+$A10)^(Inputs!$B$11/12))+(1-B$4-Inputs!$B$19)*((Inputs!$B$4*Inputs!$B$12/Inputs!$B$15)*((1+$A10)^-(Inputs!$B$11/12+1/Inputs!$B$15)+(1+$A10)^-(Inputs!$B$11/12+2/Inputs!$B$15)+(1+$A10)^-(Inputs!$B$11/12+3/Inputs!$B$15)+(1+$A10)^-(Inputs!$B$11/12+4/Inputs!$B$15))+Inputs!$B$4*(1+$A10)^-((Inputs!$B$11+Inputs!$B$13)/12))+Inputs!$B$19*(Inputs!$B$45*Inputs!$B$47*(1+$A10)^-10))/Inputs!$B$4</f>
        <v/>
      </c>
      <c r="C10" s="7">
        <f>(C$4*(Inputs!$B$4/(1+$A10)^(Inputs!$B$11/12))+(1-C$4-Inputs!$B$19)*((Inputs!$B$4*Inputs!$B$12/Inputs!$B$15)*((1+$A10)^-(Inputs!$B$11/12+1/Inputs!$B$15)+(1+$A10)^-(Inputs!$B$11/12+2/Inputs!$B$15)+(1+$A10)^-(Inputs!$B$11/12+3/Inputs!$B$15)+(1+$A10)^-(Inputs!$B$11/12+4/Inputs!$B$15))+Inputs!$B$4*(1+$A10)^-((Inputs!$B$11+Inputs!$B$13)/12))+Inputs!$B$19*(Inputs!$B$45*Inputs!$B$47*(1+$A10)^-10))/Inputs!$B$4</f>
        <v/>
      </c>
      <c r="D10" s="7">
        <f>(D$4*(Inputs!$B$4/(1+$A10)^(Inputs!$B$11/12))+(1-D$4-Inputs!$B$19)*((Inputs!$B$4*Inputs!$B$12/Inputs!$B$15)*((1+$A10)^-(Inputs!$B$11/12+1/Inputs!$B$15)+(1+$A10)^-(Inputs!$B$11/12+2/Inputs!$B$15)+(1+$A10)^-(Inputs!$B$11/12+3/Inputs!$B$15)+(1+$A10)^-(Inputs!$B$11/12+4/Inputs!$B$15))+Inputs!$B$4*(1+$A10)^-((Inputs!$B$11+Inputs!$B$13)/12))+Inputs!$B$19*(Inputs!$B$45*Inputs!$B$47*(1+$A10)^-10))/Inputs!$B$4</f>
        <v/>
      </c>
      <c r="E10" s="7">
        <f>(E$4*(Inputs!$B$4/(1+$A10)^(Inputs!$B$11/12))+(1-E$4-Inputs!$B$19)*((Inputs!$B$4*Inputs!$B$12/Inputs!$B$15)*((1+$A10)^-(Inputs!$B$11/12+1/Inputs!$B$15)+(1+$A10)^-(Inputs!$B$11/12+2/Inputs!$B$15)+(1+$A10)^-(Inputs!$B$11/12+3/Inputs!$B$15)+(1+$A10)^-(Inputs!$B$11/12+4/Inputs!$B$15))+Inputs!$B$4*(1+$A10)^-((Inputs!$B$11+Inputs!$B$13)/12))+Inputs!$B$19*(Inputs!$B$45*Inputs!$B$47*(1+$A10)^-10))/Inputs!$B$4</f>
        <v/>
      </c>
      <c r="F10" s="7">
        <f>(F$4*(Inputs!$B$4/(1+$A10)^(Inputs!$B$11/12))+(1-F$4-Inputs!$B$19)*((Inputs!$B$4*Inputs!$B$12/Inputs!$B$15)*((1+$A10)^-(Inputs!$B$11/12+1/Inputs!$B$15)+(1+$A10)^-(Inputs!$B$11/12+2/Inputs!$B$15)+(1+$A10)^-(Inputs!$B$11/12+3/Inputs!$B$15)+(1+$A10)^-(Inputs!$B$11/12+4/Inputs!$B$15))+Inputs!$B$4*(1+$A10)^-((Inputs!$B$11+Inputs!$B$13)/12))+Inputs!$B$19*(Inputs!$B$45*Inputs!$B$47*(1+$A10)^-10))/Inputs!$B$4</f>
        <v/>
      </c>
    </row>
    <row r="12">
      <c r="A12" s="2" t="inlineStr">
        <is>
          <t>* 민감도 B 수식은 확정배당 4회(24개월÷6개월) 전제. Inputs!B13/B15 변경 시 CF 시트가 기준이며 본 표는 참고용</t>
        </is>
      </c>
    </row>
    <row r="14">
      <c r="A14" s="34" t="inlineStr">
        <is>
          <t>기존 조건 (2년 무배당) 발행가 대비</t>
        </is>
      </c>
    </row>
    <row r="15">
      <c r="A15" s="43" t="n">
        <v>0.06</v>
      </c>
      <c r="B15" s="7">
        <f>1/(1+A15)^(Inputs!$B$11/12)</f>
        <v/>
      </c>
    </row>
    <row r="16">
      <c r="A16" s="43" t="n">
        <v>0.07000000000000001</v>
      </c>
      <c r="B16" s="7">
        <f>1/(1+A16)^(Inputs!$B$11/12)</f>
        <v/>
      </c>
    </row>
    <row r="17">
      <c r="A17" s="43" t="n">
        <v>0.08</v>
      </c>
      <c r="B17" s="7">
        <f>1/(1+A17)^(Inputs!$B$11/12)</f>
        <v/>
      </c>
    </row>
    <row r="18">
      <c r="A18" s="43" t="n">
        <v>0.09</v>
      </c>
      <c r="B18" s="7">
        <f>1/(1+A18)^(Inputs!$B$11/12)</f>
        <v/>
      </c>
    </row>
    <row r="19">
      <c r="A19" s="43" t="n">
        <v>0.1</v>
      </c>
      <c r="B19" s="7">
        <f>1/(1+A19)^(Inputs!$B$11/12)</f>
        <v/>
      </c>
    </row>
    <row r="20">
      <c r="A20" s="43" t="n">
        <v>0.12</v>
      </c>
      <c r="B20" s="7">
        <f>1/(1+A20)^(Inputs!$B$11/12)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20" customWidth="1" min="2" max="2"/>
    <col width="26" customWidth="1" min="3" max="3"/>
    <col width="70" customWidth="1" min="4" max="4"/>
  </cols>
  <sheetData>
    <row r="1">
      <c r="A1" s="1" t="inlineStr">
        <is>
          <t>기준 재무모델 참조 셀 (인용 원천)</t>
        </is>
      </c>
    </row>
    <row r="2">
      <c r="A2" s="2" t="inlineStr">
        <is>
          <t>파일: 04_Equity투자자/models/20260915_재무모델_Financial_Modeling_인가ver_v02.xlsm (PROJECT.md 기준 재무모델). 값은 2026-09-18 판독 시점 기준</t>
        </is>
      </c>
    </row>
    <row r="4">
      <c r="A4" s="3" t="inlineStr">
        <is>
          <t>항목</t>
        </is>
      </c>
      <c r="B4" s="3" t="inlineStr">
        <is>
          <t>값</t>
        </is>
      </c>
      <c r="C4" s="3" t="inlineStr">
        <is>
          <t>셀</t>
        </is>
      </c>
      <c r="D4" s="3" t="inlineStr">
        <is>
          <t>비고</t>
        </is>
      </c>
    </row>
    <row r="5">
      <c r="A5" s="10" t="inlineStr">
        <is>
          <t>3종 우선주 조달일 / 반환일</t>
        </is>
      </c>
      <c r="B5" s="44" t="inlineStr">
        <is>
          <t>2026-10-31 / 2028-10-31</t>
        </is>
      </c>
      <c r="C5" s="10" t="inlineStr">
        <is>
          <t>A&amp;R M43 / N43</t>
        </is>
      </c>
      <c r="D5" s="9" t="inlineStr">
        <is>
          <t>조달기간 24개월 (O43)</t>
        </is>
      </c>
    </row>
    <row r="6">
      <c r="A6" s="10" t="inlineStr">
        <is>
          <t>3종 조달금액</t>
        </is>
      </c>
      <c r="B6" s="44" t="inlineStr">
        <is>
          <t>10,000,000 천원</t>
        </is>
      </c>
      <c r="C6" s="10" t="inlineStr">
        <is>
          <t>A&amp;R P43 / Q43</t>
        </is>
      </c>
      <c r="D6" s="9" t="inlineStr">
        <is>
          <t>= 10,000백만원</t>
        </is>
      </c>
    </row>
    <row r="7">
      <c r="A7" s="10" t="inlineStr">
        <is>
          <t>3종 지분비율</t>
        </is>
      </c>
      <c r="B7" s="44" t="inlineStr">
        <is>
          <t>10.12%</t>
        </is>
      </c>
      <c r="C7" s="10" t="inlineStr">
        <is>
          <t>A&amp;R R43</t>
        </is>
      </c>
      <c r="D7" s="9" t="inlineStr">
        <is>
          <t>= 10,000 / 98,800</t>
        </is>
      </c>
    </row>
    <row r="8">
      <c r="A8" s="10" t="inlineStr">
        <is>
          <t>3종 확정배당 / C.G배분 / 인수수수료</t>
        </is>
      </c>
      <c r="B8" s="44" t="inlineStr">
        <is>
          <t>0% / 0% / 0%</t>
        </is>
      </c>
      <c r="C8" s="10" t="inlineStr">
        <is>
          <t>A&amp;R S43 / T43 / U43</t>
        </is>
      </c>
      <c r="D8" s="9" t="inlineStr">
        <is>
          <t>무배당·무의결권</t>
        </is>
      </c>
    </row>
    <row r="9">
      <c r="A9" s="10" t="inlineStr">
        <is>
          <t>3종 발행가 / 액면가 / 주식수</t>
        </is>
      </c>
      <c r="B9" s="44" t="inlineStr">
        <is>
          <t>25,000원 / 1,000원 / 400,000주</t>
        </is>
      </c>
      <c r="C9" s="10" t="inlineStr">
        <is>
          <t>A&amp;R P93 / Q93 / R93</t>
        </is>
      </c>
      <c r="D9" s="9" t="inlineStr">
        <is>
          <t>주식발행계획 (L89:U95)</t>
        </is>
      </c>
    </row>
    <row r="10">
      <c r="A10" s="10" t="inlineStr">
        <is>
          <t>보통주 발행가 / 액면가 / 주식수</t>
        </is>
      </c>
      <c r="B10" s="44" t="inlineStr">
        <is>
          <t>5,000원 / 1,000원 / 2,960,000주</t>
        </is>
      </c>
      <c r="C10" s="10" t="inlineStr">
        <is>
          <t>A&amp;R P94 / Q94 / R94</t>
        </is>
      </c>
      <c r="D10" s="9" t="inlineStr">
        <is>
          <t>보통주 의결권비율 60.16% (U94)</t>
        </is>
      </c>
    </row>
    <row r="11">
      <c r="A11" s="10" t="inlineStr">
        <is>
          <t>총 납입자본 / 총 주식수</t>
        </is>
      </c>
      <c r="B11" s="44" t="inlineStr">
        <is>
          <t>98,800백만원 / 6,320,000주</t>
        </is>
      </c>
      <c r="C11" s="10" t="inlineStr">
        <is>
          <t>IM W51 / A&amp;R R95</t>
        </is>
      </c>
      <c r="D11" s="9" t="inlineStr">
        <is>
          <t>무의결권주식수 1,400,000 (R99, 22.15%)</t>
        </is>
      </c>
    </row>
    <row r="12">
      <c r="A12" s="10" t="inlineStr">
        <is>
          <t>3종 IM 탭 스케줄</t>
        </is>
      </c>
      <c r="B12" s="44" t="inlineStr">
        <is>
          <t>FY1~4 투자잔액 10,000, 배당 0, FY5~ 0</t>
        </is>
      </c>
      <c r="C12" s="10" t="inlineStr">
        <is>
          <t>IM C79:G99</t>
        </is>
      </c>
      <c r="D12" s="9" t="inlineStr">
        <is>
          <t>CoC 0% / IRR 0% / E.M 0.00x (IM C101:C103)</t>
        </is>
      </c>
    </row>
    <row r="13">
      <c r="A13" s="10" t="inlineStr">
        <is>
          <t>보통주 운영배당</t>
        </is>
      </c>
      <c r="B13" s="44" t="inlineStr">
        <is>
          <t>FY1 555 / FY2 555 / FY3~20 0</t>
        </is>
      </c>
      <c r="C13" s="10" t="inlineStr">
        <is>
          <t>IM K79:K98</t>
        </is>
      </c>
      <c r="D13" s="9" t="inlineStr">
        <is>
          <t>초기 1년 연 7.5% 확정 (IM T62 잔여배당)</t>
        </is>
      </c>
    </row>
    <row r="14">
      <c r="A14" s="10" t="inlineStr">
        <is>
          <t>보통주 C.G (FY20)</t>
        </is>
      </c>
      <c r="B14" s="44" t="inlineStr">
        <is>
          <t>48,460.43백만원</t>
        </is>
      </c>
      <c r="C14" s="10" t="inlineStr">
        <is>
          <t>IM L98</t>
        </is>
      </c>
      <c r="D14" s="9" t="inlineStr">
        <is>
          <t>= 매각차익 60,575.53 × 80% (IM S98·U62)</t>
        </is>
      </c>
    </row>
    <row r="15">
      <c r="A15" s="10" t="inlineStr">
        <is>
          <t>보통주 IRR / E.Multiple</t>
        </is>
      </c>
      <c r="B15" s="44" t="inlineStr">
        <is>
          <t>16.44% / 4.35x</t>
        </is>
      </c>
      <c r="C15" s="10" t="inlineStr">
        <is>
          <t>IM J102 / J103</t>
        </is>
      </c>
      <c r="D15" s="9" t="inlineStr">
        <is>
          <t>E.M = (1,110 + 48,460 + 14,800) / 14,800</t>
        </is>
      </c>
    </row>
    <row r="16">
      <c r="A16" s="10" t="inlineStr">
        <is>
          <t>1종 / 2종 확정배당·IRR</t>
        </is>
      </c>
      <c r="B16" s="44" t="inlineStr">
        <is>
          <t>7.0%·7.12% / 7.5%·9.24%</t>
        </is>
      </c>
      <c r="C16" s="10" t="inlineStr">
        <is>
          <t>IM T59·V59 / T60·V60</t>
        </is>
      </c>
      <c r="D16" s="9" t="inlineStr">
        <is>
          <t>3종 요구수익률 판단 참고</t>
        </is>
      </c>
    </row>
    <row r="17">
      <c r="A17" s="10" t="inlineStr">
        <is>
          <t>리파이낸싱 (24개월 후)</t>
        </is>
      </c>
      <c r="B17" s="44" t="inlineStr">
        <is>
          <t>선순위 213,000백만원, 4.80%</t>
        </is>
      </c>
      <c r="C17" s="10" t="inlineStr">
        <is>
          <t>A&amp;R P33 / Q33</t>
        </is>
      </c>
      <c r="D17" s="9" t="inlineStr">
        <is>
          <t>3종·중순위 상환 재원 → 시나리오 A 실행 가능성의 근거</t>
        </is>
      </c>
    </row>
    <row r="18">
      <c r="A18" s="10" t="inlineStr">
        <is>
          <t>매각가치 / 매각차익(보수 차감 후)</t>
        </is>
      </c>
      <c r="B18" s="44" t="inlineStr">
        <is>
          <t>375,861 / 70,722백만원</t>
        </is>
      </c>
      <c r="C18" s="10" t="inlineStr">
        <is>
          <t>A&amp;R AJ57 / AJ65</t>
        </is>
      </c>
      <c r="D18" s="9" t="inlineStr">
        <is>
          <t>FY20 (2036-10-31) 가정</t>
        </is>
      </c>
    </row>
    <row r="19">
      <c r="A19" s="10" t="inlineStr">
        <is>
          <t>Sell-down 탭</t>
        </is>
      </c>
      <c r="B19" s="44" t="inlineStr">
        <is>
          <t>3종 미포함</t>
        </is>
      </c>
      <c r="C19" s="10" t="inlineStr">
        <is>
          <t>Sell-down L62 블록</t>
        </is>
      </c>
      <c r="D19" s="9" t="inlineStr">
        <is>
          <t>1종·2종·보통주·통합만 산출 — 3종은 KLI 매입 대상 아님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 customWidth="1" min="1" max="1"/>
    <col width="120" customWidth="1" min="2" max="2"/>
  </cols>
  <sheetData>
    <row r="1">
      <c r="A1" s="1" t="inlineStr">
        <is>
          <t>전제·한계 및 외부 회계법인 의뢰 시 스코프</t>
        </is>
      </c>
    </row>
    <row r="3">
      <c r="B3" s="45" t="inlineStr">
        <is>
          <t>■ 평가 방법</t>
        </is>
      </c>
    </row>
    <row r="4">
      <c r="B4" s="46" t="inlineStr">
        <is>
          <t>1. 3종 종류주식은 확정된 현금흐름(원금 감자·확정배당)과 조건부 전환권을 가진 '우선주형 금융상품'이므로, 보유자(LF) 관점의 시나리오별 현금흐름을 요구수익률로 할인한 기대가치(expected PV)로 산정. 상증세법 보충적 평가(순손익·순자산 가중)는 회사 전체 주식 가치이며 종류주식 간 청산우선순위·배당순위를 반영하지 못해 참고치로만 제시.</t>
        </is>
      </c>
    </row>
    <row r="5">
      <c r="B5" s="46" t="inlineStr">
        <is>
          <t>2. 시나리오: A 24개월 내 감자(기존 계획) / B 25~48개월 연 8.0% 3순위 확정배당 후 48개월 말 감자 / C 48개월 후 보통주 전환, FY20 매각 시 지분율만큼 회수. 확률(70/20/10%)은 [가정]이며 Sensitivity 시트에서 조정.</t>
        </is>
      </c>
    </row>
    <row r="6">
      <c r="B6" s="46" t="inlineStr">
        <is>
          <t>3. 할인율 8.0%는 변경안의 확정배당률과 같게 두었으며, 1종 7.0%·2종 7.5%(IRR 9.24%)·보통주 16.44%의 중간 순위임을 감안한 개략치. 실제 회계법인 평가에서는 유사 리츠 우선주 발행사례·신용스프레드로 산정.</t>
        </is>
      </c>
    </row>
    <row r="7">
      <c r="B7" s="46" t="inlineStr">
        <is>
          <t>4. 시나리오 C 보통주 풀 회수액 = 보통주 C.G 48,460 + 보통주 원금 14,800 + 미감자 3종 원금 10,000. 3종 미감자에 따른 리파이 규모 축소·이자 절감 효과, FY9~19 잔여배당 발생 가능성은 무시(보수적).</t>
        </is>
      </c>
    </row>
    <row r="8">
      <c r="B8" s="46" t="inlineStr">
        <is>
          <t>5. 전환비율은 미정 조건이므로 ①발행가액 기준(1:5) ②1:1 ③FY8 공정가치 기준을 병렬 제시. ①은 KLI 희석이 크고(보통주 지분 59.7%) ②는 LF에 징벌적이며 ③이 경제적으로 중립.</t>
        </is>
      </c>
    </row>
    <row r="9">
      <c r="B9" s="46" t="inlineStr"/>
    </row>
    <row r="10">
      <c r="B10" s="45" t="inlineStr">
        <is>
          <t>■ 핵심 시사점</t>
        </is>
      </c>
    </row>
    <row r="11">
      <c r="B11" s="46" t="inlineStr">
        <is>
          <t>6. 2년 무배당·원금 감자 구조는 양(+)의 할인율에서는 항상 발행가 미만으로 평가됨(8% 기준 85.7%). 변경안은 감자 지연 시의 '보호장치'이지 기본 시나리오의 '보상'이 아니므로 기대가치가 발행가에 미달(약 91%)하는 구조는 유지됨. 정상가격 정합을 위해서는 Summary C표의 감자 프리미엄(16.64%) 또는 초기부터의 누적확정배당(연 8.3% 단리 상당)이 필요.</t>
        </is>
      </c>
    </row>
    <row r="12">
      <c r="B12" s="46" t="inlineStr">
        <is>
          <t>7. 따라서 외부 평가보고서는 현 조건에서 '발행가 &gt; 정상가격'을 문서화할 가능성이 높음. 평가보고서를 부당지원행위 리스크 헷지 수단으로 쓰려면 (i) 조건 자체를 정상가격에 정합시키거나 (ii) LF의 비현금적 사업상 이익(거래 신속 종결에 따른 PFV 투자금 회수, 청산 지연 비용 회피 등)을 별도 '투자 타당성 검토'로 계량화해야 함 (법률의견 p.11~12).</t>
        </is>
      </c>
    </row>
    <row r="13">
      <c r="B13" s="46" t="inlineStr"/>
    </row>
    <row r="14">
      <c r="B14" s="45" t="inlineStr">
        <is>
          <t>■ 외부 회계법인 의뢰 시 스코프 제안</t>
        </is>
      </c>
    </row>
    <row r="15">
      <c r="B15" s="46" t="inlineStr">
        <is>
          <t>8. (a) 평가 대상: 3종 종류주식(조건변경안 반영) — 종류주식별 평가, 청산·배당 우선순위 반영 / (b) 평가 기준일: 주금납입일(2026-10-31) 및 감자 예정일(2028-10-31) 2개 시점 — 세법상 부당행위계산부인(불균등 감자 시 시가)에도 대응 / (c) 방법: 시나리오 DCF + 상증세법 보충적 평가 병기 / (d) 별도 산출물: LF 관점 투자 대안 비교(기회비용 분석) 메모 — 법률의견이 요구하는 '외부 자문사 보고서'에 해당.</t>
        </is>
      </c>
    </row>
    <row r="16">
      <c r="B16" s="46" t="inlineStr"/>
    </row>
    <row r="17">
      <c r="B17" s="45" t="inlineStr">
        <is>
          <t>■ 출처</t>
        </is>
      </c>
    </row>
    <row r="18">
      <c r="B18" s="46" t="inlineStr">
        <is>
          <t>9. 기준 재무모델: 04_Equity투자자/models/20260915_재무모델_Financial_Modeling_인가ver_v02.xlsm (A&amp;R·IM 탭, Model_Ref 시트에 셀 주소 기재) / 법률의견: 02_실사보고서/법률/20260914_법률의견_신설리츠투자구조검토_BKL_markup_v01.pdf p.10~13 / 조건변경안: 사용자 제시(2026-09-18).</t>
        </is>
      </c>
    </row>
    <row r="19">
      <c r="B19" s="46" t="inlineStr">
        <is>
          <t>10. 본 파일은 내부 검토용 개략 산정이며 외부 회계법인의 주식가치평가보고서 및 법무법인 확인을 대체하지 않음. 수익 확약성 표현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2026-09-18T02:42:40Z</dcterms:created>
  <dcterms:modified xmlns:dcterms="http://purl.org/dc/terms/" xmlns:xsi="http://www.w3.org/2001/XMLSchema-instance" xsi:type="dcterms:W3CDTF">2026-09-18T02:42:40Z</dcterms:modified>
</cp:coreProperties>
</file>