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olve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Model_Ref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&quot;-&quot;"/>
    <numFmt numFmtId="165" formatCode="#,##0&quot;원&quot;;(#,##0&quot;원&quot;);&quot;-&quot;"/>
    <numFmt numFmtId="166" formatCode="yyyy-mm-dd"/>
    <numFmt numFmtId="167" formatCode="0.0%;(0.0%);&quot;-&quot;"/>
    <numFmt numFmtId="168" formatCode="0.00%;(0.00%);&quot;-&quot;"/>
    <numFmt numFmtId="169" formatCode="0.0000"/>
    <numFmt numFmtId="170" formatCode="0.0"/>
    <numFmt numFmtId="171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5" borderId="1" pivotButton="0" quotePrefix="0" xfId="0"/>
    <xf numFmtId="165" fontId="7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4" fillId="0" borderId="1" pivotButton="0" quotePrefix="0" xfId="0"/>
    <xf numFmtId="164" fontId="7" fillId="0" borderId="1" pivotButton="0" quotePrefix="0" xfId="0"/>
    <xf numFmtId="168" fontId="7" fillId="5" borderId="1" pivotButton="0" quotePrefix="0" xfId="0"/>
    <xf numFmtId="167" fontId="7" fillId="0" borderId="1" pivotButton="0" quotePrefix="0" xfId="0"/>
    <xf numFmtId="168" fontId="7" fillId="0" borderId="1" pivotButton="0" quotePrefix="0" xfId="0"/>
    <xf numFmtId="171" fontId="7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5" fontId="7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0" fontId="4" fillId="3" borderId="1" pivotButton="0" quotePrefix="0" xfId="0"/>
    <xf numFmtId="164" fontId="5" fillId="4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165" fontId="5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167" fontId="5" fillId="4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7" fontId="4" fillId="0" borderId="1" applyAlignment="1" pivotButton="0" quotePrefix="0" xfId="0">
      <alignment horizontal="right" vertical="center" wrapText="1"/>
    </xf>
    <xf numFmtId="168" fontId="5" fillId="0" borderId="1" applyAlignment="1" pivotButton="0" quotePrefix="0" xfId="0">
      <alignment horizontal="right" vertical="center" wrapText="1"/>
    </xf>
    <xf numFmtId="169" fontId="4" fillId="0" borderId="1" pivotButton="0" quotePrefix="0" xfId="0"/>
    <xf numFmtId="0" fontId="6" fillId="3" borderId="1" pivotButton="0" quotePrefix="0" xfId="0"/>
    <xf numFmtId="165" fontId="4" fillId="5" borderId="1" pivotButton="0" quotePrefix="0" xfId="0"/>
    <xf numFmtId="168" fontId="4" fillId="5" borderId="1" pivotButton="0" quotePrefix="0" xfId="0"/>
    <xf numFmtId="170" fontId="7" fillId="0" borderId="1" pivotButton="0" quotePrefix="0" xfId="0"/>
    <xf numFmtId="164" fontId="6" fillId="5" borderId="1" pivotButton="0" quotePrefix="0" xfId="0"/>
    <xf numFmtId="164" fontId="6" fillId="3" borderId="1" pivotButton="0" quotePrefix="0" xfId="0"/>
    <xf numFmtId="167" fontId="6" fillId="0" borderId="1" pivotButton="0" quotePrefix="0" xfId="0"/>
    <xf numFmtId="168" fontId="6" fillId="5" borderId="1" pivotButton="0" quotePrefix="0" xfId="0"/>
    <xf numFmtId="171" fontId="6" fillId="0" borderId="1" pivotButton="0" quotePrefix="0" xfId="0"/>
    <xf numFmtId="167" fontId="5" fillId="3" borderId="1" pivotButton="0" quotePrefix="0" xfId="0"/>
    <xf numFmtId="167" fontId="5" fillId="0" borderId="1" pivotButton="0" quotePrefix="0" xfId="0"/>
    <xf numFmtId="0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4" customWidth="1" min="4" max="4"/>
    <col width="52" customWidth="1" min="5" max="5"/>
  </cols>
  <sheetData>
    <row r="1">
      <c r="A1" s="1" t="inlineStr">
        <is>
          <t>3종 종류주식 조건변경안 v02 — 발행가액 = 주당 공정가치 방식 (Summary)</t>
        </is>
      </c>
    </row>
    <row r="2">
      <c r="A2" s="2" t="inlineStr">
        <is>
          <t>ANYANG-LOGIS · 2026-09-18 · finance-ir 내부 개략 산정. LF 납입액 100억 고정, 상환가액 25,000원/주 고정, 발행가액 P*는 P* = 확률가중 PV가 되도록 산출 → LF는 정의상 공정가치로 인수(발행가 대비 100%)</t>
        </is>
      </c>
    </row>
    <row r="4">
      <c r="A4" s="3" t="inlineStr">
        <is>
          <t>A. 산출 결과</t>
        </is>
      </c>
      <c r="B4" s="3" t="inlineStr">
        <is>
          <t>전환가액 = 보통주 발행가 5,000원</t>
        </is>
      </c>
      <c r="C4" s="3" t="inlineStr">
        <is>
          <t>전환가액 = FY8 공정가치</t>
        </is>
      </c>
      <c r="D4" s="3" t="inlineStr">
        <is>
          <t>단위</t>
        </is>
      </c>
      <c r="E4" s="3" t="inlineStr">
        <is>
          <t>비고</t>
        </is>
      </c>
    </row>
    <row r="5">
      <c r="A5" s="4" t="inlineStr">
        <is>
          <t>★ 주당 공정가치 = 발행가액 P*</t>
        </is>
      </c>
      <c r="B5" s="5">
        <f>Solve!B18</f>
        <v/>
      </c>
      <c r="C5" s="5">
        <f>Solve!C18</f>
        <v/>
      </c>
      <c r="D5" s="6" t="inlineStr">
        <is>
          <t>원</t>
        </is>
      </c>
      <c r="E5" s="7" t="inlineStr">
        <is>
          <t>기존 25,000원 발행 대비 할인 발행</t>
        </is>
      </c>
    </row>
    <row r="6">
      <c r="A6" s="8" t="inlineStr">
        <is>
          <t>발행주식수 N</t>
        </is>
      </c>
      <c r="B6" s="9">
        <f>Solve!B19</f>
        <v/>
      </c>
      <c r="C6" s="9">
        <f>Solve!C19</f>
        <v/>
      </c>
      <c r="D6" s="6" t="inlineStr">
        <is>
          <t>주</t>
        </is>
      </c>
      <c r="E6" s="7" t="inlineStr">
        <is>
          <t>기존 400,000주 대비 증가 (납입액 100억 고정)</t>
        </is>
      </c>
    </row>
    <row r="7">
      <c r="A7" s="8" t="inlineStr">
        <is>
          <t>감자대가 총액 (상환가액 × N)</t>
        </is>
      </c>
      <c r="B7" s="9">
        <f>Solve!B20</f>
        <v/>
      </c>
      <c r="C7" s="9">
        <f>Solve!C20</f>
        <v/>
      </c>
      <c r="D7" s="6" t="inlineStr">
        <is>
          <t>백만원</t>
        </is>
      </c>
      <c r="E7" s="7" t="inlineStr">
        <is>
          <t>리츠 FY4 유출 (기존 10,000)</t>
        </is>
      </c>
    </row>
    <row r="8">
      <c r="A8" s="4" t="inlineStr">
        <is>
          <t>감자 프리미엄 (상환가액 ÷ P* − 1)</t>
        </is>
      </c>
      <c r="B8" s="10">
        <f>Solve!B21</f>
        <v/>
      </c>
      <c r="C8" s="10">
        <f>Solve!C21</f>
        <v/>
      </c>
      <c r="D8" s="6" t="inlineStr"/>
      <c r="E8" s="7" t="inlineStr">
        <is>
          <t>2년 무배당의 대가 = 정상가격 정합 조건</t>
        </is>
      </c>
    </row>
    <row r="9">
      <c r="A9" s="8" t="inlineStr">
        <is>
          <t>시나리오 B 반기 배당 총액</t>
        </is>
      </c>
      <c r="B9" s="9">
        <f>Solve!B23</f>
        <v/>
      </c>
      <c r="C9" s="9">
        <f>Solve!C23</f>
        <v/>
      </c>
      <c r="D9" s="6" t="inlineStr">
        <is>
          <t>백만원</t>
        </is>
      </c>
      <c r="E9" s="7" t="inlineStr">
        <is>
          <t>연 8% × (발행가액 또는 상환가액)</t>
        </is>
      </c>
    </row>
    <row r="10">
      <c r="A10" s="8" t="inlineStr">
        <is>
          <t>전환 시 LF 보통주 지분율</t>
        </is>
      </c>
      <c r="B10" s="11">
        <f>Solve!B12</f>
        <v/>
      </c>
      <c r="C10" s="11">
        <f>Solve!C12</f>
        <v/>
      </c>
      <c r="D10" s="6" t="inlineStr"/>
      <c r="E10" s="7" t="inlineStr">
        <is>
          <t>전환주식수 = 납입액 ÷ 전환가액</t>
        </is>
      </c>
    </row>
    <row r="11">
      <c r="A11" s="8" t="inlineStr">
        <is>
          <t>발행가 대비 확률가중 가치 (검증)</t>
        </is>
      </c>
      <c r="B11" s="11">
        <f>Solve!B24</f>
        <v/>
      </c>
      <c r="C11" s="11">
        <f>Solve!C24</f>
        <v/>
      </c>
      <c r="D11" s="6" t="inlineStr"/>
      <c r="E11" s="7" t="inlineStr">
        <is>
          <t>정의상 100% → 고가 인수 요건 해소</t>
        </is>
      </c>
    </row>
    <row r="13">
      <c r="A13" s="3" t="inlineStr">
        <is>
          <t>B. LF 수익률 (선택 기준 Inputs!B32, 주당)</t>
        </is>
      </c>
      <c r="B13" s="3" t="inlineStr">
        <is>
          <t>IRR (연)</t>
        </is>
      </c>
      <c r="C13" s="3" t="inlineStr">
        <is>
          <t>E.Multiple</t>
        </is>
      </c>
      <c r="D13" s="3" t="inlineStr"/>
      <c r="E13" s="3" t="inlineStr">
        <is>
          <t>비고</t>
        </is>
      </c>
    </row>
    <row r="14">
      <c r="A14" s="8" t="inlineStr">
        <is>
          <t>시나리오 A: 24개월 감자</t>
        </is>
      </c>
      <c r="B14" s="12">
        <f>CF!E29</f>
        <v/>
      </c>
      <c r="C14" s="13">
        <f>CF!E30</f>
        <v/>
      </c>
      <c r="E14" s="7" t="inlineStr">
        <is>
          <t>(상환가액/P*)^(1/2) − 1</t>
        </is>
      </c>
    </row>
    <row r="15">
      <c r="A15" s="8" t="inlineStr">
        <is>
          <t>시나리오 B: 8% 배당 → 48개월 감자</t>
        </is>
      </c>
      <c r="B15" s="12">
        <f>CF!F29</f>
        <v/>
      </c>
      <c r="C15" s="13">
        <f>CF!F30</f>
        <v/>
      </c>
      <c r="E15" s="7" t="inlineStr"/>
    </row>
    <row r="16">
      <c r="A16" s="8" t="inlineStr">
        <is>
          <t>시나리오 C: 보통주 전환 → FY20 회수</t>
        </is>
      </c>
      <c r="B16" s="12">
        <f>CF!G29</f>
        <v/>
      </c>
      <c r="C16" s="13">
        <f>CF!G30</f>
        <v/>
      </c>
      <c r="E16" s="7" t="inlineStr">
        <is>
          <t>전환가액 기준에 민감 (FY8 공정가치 기준이면 원금 수준)</t>
        </is>
      </c>
    </row>
    <row r="17">
      <c r="A17" s="4" t="inlineStr">
        <is>
          <t>확률가중 기대</t>
        </is>
      </c>
      <c r="B17" s="10">
        <f>CF!H29</f>
        <v/>
      </c>
      <c r="C17" s="13">
        <f>CF!H30</f>
        <v/>
      </c>
      <c r="E17" s="7" t="inlineStr">
        <is>
          <t>= 할인율(정의상)</t>
        </is>
      </c>
    </row>
    <row r="19">
      <c r="A19" s="3" t="inlineStr">
        <is>
          <t>C. 기존 구조 대비 (발행가 25,000원·400,000주)</t>
        </is>
      </c>
      <c r="B19" s="3" t="inlineStr">
        <is>
          <t>기존</t>
        </is>
      </c>
      <c r="C19" s="3" t="inlineStr">
        <is>
          <t>변경안 v02 (선택)</t>
        </is>
      </c>
      <c r="D19" s="3" t="inlineStr">
        <is>
          <t>단위</t>
        </is>
      </c>
      <c r="E19" s="3" t="inlineStr">
        <is>
          <t>비고</t>
        </is>
      </c>
    </row>
    <row r="20">
      <c r="A20" s="8" t="inlineStr">
        <is>
          <t>LF 납입액</t>
        </is>
      </c>
      <c r="B20" s="14">
        <f>Inputs!$B$4</f>
        <v/>
      </c>
      <c r="C20" s="9">
        <f>Inputs!$B$4</f>
        <v/>
      </c>
      <c r="D20" s="6" t="inlineStr">
        <is>
          <t>백만원</t>
        </is>
      </c>
      <c r="E20" s="7" t="inlineStr">
        <is>
          <t>동일</t>
        </is>
      </c>
    </row>
    <row r="21">
      <c r="A21" s="8" t="inlineStr">
        <is>
          <t>발행가액 (주당)</t>
        </is>
      </c>
      <c r="B21" s="15">
        <f>Inputs!$B$5</f>
        <v/>
      </c>
      <c r="C21" s="16">
        <f>Solve!B27</f>
        <v/>
      </c>
      <c r="D21" s="6" t="inlineStr">
        <is>
          <t>원</t>
        </is>
      </c>
      <c r="E21" s="7" t="inlineStr"/>
    </row>
    <row r="22">
      <c r="A22" s="8" t="inlineStr">
        <is>
          <t>발행주식수</t>
        </is>
      </c>
      <c r="B22" s="14">
        <f>Inputs!$B$4*1000000/Inputs!$B$5</f>
        <v/>
      </c>
      <c r="C22" s="9">
        <f>Solve!B28</f>
        <v/>
      </c>
      <c r="D22" s="6" t="inlineStr">
        <is>
          <t>주</t>
        </is>
      </c>
      <c r="E22" s="7" t="inlineStr"/>
    </row>
    <row r="23">
      <c r="A23" s="8" t="inlineStr">
        <is>
          <t>24개월 감자 시 리츠 유출</t>
        </is>
      </c>
      <c r="B23" s="14">
        <f>Inputs!$B$4</f>
        <v/>
      </c>
      <c r="C23" s="9">
        <f>IF(Inputs!B32=1,Solve!B20,Solve!C20)</f>
        <v/>
      </c>
      <c r="D23" s="6" t="inlineStr">
        <is>
          <t>백만원</t>
        </is>
      </c>
      <c r="E23" s="7" t="inlineStr">
        <is>
          <t>차이 = 프리미엄 금액</t>
        </is>
      </c>
    </row>
    <row r="24">
      <c r="A24" s="8" t="inlineStr">
        <is>
          <t>LF 인수가 대비 공정가치 (8% 기준)</t>
        </is>
      </c>
      <c r="B24" s="17">
        <f>1/(1+Inputs!$B$22)^(Inputs!$B$11/12)</f>
        <v/>
      </c>
      <c r="C24" s="11">
        <f>IF(Inputs!B32=1,Solve!B24,Solve!C24)</f>
        <v/>
      </c>
      <c r="D24" s="6" t="inlineStr"/>
      <c r="E24" s="7" t="inlineStr">
        <is>
          <t>기존 85.7% → 100%</t>
        </is>
      </c>
    </row>
    <row r="25">
      <c r="A25" s="8" t="inlineStr">
        <is>
          <t>LF 시나리오 A IRR</t>
        </is>
      </c>
      <c r="B25" s="18" t="n">
        <v>0</v>
      </c>
      <c r="C25" s="12">
        <f>CF!E29</f>
        <v/>
      </c>
      <c r="D25" s="6" t="inlineStr"/>
      <c r="E25" s="7" t="inlineStr">
        <is>
          <t>기존 0% (무배당 액면 감자)</t>
        </is>
      </c>
    </row>
    <row r="27">
      <c r="A27" s="3" t="inlineStr">
        <is>
          <t>D. 리츠·KLI 영향 (선택 기준)</t>
        </is>
      </c>
      <c r="B27" s="3" t="inlineStr">
        <is>
          <t>값</t>
        </is>
      </c>
      <c r="C27" s="3" t="inlineStr"/>
      <c r="D27" s="3" t="inlineStr">
        <is>
          <t>단위</t>
        </is>
      </c>
      <c r="E27" s="3" t="inlineStr">
        <is>
          <t>비고</t>
        </is>
      </c>
    </row>
    <row r="28">
      <c r="A28" s="8" t="inlineStr">
        <is>
          <t>감자 시 추가 유출 (프리미엄 금액)</t>
        </is>
      </c>
      <c r="B28" s="14">
        <f>C23-B23</f>
        <v/>
      </c>
      <c r="C28" s="8" t="inlineStr"/>
      <c r="D28" s="6" t="inlineStr">
        <is>
          <t>백만원</t>
        </is>
      </c>
      <c r="E28" s="7" t="inlineStr">
        <is>
          <t>리파이 여유(213,000−198,000=15,000)에서 충당</t>
        </is>
      </c>
    </row>
    <row r="29">
      <c r="A29" s="8" t="inlineStr">
        <is>
          <t>리파이 시점 선순위 LTV(감정가) — 기준</t>
        </is>
      </c>
      <c r="B29" s="11">
        <f>Inputs!$B$37/Inputs!$B$36</f>
        <v/>
      </c>
      <c r="C29" s="8" t="inlineStr"/>
      <c r="D29" s="6" t="inlineStr"/>
      <c r="E29" s="7" t="inlineStr">
        <is>
          <t>A&amp;R T33 61.8%</t>
        </is>
      </c>
    </row>
    <row r="30">
      <c r="A30" s="8" t="inlineStr">
        <is>
          <t>리파이 시점 선순위 LTV(감정가) — 프리미엄을 선순위로 조달 시</t>
        </is>
      </c>
      <c r="B30" s="11">
        <f>(Inputs!$B$37+B28)/Inputs!$B$36</f>
        <v/>
      </c>
      <c r="C30" s="8" t="inlineStr"/>
      <c r="D30" s="6" t="inlineStr"/>
      <c r="E30" s="7" t="inlineStr">
        <is>
          <t>프리미엄 전액 차입 가정 (보수적)</t>
        </is>
      </c>
    </row>
    <row r="31">
      <c r="A31" s="8" t="inlineStr">
        <is>
          <t>시나리오 B 추가 배당 부담 (총액, 2년)</t>
        </is>
      </c>
      <c r="B31" s="9">
        <f>IF(Inputs!B32=1,Solve!B23,Solve!C23)*Inputs!$B$13/12*Inputs!$B$15</f>
        <v/>
      </c>
      <c r="C31" s="8" t="inlineStr"/>
      <c r="D31" s="6" t="inlineStr">
        <is>
          <t>백만원</t>
        </is>
      </c>
      <c r="E31" s="7" t="inlineStr">
        <is>
          <t>3순위. 기준 모델상 보통주 운영배당 FY3~ 0 → 여유현금·초과배당 재원</t>
        </is>
      </c>
    </row>
    <row r="32">
      <c r="A32" s="8" t="inlineStr">
        <is>
          <t>시나리오 C KLI 보통주 지분율</t>
        </is>
      </c>
      <c r="B32" s="11">
        <f>1-Solve!B30</f>
        <v/>
      </c>
      <c r="C32" s="8" t="inlineStr"/>
      <c r="D32" s="6" t="inlineStr"/>
      <c r="E32" s="7" t="inlineStr">
        <is>
          <t>의결권 60.2%도 동일 비율로 희석 → 정관·주주간계약 반영</t>
        </is>
      </c>
    </row>
    <row r="33">
      <c r="A33" s="8" t="inlineStr">
        <is>
          <t>KLI 보통주 IRR — 기준 / 시나리오 C 발생 시</t>
        </is>
      </c>
      <c r="B33" s="12">
        <f>CF!R29</f>
        <v/>
      </c>
      <c r="C33" s="8" t="inlineStr"/>
      <c r="D33" s="6" t="inlineStr"/>
      <c r="E33" s="7" t="inlineStr">
        <is>
          <t>=CF!S29 참조</t>
        </is>
      </c>
    </row>
    <row r="34">
      <c r="A34" s="8" t="inlineStr">
        <is>
          <t>KLI 보통주 IRR — 시나리오 C 발생 시</t>
        </is>
      </c>
      <c r="B34" s="12">
        <f>CF!S29</f>
        <v/>
      </c>
      <c r="C34" s="8" t="inlineStr"/>
      <c r="D34" s="6" t="inlineStr"/>
      <c r="E34" s="7" t="inlineStr">
        <is>
          <t>기준 16.44%와 비교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0" customWidth="1" min="3" max="3"/>
    <col width="66" customWidth="1" min="4" max="4"/>
  </cols>
  <sheetData>
    <row r="1">
      <c r="A1" s="1" t="inlineStr">
        <is>
          <t>3종 종류주식 조건변경안 v02 — 발행가액 = 주당 공정가치 방식 · 입력값</t>
        </is>
      </c>
    </row>
    <row r="2">
      <c r="A2" s="2" t="inlineStr">
        <is>
          <t>파란 글자 = 입력값 · 검정 = 수식 · 노란 바탕 = 핵심 가정. 금액 백만원 / 주당 원. 출처 셀은 기준 재무모델 v02(인가ver)</t>
        </is>
      </c>
    </row>
    <row r="3">
      <c r="A3" s="3" t="inlineStr">
        <is>
          <t>항목</t>
        </is>
      </c>
      <c r="B3" s="3" t="inlineStr">
        <is>
          <t>값</t>
        </is>
      </c>
      <c r="C3" s="3" t="inlineStr">
        <is>
          <t>단위</t>
        </is>
      </c>
      <c r="D3" s="3" t="inlineStr">
        <is>
          <t>출처 / 비고</t>
        </is>
      </c>
    </row>
    <row r="4">
      <c r="A4" s="19" t="inlineStr">
        <is>
          <t>리츠 소요 조달금액 = 3종 발행총액 (LF 납입액)</t>
        </is>
      </c>
      <c r="B4" s="20" t="n">
        <v>10000</v>
      </c>
      <c r="C4" s="6" t="inlineStr">
        <is>
          <t>백만원</t>
        </is>
      </c>
      <c r="D4" s="7" t="inlineStr">
        <is>
          <t>04_Equity투자자/models/20260915_재무모델_Financial_Modeling_인가ver_v02.xlsm A&amp;R Q43 / IM Q61 — 배당재원 Overfunding 100억</t>
        </is>
      </c>
    </row>
    <row r="5">
      <c r="A5" s="19" t="inlineStr">
        <is>
          <t>상환가액 = 감자대가 (주당, 고정 청구액)</t>
        </is>
      </c>
      <c r="B5" s="21" t="n">
        <v>25000</v>
      </c>
      <c r="C5" s="6" t="inlineStr">
        <is>
          <t>원</t>
        </is>
      </c>
      <c r="D5" s="7" t="inlineStr">
        <is>
          <t>[구조] 발행가액과 분리하여 정관상 고정. 기존 발행가(A&amp;R P93)와 동일 수준으로 설정</t>
        </is>
      </c>
    </row>
    <row r="6">
      <c r="A6" s="8" t="inlineStr">
        <is>
          <t>액면가 (주당)</t>
        </is>
      </c>
      <c r="B6" s="22" t="n">
        <v>1000</v>
      </c>
      <c r="C6" s="6" t="inlineStr">
        <is>
          <t>원</t>
        </is>
      </c>
      <c r="D6" s="7" t="inlineStr">
        <is>
          <t>A&amp;R Q93</t>
        </is>
      </c>
    </row>
    <row r="8">
      <c r="A8" s="8" t="inlineStr">
        <is>
          <t>주금납입일 (FY0)</t>
        </is>
      </c>
      <c r="B8" s="23" t="n">
        <v>46326</v>
      </c>
      <c r="C8" s="6" t="inlineStr"/>
      <c r="D8" s="7" t="inlineStr">
        <is>
          <t>A&amp;R M43</t>
        </is>
      </c>
    </row>
    <row r="9">
      <c r="A9" s="8" t="inlineStr">
        <is>
          <t>기존 조건 감자 예정일</t>
        </is>
      </c>
      <c r="B9" s="23" t="n">
        <v>47057</v>
      </c>
      <c r="C9" s="6" t="inlineStr"/>
      <c r="D9" s="7" t="inlineStr">
        <is>
          <t>A&amp;R N43 (24개월)</t>
        </is>
      </c>
    </row>
    <row r="11">
      <c r="A11" s="19" t="inlineStr">
        <is>
          <t>[변경안] ① 무배당·무의결권 기간</t>
        </is>
      </c>
      <c r="B11" s="20" t="n">
        <v>24</v>
      </c>
      <c r="C11" s="6" t="inlineStr">
        <is>
          <t>개월</t>
        </is>
      </c>
      <c r="D11" s="7" t="inlineStr">
        <is>
          <t>사용자 제시</t>
        </is>
      </c>
    </row>
    <row r="12">
      <c r="A12" s="19" t="inlineStr">
        <is>
          <t>[변경안] ② 감자 미완료 시 3순위 확정배당률 (연)</t>
        </is>
      </c>
      <c r="B12" s="24" t="n">
        <v>0.08</v>
      </c>
      <c r="C12" s="6" t="inlineStr"/>
      <c r="D12" s="7" t="inlineStr">
        <is>
          <t>사용자 제시 (25~48개월)</t>
        </is>
      </c>
    </row>
    <row r="13">
      <c r="A13" s="19" t="inlineStr">
        <is>
          <t>[변경안] ② 확정배당 기간</t>
        </is>
      </c>
      <c r="B13" s="20" t="n">
        <v>24</v>
      </c>
      <c r="C13" s="6" t="inlineStr">
        <is>
          <t>개월</t>
        </is>
      </c>
      <c r="D13" s="7" t="inlineStr">
        <is>
          <t>사용자 제시</t>
        </is>
      </c>
    </row>
    <row r="14">
      <c r="A14" s="19" t="inlineStr">
        <is>
          <t>[변경안] ③ 보통주 전환 시점</t>
        </is>
      </c>
      <c r="B14" s="20" t="n">
        <v>48</v>
      </c>
      <c r="C14" s="6" t="inlineStr">
        <is>
          <t>개월</t>
        </is>
      </c>
      <c r="D14" s="7" t="inlineStr">
        <is>
          <t>사용자 제시</t>
        </is>
      </c>
    </row>
    <row r="15">
      <c r="A15" s="8" t="inlineStr">
        <is>
          <t>배당 지급 횟수 (연)</t>
        </is>
      </c>
      <c r="B15" s="25" t="n">
        <v>2</v>
      </c>
      <c r="C15" s="6" t="inlineStr">
        <is>
          <t>회</t>
        </is>
      </c>
      <c r="D15" s="7" t="inlineStr">
        <is>
          <t>리츠 반기 배당, FY = 반기</t>
        </is>
      </c>
    </row>
    <row r="16">
      <c r="A16" s="19" t="inlineStr">
        <is>
          <t>확정배당 산정 기준 (1=발행가액 P* / 2=상환가액)</t>
        </is>
      </c>
      <c r="B16" s="20" t="n">
        <v>1</v>
      </c>
      <c r="C16" s="6" t="inlineStr"/>
      <c r="D16" s="7" t="inlineStr">
        <is>
          <t>[선택] 통상 '발행가액 기준 연 8%'. 2 선택 시 상환가액(25,000원) 기준</t>
        </is>
      </c>
    </row>
    <row r="18">
      <c r="A18" s="19" t="inlineStr">
        <is>
          <t>시나리오 A 확률 — 24개월 내 감자</t>
        </is>
      </c>
      <c r="B18" s="24" t="n">
        <v>0.7</v>
      </c>
      <c r="C18" s="6" t="inlineStr"/>
      <c r="D18" s="7" t="inlineStr">
        <is>
          <t>[가정] 24개월 리파이(A&amp;R P33 선순위 213,000) 정상 실행</t>
        </is>
      </c>
    </row>
    <row r="19">
      <c r="A19" s="19" t="inlineStr">
        <is>
          <t>시나리오 B 확률 — 25~48개월 8% 배당 후 감자</t>
        </is>
      </c>
      <c r="B19" s="24" t="n">
        <v>0.2</v>
      </c>
      <c r="C19" s="6" t="inlineStr"/>
      <c r="D19" s="7" t="inlineStr">
        <is>
          <t>[가정] 감자 시점 48개월 말로 단순화</t>
        </is>
      </c>
    </row>
    <row r="20">
      <c r="A20" s="8" t="inlineStr">
        <is>
          <t>시나리오 C 확률 — 48개월 후 보통주 전환</t>
        </is>
      </c>
      <c r="B20" s="26">
        <f>1-B18-B19</f>
        <v/>
      </c>
      <c r="C20" s="6" t="inlineStr"/>
      <c r="D20" s="7" t="inlineStr">
        <is>
          <t>= 1 − A − B</t>
        </is>
      </c>
    </row>
    <row r="22">
      <c r="A22" s="19" t="inlineStr">
        <is>
          <t>할인율 — 3종 요구수익률 (연)</t>
        </is>
      </c>
      <c r="B22" s="24" t="n">
        <v>0.08</v>
      </c>
      <c r="C22" s="6" t="inlineStr"/>
      <c r="D22" s="7" t="inlineStr">
        <is>
          <t>[가정] 1종 7.0%·2종 7.5%(IRR 9.24%)·보통주 16.44% 사이. Sensitivity 참조</t>
        </is>
      </c>
    </row>
    <row r="23">
      <c r="A23" s="8" t="inlineStr">
        <is>
          <t>보통주 요구수익률 (FY8 보통주 공정가치 산정용)</t>
        </is>
      </c>
      <c r="B23" s="27" t="n">
        <v>0.1643858639503997</v>
      </c>
      <c r="C23" s="6" t="inlineStr"/>
      <c r="D23" s="7" t="inlineStr">
        <is>
          <t>IM J102</t>
        </is>
      </c>
    </row>
    <row r="25">
      <c r="A25" s="8" t="inlineStr">
        <is>
          <t>보통주 발행가액 (주당)</t>
        </is>
      </c>
      <c r="B25" s="22" t="n">
        <v>5000</v>
      </c>
      <c r="C25" s="6" t="inlineStr">
        <is>
          <t>원</t>
        </is>
      </c>
      <c r="D25" s="7" t="inlineStr">
        <is>
          <t>A&amp;R P94</t>
        </is>
      </c>
    </row>
    <row r="26">
      <c r="A26" s="8" t="inlineStr">
        <is>
          <t>보통주 발행주식수 (KLI)</t>
        </is>
      </c>
      <c r="B26" s="25" t="n">
        <v>2960000</v>
      </c>
      <c r="C26" s="6" t="inlineStr">
        <is>
          <t>주</t>
        </is>
      </c>
      <c r="D26" s="7" t="inlineStr">
        <is>
          <t>A&amp;R R94</t>
        </is>
      </c>
    </row>
    <row r="27">
      <c r="A27" s="8" t="inlineStr">
        <is>
          <t>보통주 출자금 (KLI)</t>
        </is>
      </c>
      <c r="B27" s="25" t="n">
        <v>14800</v>
      </c>
      <c r="C27" s="6" t="inlineStr">
        <is>
          <t>백만원</t>
        </is>
      </c>
      <c r="D27" s="7" t="inlineStr">
        <is>
          <t>IM Q62</t>
        </is>
      </c>
    </row>
    <row r="28">
      <c r="A28" s="8" t="inlineStr">
        <is>
          <t>보통주 운영배당 FY1 / FY2</t>
        </is>
      </c>
      <c r="B28" s="25" t="n">
        <v>555</v>
      </c>
      <c r="C28" s="6" t="inlineStr">
        <is>
          <t>백만원</t>
        </is>
      </c>
      <c r="D28" s="7" t="inlineStr">
        <is>
          <t>IM K79·K80 (초기 1년 연 7.5%)</t>
        </is>
      </c>
    </row>
    <row r="29">
      <c r="A29" s="8" t="inlineStr">
        <is>
          <t>보통주 운영배당 FY3~FY20 (반기당)</t>
        </is>
      </c>
      <c r="B29" s="25" t="n">
        <v>0</v>
      </c>
      <c r="C29" s="6" t="inlineStr">
        <is>
          <t>백만원</t>
        </is>
      </c>
      <c r="D29" s="7" t="inlineStr">
        <is>
          <t>IM K81:K98 = 0</t>
        </is>
      </c>
    </row>
    <row r="30">
      <c r="A30" s="8" t="inlineStr">
        <is>
          <t>보통주 매각차익 배분 C.G (FY20)</t>
        </is>
      </c>
      <c r="B30" s="25" t="n">
        <v>48460.42781955277</v>
      </c>
      <c r="C30" s="6" t="inlineStr">
        <is>
          <t>백만원</t>
        </is>
      </c>
      <c r="D30" s="7" t="inlineStr">
        <is>
          <t>IM L98 (= 60,575 × 80%)</t>
        </is>
      </c>
    </row>
    <row r="32">
      <c r="A32" s="19" t="inlineStr">
        <is>
          <t>전환가액 기준 (1=보통주 발행가액 5,000원 / 2=FY8 보통주 공정가치)</t>
        </is>
      </c>
      <c r="B32" s="20" t="n">
        <v>1</v>
      </c>
      <c r="C32" s="6" t="inlineStr"/>
      <c r="D32" s="7" t="inlineStr">
        <is>
          <t>[선택] 전환비율 = 3종 발행가액(P*) ÷ 전환가액. 1은 KLI 희석 큼, 2는 경제적 중립. Summary에 두 안 병렬</t>
        </is>
      </c>
    </row>
    <row r="34">
      <c r="A34" s="8" t="inlineStr">
        <is>
          <t>[상증세법 참고] 총 납입자본 / 총 주식수 (기존 구조)</t>
        </is>
      </c>
      <c r="B34" s="25" t="n">
        <v>98800</v>
      </c>
      <c r="C34" s="6" t="inlineStr">
        <is>
          <t>백만원</t>
        </is>
      </c>
      <c r="D34" s="7" t="inlineStr">
        <is>
          <t>IM W51 / 6,320,000주 (A&amp;R R95) → 혼합 순자산가치 15,633원/주 (종류주식 평가에 부적합)</t>
        </is>
      </c>
    </row>
    <row r="36">
      <c r="A36" s="8" t="inlineStr">
        <is>
          <t>[리츠 영향] 리파이 시점 감정가 (재평가 가정)</t>
        </is>
      </c>
      <c r="B36" s="25" t="n">
        <v>348015</v>
      </c>
      <c r="C36" s="6" t="inlineStr">
        <is>
          <t>백만원</t>
        </is>
      </c>
      <c r="D36" s="7" t="inlineStr">
        <is>
          <t>A&amp;R T33 역산: 213,000+2,100 ÷ 61.8% ≒ 334,500 × 1.02² (물가 2%·24개월)</t>
        </is>
      </c>
    </row>
    <row r="37">
      <c r="A37" s="8" t="inlineStr">
        <is>
          <t>[리츠 영향] 리파이 선순위 + 보증금</t>
        </is>
      </c>
      <c r="B37" s="25" t="n">
        <v>215100</v>
      </c>
      <c r="C37" s="6" t="inlineStr">
        <is>
          <t>백만원</t>
        </is>
      </c>
      <c r="D37" s="7" t="inlineStr">
        <is>
          <t>A&amp;R P33 213,000 + P31 2,100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0" customWidth="1" min="4" max="4"/>
    <col width="70" customWidth="1" min="5" max="5"/>
  </cols>
  <sheetData>
    <row r="1">
      <c r="A1" s="1" t="inlineStr">
        <is>
          <t>주당 공정가치 P* 산출 (폐쇄형 해) — 전환가액 기준별 병렬</t>
        </is>
      </c>
    </row>
    <row r="2">
      <c r="A2" s="2" t="inlineStr">
        <is>
          <t>P* = 시나리오별 주당 현금흐름의 확률가중 현재가치. 배당(발행가액 기준)·전환가치가 P*에 비례하므로 선형식으로 풀림: P* = 분자 ÷ 분모 (순환참조 없음)</t>
        </is>
      </c>
    </row>
    <row r="4">
      <c r="A4" s="3" t="inlineStr">
        <is>
          <t>항목</t>
        </is>
      </c>
      <c r="B4" s="3" t="inlineStr">
        <is>
          <t>전환가액 = 보통주 발행가</t>
        </is>
      </c>
      <c r="C4" s="3" t="inlineStr">
        <is>
          <t>전환가액 = FY8 공정가치</t>
        </is>
      </c>
      <c r="D4" s="3" t="inlineStr">
        <is>
          <t>단위</t>
        </is>
      </c>
      <c r="E4" s="3" t="inlineStr">
        <is>
          <t>수식 설명</t>
        </is>
      </c>
    </row>
    <row r="5">
      <c r="A5" s="8" t="inlineStr">
        <is>
          <t>할인계수 df(무배당 종료 = FY4)</t>
        </is>
      </c>
      <c r="B5" s="28">
        <f>(1+Inputs!$B$22)^-(Inputs!$B$11/12)</f>
        <v/>
      </c>
      <c r="C5" s="28">
        <f>B5</f>
        <v/>
      </c>
      <c r="D5" s="6" t="inlineStr"/>
      <c r="E5" s="7" t="inlineStr">
        <is>
          <t>(1+r)^-2</t>
        </is>
      </c>
    </row>
    <row r="6">
      <c r="A6" s="8" t="inlineStr">
        <is>
          <t>할인계수 df(FY8, 배당기간 종료)</t>
        </is>
      </c>
      <c r="B6" s="28">
        <f>(1+Inputs!$B$22)^-((Inputs!$B$11+Inputs!$B$13)/12)</f>
        <v/>
      </c>
      <c r="C6" s="28">
        <f>B6</f>
        <v/>
      </c>
      <c r="D6" s="6" t="inlineStr"/>
      <c r="E6" s="7" t="inlineStr">
        <is>
          <t>(1+r)^-4</t>
        </is>
      </c>
    </row>
    <row r="7">
      <c r="A7" s="8" t="inlineStr">
        <is>
          <t>배당 4회 할인계수 합 Σdf(FY5~8)</t>
        </is>
      </c>
      <c r="B7" s="28">
        <f>(1+Inputs!$B$22)^-(Inputs!$B$11/12+1/Inputs!$B$15)+(1+Inputs!$B$22)^-(Inputs!$B$11/12+2/Inputs!$B$15)+(1+Inputs!$B$22)^-(Inputs!$B$11/12+3/Inputs!$B$15)+(1+Inputs!$B$22)^-(Inputs!$B$11/12+4/Inputs!$B$15)</f>
        <v/>
      </c>
      <c r="C7" s="28">
        <f>B7</f>
        <v/>
      </c>
      <c r="D7" s="6" t="inlineStr"/>
      <c r="E7" s="7" t="inlineStr">
        <is>
          <t>t = 2.5, 3.0, 3.5, 4.0년 (배당 4회 전제)</t>
        </is>
      </c>
    </row>
    <row r="8">
      <c r="A8" s="8" t="inlineStr">
        <is>
          <t>할인계수 df(FY20 매각)</t>
        </is>
      </c>
      <c r="B8" s="28">
        <f>(1+Inputs!$B$22)^-10</f>
        <v/>
      </c>
      <c r="C8" s="28">
        <f>B8</f>
        <v/>
      </c>
      <c r="D8" s="6" t="inlineStr"/>
      <c r="E8" s="7" t="inlineStr">
        <is>
          <t>(1+r)^-10</t>
        </is>
      </c>
    </row>
    <row r="9">
      <c r="A9" s="8" t="inlineStr">
        <is>
          <t>FY8 보통주 공정가치 (주당)</t>
        </is>
      </c>
      <c r="B9" s="15">
        <f>(Inputs!$B$30+Inputs!$B$27)*1000000/(1+Inputs!$B$23)^((20-Inputs!$B$14/12*Inputs!$B$15)/Inputs!$B$15)/Inputs!$B$26</f>
        <v/>
      </c>
      <c r="C9" s="15">
        <f>B9</f>
        <v/>
      </c>
      <c r="D9" s="6" t="inlineStr">
        <is>
          <t>원</t>
        </is>
      </c>
      <c r="E9" s="7" t="inlineStr">
        <is>
          <t>PV_FY8[(C.G+보통주 원금) FY20, 보통주 요구수익률] ÷ 보통주 주식수</t>
        </is>
      </c>
    </row>
    <row r="10">
      <c r="A10" s="8" t="inlineStr">
        <is>
          <t>전환가액 (주당)</t>
        </is>
      </c>
      <c r="B10" s="15">
        <f>Inputs!$B$25</f>
        <v/>
      </c>
      <c r="C10" s="15">
        <f>B9</f>
        <v/>
      </c>
      <c r="D10" s="6" t="inlineStr">
        <is>
          <t>원</t>
        </is>
      </c>
      <c r="E10" s="7" t="inlineStr">
        <is>
          <t>열별 기준</t>
        </is>
      </c>
    </row>
    <row r="11">
      <c r="A11" s="8" t="inlineStr">
        <is>
          <t>전환주식수 = LF 납입액 ÷ 전환가액</t>
        </is>
      </c>
      <c r="B11" s="14">
        <f>Inputs!$B$4*1000000/B10</f>
        <v/>
      </c>
      <c r="C11" s="14">
        <f>Inputs!$B$4*1000000/C10</f>
        <v/>
      </c>
      <c r="D11" s="6" t="inlineStr">
        <is>
          <t>주</t>
        </is>
      </c>
      <c r="E11" s="7" t="inlineStr">
        <is>
          <t>= N × P* ÷ 전환가액 = 납입액 ÷ 전환가액 (P*와 무관)</t>
        </is>
      </c>
    </row>
    <row r="12">
      <c r="A12" s="8" t="inlineStr">
        <is>
          <t>전환 후 LF 보통주 지분율</t>
        </is>
      </c>
      <c r="B12" s="17">
        <f>B11/(Inputs!$B$26+B11)</f>
        <v/>
      </c>
      <c r="C12" s="17">
        <f>C11/(Inputs!$B$26+C11)</f>
        <v/>
      </c>
      <c r="D12" s="6" t="inlineStr"/>
      <c r="E12" s="7" t="inlineStr"/>
    </row>
    <row r="13">
      <c r="A13" s="8" t="inlineStr">
        <is>
          <t>FY20 보통주 풀 총 회수액</t>
        </is>
      </c>
      <c r="B13" s="14">
        <f>Inputs!$B$30+Inputs!$B$27+Inputs!$B$4</f>
        <v/>
      </c>
      <c r="C13" s="14">
        <f>B13</f>
        <v/>
      </c>
      <c r="D13" s="6" t="inlineStr">
        <is>
          <t>백만원</t>
        </is>
      </c>
      <c r="E13" s="7" t="inlineStr">
        <is>
          <t>C.G + 보통주 원금 + 미감자 3종 납입액(리츠 내 잔존)</t>
        </is>
      </c>
    </row>
    <row r="14">
      <c r="A14" s="8" t="inlineStr">
        <is>
          <t>시나리오 C 총가치 PV (LF 전체)</t>
        </is>
      </c>
      <c r="B14" s="14">
        <f>B12*B13*$B$8</f>
        <v/>
      </c>
      <c r="C14" s="14">
        <f>C12*C13*$B$8</f>
        <v/>
      </c>
      <c r="D14" s="6" t="inlineStr">
        <is>
          <t>백만원</t>
        </is>
      </c>
      <c r="E14" s="7" t="inlineStr">
        <is>
          <t>= 지분율 × 풀 × df(FY20)</t>
        </is>
      </c>
    </row>
    <row r="15">
      <c r="A15" s="8" t="inlineStr">
        <is>
          <t>c = 시나리오 C 가치 ÷ 납입액 (주당가치/P* 비율)</t>
        </is>
      </c>
      <c r="B15" s="28">
        <f>B14/Inputs!$B$4</f>
        <v/>
      </c>
      <c r="C15" s="28">
        <f>C14/Inputs!$B$4</f>
        <v/>
      </c>
      <c r="D15" s="6" t="inlineStr"/>
      <c r="E15" s="7" t="inlineStr">
        <is>
          <t>주당 C 가치 = c × P*</t>
        </is>
      </c>
    </row>
    <row r="16">
      <c r="A16" s="8" t="inlineStr">
        <is>
          <t>분자: (pA·df4 + pB·df8) × 상환가액 [+ 상환가액기준 배당]</t>
        </is>
      </c>
      <c r="B16" s="15">
        <f>(Inputs!$B$18*$B$5+Inputs!$B$19*$B$6)*Inputs!$B$5+IF(Inputs!$B$16=2,Inputs!$B$19*(Inputs!$B$12/Inputs!$B$15)*$B$7*Inputs!$B$5,0)</f>
        <v/>
      </c>
      <c r="C16" s="15">
        <f>(Inputs!$B$18*$B$5+Inputs!$B$19*$B$6)*Inputs!$B$5+IF(Inputs!$B$16=2,Inputs!$B$19*(Inputs!$B$12/Inputs!$B$15)*$B$7*Inputs!$B$5,0)</f>
        <v/>
      </c>
      <c r="D16" s="6" t="inlineStr">
        <is>
          <t>원</t>
        </is>
      </c>
      <c r="E16" s="7" t="inlineStr"/>
    </row>
    <row r="17">
      <c r="A17" s="8" t="inlineStr">
        <is>
          <t>분모: 1 − pC·c [− 발행가액기준 배당 pB·(d/m)·Σdf]</t>
        </is>
      </c>
      <c r="B17" s="28">
        <f>1-Inputs!$B$20*B15-IF(Inputs!$B$16=1,Inputs!$B$19*(Inputs!$B$12/Inputs!$B$15)*$B$7,0)</f>
        <v/>
      </c>
      <c r="C17" s="28">
        <f>1-Inputs!$B$20*C15-IF(Inputs!$B$16=1,Inputs!$B$19*(Inputs!$B$12/Inputs!$B$15)*$B$7,0)</f>
        <v/>
      </c>
      <c r="D17" s="6" t="inlineStr"/>
      <c r="E17" s="7" t="inlineStr"/>
    </row>
    <row r="18">
      <c r="A18" s="29" t="inlineStr">
        <is>
          <t>★ 주당 공정가치 P* = 발행가액</t>
        </is>
      </c>
      <c r="B18" s="30">
        <f>B16/B17</f>
        <v/>
      </c>
      <c r="C18" s="30">
        <f>C16/C17</f>
        <v/>
      </c>
      <c r="D18" s="6" t="inlineStr">
        <is>
          <t>원</t>
        </is>
      </c>
      <c r="E18" s="7" t="inlineStr">
        <is>
          <t>LF 납입 단가</t>
        </is>
      </c>
    </row>
    <row r="19">
      <c r="A19" s="8" t="inlineStr">
        <is>
          <t>발행주식수 N = 납입액 ÷ P*</t>
        </is>
      </c>
      <c r="B19" s="14">
        <f>Inputs!$B$4*1000000/B18</f>
        <v/>
      </c>
      <c r="C19" s="14">
        <f>Inputs!$B$4*1000000/C18</f>
        <v/>
      </c>
      <c r="D19" s="6" t="inlineStr">
        <is>
          <t>주</t>
        </is>
      </c>
      <c r="E19" s="7" t="inlineStr"/>
    </row>
    <row r="20">
      <c r="A20" s="8" t="inlineStr">
        <is>
          <t>감자대가 총액 = N × 상환가액</t>
        </is>
      </c>
      <c r="B20" s="14">
        <f>B19*Inputs!$B$5/1000000</f>
        <v/>
      </c>
      <c r="C20" s="14">
        <f>C19*Inputs!$B$5/1000000</f>
        <v/>
      </c>
      <c r="D20" s="6" t="inlineStr">
        <is>
          <t>백만원</t>
        </is>
      </c>
      <c r="E20" s="7" t="inlineStr">
        <is>
          <t>리츠가 FY4(또는 FY8) 지급</t>
        </is>
      </c>
    </row>
    <row r="21">
      <c r="A21" s="29" t="inlineStr">
        <is>
          <t>감자 프리미엄 = 상환가액 ÷ P* − 1</t>
        </is>
      </c>
      <c r="B21" s="31">
        <f>Inputs!$B$5/B18-1</f>
        <v/>
      </c>
      <c r="C21" s="31">
        <f>Inputs!$B$5/C18-1</f>
        <v/>
      </c>
      <c r="D21" s="6" t="inlineStr"/>
      <c r="E21" s="7" t="inlineStr">
        <is>
          <t>LF의 2년 무배당에 대한 대가</t>
        </is>
      </c>
    </row>
    <row r="22">
      <c r="A22" s="8" t="inlineStr">
        <is>
          <t>반기 배당 (주당)</t>
        </is>
      </c>
      <c r="B22" s="15">
        <f>IF(Inputs!$B$16=1,B18,Inputs!$B$5)*Inputs!$B$12/Inputs!$B$15</f>
        <v/>
      </c>
      <c r="C22" s="15">
        <f>IF(Inputs!$B$16=1,C18,Inputs!$B$5)*Inputs!$B$12/Inputs!$B$15</f>
        <v/>
      </c>
      <c r="D22" s="6" t="inlineStr">
        <is>
          <t>원</t>
        </is>
      </c>
      <c r="E22" s="7" t="inlineStr">
        <is>
          <t>시나리오 B FY5~8</t>
        </is>
      </c>
    </row>
    <row r="23">
      <c r="A23" s="8" t="inlineStr">
        <is>
          <t>반기 배당 (총액)</t>
        </is>
      </c>
      <c r="B23" s="14">
        <f>B22*B19/1000000</f>
        <v/>
      </c>
      <c r="C23" s="14">
        <f>C22*C19/1000000</f>
        <v/>
      </c>
      <c r="D23" s="6" t="inlineStr">
        <is>
          <t>백만원</t>
        </is>
      </c>
      <c r="E23" s="7" t="inlineStr"/>
    </row>
    <row r="24">
      <c r="A24" s="8" t="inlineStr">
        <is>
          <t>검증: 확률가중 PV ÷ P* (=100%)</t>
        </is>
      </c>
      <c r="B24" s="17">
        <f>(Inputs!$B$18*Inputs!$B$5*$B$5+Inputs!$B$19*(B22*$B$7+Inputs!$B$5*$B$6)+Inputs!$B$20*B15*B18)/B18</f>
        <v/>
      </c>
      <c r="C24" s="17">
        <f>(Inputs!$B$18*Inputs!$B$5*$B$5+Inputs!$B$19*(C22*$B$7+Inputs!$B$5*$B$6)+Inputs!$B$20*C15*C18)/C18</f>
        <v/>
      </c>
      <c r="D24" s="6" t="inlineStr"/>
      <c r="E24" s="7" t="inlineStr">
        <is>
          <t>정의상 100.0%</t>
        </is>
      </c>
    </row>
    <row r="26">
      <c r="A26" s="29" t="inlineStr">
        <is>
          <t>선택 기준 (Inputs!B32) → CF 시트 사용값</t>
        </is>
      </c>
      <c r="D26" s="6" t="inlineStr"/>
      <c r="E26" s="7" t="inlineStr"/>
    </row>
    <row r="27">
      <c r="A27" s="29" t="inlineStr">
        <is>
          <t xml:space="preserve">  P* (선택)</t>
        </is>
      </c>
      <c r="B27" s="30">
        <f>IF(Inputs!$B$32=1,B18,C18)</f>
        <v/>
      </c>
      <c r="D27" s="6" t="inlineStr">
        <is>
          <t>원</t>
        </is>
      </c>
      <c r="E27" s="7" t="inlineStr"/>
    </row>
    <row r="28">
      <c r="A28" s="8" t="inlineStr">
        <is>
          <t xml:space="preserve">  N (선택)</t>
        </is>
      </c>
      <c r="B28" s="14">
        <f>IF(Inputs!$B$32=1,B19,C19)</f>
        <v/>
      </c>
      <c r="D28" s="6" t="inlineStr">
        <is>
          <t>주</t>
        </is>
      </c>
      <c r="E28" s="7" t="inlineStr"/>
    </row>
    <row r="29">
      <c r="A29" s="8" t="inlineStr">
        <is>
          <t xml:space="preserve">  전환주식수 (선택)</t>
        </is>
      </c>
      <c r="B29" s="14">
        <f>IF(Inputs!$B$32=1,B11,C11)</f>
        <v/>
      </c>
      <c r="D29" s="6" t="inlineStr">
        <is>
          <t>주</t>
        </is>
      </c>
      <c r="E29" s="7" t="inlineStr"/>
    </row>
    <row r="30">
      <c r="A30" s="8" t="inlineStr">
        <is>
          <t xml:space="preserve">  LF 지분율 (선택)</t>
        </is>
      </c>
      <c r="B30" s="17">
        <f>IF(Inputs!$B$32=1,B12,C12)</f>
        <v/>
      </c>
      <c r="D30" s="6" t="inlineStr"/>
      <c r="E30" s="7" t="inlineStr"/>
    </row>
    <row r="31">
      <c r="A31" s="8" t="inlineStr">
        <is>
          <t xml:space="preserve">  반기 배당 주당 (선택)</t>
        </is>
      </c>
      <c r="B31" s="15">
        <f>IF(Inputs!$B$32=1,B22,C22)</f>
        <v/>
      </c>
      <c r="D31" s="6" t="inlineStr">
        <is>
          <t>원</t>
        </is>
      </c>
      <c r="E31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  <col width="13" customWidth="1" min="14" max="14"/>
    <col width="13" customWidth="1" min="15" max="15"/>
    <col width="13" customWidth="1" min="16" max="16"/>
    <col width="3" customWidth="1" min="17" max="17"/>
    <col width="13" customWidth="1" min="18" max="18"/>
    <col width="13" customWidth="1" min="19" max="19"/>
  </cols>
  <sheetData>
    <row r="1">
      <c r="A1" s="1" t="inlineStr">
        <is>
          <t>주당 현금흐름 (원, LF 3종 1주 기준) · 리츠 총액 (백만원) · KLI 보통주 — 선택 기준(Inputs!B32)</t>
        </is>
      </c>
    </row>
    <row r="2">
      <c r="A2" s="2" t="inlineStr">
        <is>
          <t>FY0 = 납입 −P*. A: FY4 상환가액 / B: FY5~8 배당 + FY8 상환가액 / C: FY8 전환 → FY20 지분율×풀 ÷ N</t>
        </is>
      </c>
    </row>
    <row r="4">
      <c r="A4" s="3" t="inlineStr">
        <is>
          <t>FY</t>
        </is>
      </c>
      <c r="B4" s="3" t="inlineStr">
        <is>
          <t>경과월</t>
        </is>
      </c>
      <c r="C4" s="3" t="inlineStr">
        <is>
          <t>t(년)</t>
        </is>
      </c>
      <c r="D4" s="3" t="inlineStr">
        <is>
          <t>할인계수</t>
        </is>
      </c>
      <c r="E4" s="3" t="inlineStr">
        <is>
          <t>A (주당)</t>
        </is>
      </c>
      <c r="F4" s="3" t="inlineStr">
        <is>
          <t>B (주당)</t>
        </is>
      </c>
      <c r="G4" s="3" t="inlineStr">
        <is>
          <t>C (주당)</t>
        </is>
      </c>
      <c r="H4" s="3" t="inlineStr">
        <is>
          <t>기대 (주당)</t>
        </is>
      </c>
      <c r="I4" s="3" t="inlineStr">
        <is>
          <t>PV A</t>
        </is>
      </c>
      <c r="J4" s="3" t="inlineStr">
        <is>
          <t>PV B</t>
        </is>
      </c>
      <c r="K4" s="3" t="inlineStr">
        <is>
          <t>PV C</t>
        </is>
      </c>
      <c r="L4" s="3" t="inlineStr">
        <is>
          <t>PV 기대</t>
        </is>
      </c>
      <c r="N4" s="3" t="inlineStr">
        <is>
          <t>리츠 유출 A (총액)</t>
        </is>
      </c>
      <c r="O4" s="3" t="inlineStr">
        <is>
          <t>리츠 유출 B (총액)</t>
        </is>
      </c>
      <c r="P4" s="3" t="inlineStr">
        <is>
          <t>리츠 유출 C (총액)</t>
        </is>
      </c>
      <c r="R4" s="3" t="inlineStr">
        <is>
          <t>KLI 보통주 CF: 기준</t>
        </is>
      </c>
      <c r="S4" s="3" t="inlineStr">
        <is>
          <t>KLI CF: 시나리오 C</t>
        </is>
      </c>
    </row>
    <row r="5">
      <c r="A5" s="6" t="n">
        <v>0</v>
      </c>
      <c r="B5" s="9">
        <f>A5*12/Inputs!$B$15</f>
        <v/>
      </c>
      <c r="C5" s="32">
        <f>A5/Inputs!$B$15</f>
        <v/>
      </c>
      <c r="D5" s="28">
        <f>1/(1+Inputs!$B$22)^C5</f>
        <v/>
      </c>
      <c r="E5" s="14">
        <f>IF(A5=0,-Solve!$B$27,IF(B5=Inputs!$B$11,Inputs!$B$5,0))</f>
        <v/>
      </c>
      <c r="F5" s="14">
        <f>IF(A5=0,-Solve!$B$27,IF(AND(B5&gt;Inputs!$B$11,B5&lt;=Inputs!$B$11+Inputs!$B$13),Solve!$B$31,0)+IF(B5=Inputs!$B$11+Inputs!$B$13,Inputs!$B$5,0))</f>
        <v/>
      </c>
      <c r="G5" s="14">
        <f>IF(A5=0,-Solve!$B$27,IF(A5=20,Solve!$B$30*(Inputs!$B$30+Inputs!$B$27+Inputs!$B$4)*1000000/Solve!$B$28,IF(B5&gt;Inputs!$B$14,Solve!$B$30*Inputs!$B$29*1000000/Solve!$B$28,0)))</f>
        <v/>
      </c>
      <c r="H5" s="14">
        <f>Inputs!$B$18*E5+Inputs!$B$19*F5+Inputs!$B$20*G5</f>
        <v/>
      </c>
      <c r="I5" s="14">
        <f>E5*$D5</f>
        <v/>
      </c>
      <c r="J5" s="14">
        <f>F5*$D5</f>
        <v/>
      </c>
      <c r="K5" s="14">
        <f>G5*$D5</f>
        <v/>
      </c>
      <c r="L5" s="14">
        <f>H5*$D5</f>
        <v/>
      </c>
      <c r="N5" s="14">
        <f>IF(A5=0,0,E5*Solve!$B$28/1000000)</f>
        <v/>
      </c>
      <c r="O5" s="14">
        <f>IF(A5=0,0,F5*Solve!$B$28/1000000)</f>
        <v/>
      </c>
      <c r="P5" s="14">
        <f>IF(A5=0,0,G5*Solve!$B$28/1000000)</f>
        <v/>
      </c>
      <c r="R5" s="14">
        <f>IF(A5=0,-Inputs!$B$27,IF(OR(A5=1,A5=2),Inputs!$B$28,IF(A5&gt;=3,Inputs!$B$29,0))+IF(A5=20,Inputs!$B$30+Inputs!$B$27,0))</f>
        <v/>
      </c>
      <c r="S5" s="14">
        <f>IF(A5=0,-Inputs!$B$27,IF(A5&lt;=8,IF(OR(A5=1,A5=2),Inputs!$B$28,IF(A5&gt;=3,Inputs!$B$29,0)),(1-Solve!$B$30)*IF(OR(A5=1,A5=2),Inputs!$B$28,IF(A5&gt;=3,Inputs!$B$29,0)))+IF(A5=20,(1-Solve!$B$30)*(Inputs!$B$30+Inputs!$B$27+Inputs!$B$4),0))</f>
        <v/>
      </c>
    </row>
    <row r="6">
      <c r="A6" s="6" t="n">
        <v>1</v>
      </c>
      <c r="B6" s="9">
        <f>A6*12/Inputs!$B$15</f>
        <v/>
      </c>
      <c r="C6" s="32">
        <f>A6/Inputs!$B$15</f>
        <v/>
      </c>
      <c r="D6" s="28">
        <f>1/(1+Inputs!$B$22)^C6</f>
        <v/>
      </c>
      <c r="E6" s="14">
        <f>IF(A6=0,-Solve!$B$27,IF(B6=Inputs!$B$11,Inputs!$B$5,0))</f>
        <v/>
      </c>
      <c r="F6" s="14">
        <f>IF(A6=0,-Solve!$B$27,IF(AND(B6&gt;Inputs!$B$11,B6&lt;=Inputs!$B$11+Inputs!$B$13),Solve!$B$31,0)+IF(B6=Inputs!$B$11+Inputs!$B$13,Inputs!$B$5,0))</f>
        <v/>
      </c>
      <c r="G6" s="14">
        <f>IF(A6=0,-Solve!$B$27,IF(A6=20,Solve!$B$30*(Inputs!$B$30+Inputs!$B$27+Inputs!$B$4)*1000000/Solve!$B$28,IF(B6&gt;Inputs!$B$14,Solve!$B$30*Inputs!$B$29*1000000/Solve!$B$28,0)))</f>
        <v/>
      </c>
      <c r="H6" s="14">
        <f>Inputs!$B$18*E6+Inputs!$B$19*F6+Inputs!$B$20*G6</f>
        <v/>
      </c>
      <c r="I6" s="14">
        <f>E6*$D6</f>
        <v/>
      </c>
      <c r="J6" s="14">
        <f>F6*$D6</f>
        <v/>
      </c>
      <c r="K6" s="14">
        <f>G6*$D6</f>
        <v/>
      </c>
      <c r="L6" s="14">
        <f>H6*$D6</f>
        <v/>
      </c>
      <c r="N6" s="14">
        <f>IF(A6=0,0,E6*Solve!$B$28/1000000)</f>
        <v/>
      </c>
      <c r="O6" s="14">
        <f>IF(A6=0,0,F6*Solve!$B$28/1000000)</f>
        <v/>
      </c>
      <c r="P6" s="14">
        <f>IF(A6=0,0,G6*Solve!$B$28/1000000)</f>
        <v/>
      </c>
      <c r="R6" s="14">
        <f>IF(A6=0,-Inputs!$B$27,IF(OR(A6=1,A6=2),Inputs!$B$28,IF(A6&gt;=3,Inputs!$B$29,0))+IF(A6=20,Inputs!$B$30+Inputs!$B$27,0))</f>
        <v/>
      </c>
      <c r="S6" s="14">
        <f>IF(A6=0,-Inputs!$B$27,IF(A6&lt;=8,IF(OR(A6=1,A6=2),Inputs!$B$28,IF(A6&gt;=3,Inputs!$B$29,0)),(1-Solve!$B$30)*IF(OR(A6=1,A6=2),Inputs!$B$28,IF(A6&gt;=3,Inputs!$B$29,0)))+IF(A6=20,(1-Solve!$B$30)*(Inputs!$B$30+Inputs!$B$27+Inputs!$B$4),0))</f>
        <v/>
      </c>
    </row>
    <row r="7">
      <c r="A7" s="6" t="n">
        <v>2</v>
      </c>
      <c r="B7" s="9">
        <f>A7*12/Inputs!$B$15</f>
        <v/>
      </c>
      <c r="C7" s="32">
        <f>A7/Inputs!$B$15</f>
        <v/>
      </c>
      <c r="D7" s="28">
        <f>1/(1+Inputs!$B$22)^C7</f>
        <v/>
      </c>
      <c r="E7" s="14">
        <f>IF(A7=0,-Solve!$B$27,IF(B7=Inputs!$B$11,Inputs!$B$5,0))</f>
        <v/>
      </c>
      <c r="F7" s="14">
        <f>IF(A7=0,-Solve!$B$27,IF(AND(B7&gt;Inputs!$B$11,B7&lt;=Inputs!$B$11+Inputs!$B$13),Solve!$B$31,0)+IF(B7=Inputs!$B$11+Inputs!$B$13,Inputs!$B$5,0))</f>
        <v/>
      </c>
      <c r="G7" s="14">
        <f>IF(A7=0,-Solve!$B$27,IF(A7=20,Solve!$B$30*(Inputs!$B$30+Inputs!$B$27+Inputs!$B$4)*1000000/Solve!$B$28,IF(B7&gt;Inputs!$B$14,Solve!$B$30*Inputs!$B$29*1000000/Solve!$B$28,0)))</f>
        <v/>
      </c>
      <c r="H7" s="14">
        <f>Inputs!$B$18*E7+Inputs!$B$19*F7+Inputs!$B$20*G7</f>
        <v/>
      </c>
      <c r="I7" s="14">
        <f>E7*$D7</f>
        <v/>
      </c>
      <c r="J7" s="14">
        <f>F7*$D7</f>
        <v/>
      </c>
      <c r="K7" s="14">
        <f>G7*$D7</f>
        <v/>
      </c>
      <c r="L7" s="14">
        <f>H7*$D7</f>
        <v/>
      </c>
      <c r="N7" s="14">
        <f>IF(A7=0,0,E7*Solve!$B$28/1000000)</f>
        <v/>
      </c>
      <c r="O7" s="14">
        <f>IF(A7=0,0,F7*Solve!$B$28/1000000)</f>
        <v/>
      </c>
      <c r="P7" s="14">
        <f>IF(A7=0,0,G7*Solve!$B$28/1000000)</f>
        <v/>
      </c>
      <c r="R7" s="14">
        <f>IF(A7=0,-Inputs!$B$27,IF(OR(A7=1,A7=2),Inputs!$B$28,IF(A7&gt;=3,Inputs!$B$29,0))+IF(A7=20,Inputs!$B$30+Inputs!$B$27,0))</f>
        <v/>
      </c>
      <c r="S7" s="14">
        <f>IF(A7=0,-Inputs!$B$27,IF(A7&lt;=8,IF(OR(A7=1,A7=2),Inputs!$B$28,IF(A7&gt;=3,Inputs!$B$29,0)),(1-Solve!$B$30)*IF(OR(A7=1,A7=2),Inputs!$B$28,IF(A7&gt;=3,Inputs!$B$29,0)))+IF(A7=20,(1-Solve!$B$30)*(Inputs!$B$30+Inputs!$B$27+Inputs!$B$4),0))</f>
        <v/>
      </c>
    </row>
    <row r="8">
      <c r="A8" s="6" t="n">
        <v>3</v>
      </c>
      <c r="B8" s="9">
        <f>A8*12/Inputs!$B$15</f>
        <v/>
      </c>
      <c r="C8" s="32">
        <f>A8/Inputs!$B$15</f>
        <v/>
      </c>
      <c r="D8" s="28">
        <f>1/(1+Inputs!$B$22)^C8</f>
        <v/>
      </c>
      <c r="E8" s="14">
        <f>IF(A8=0,-Solve!$B$27,IF(B8=Inputs!$B$11,Inputs!$B$5,0))</f>
        <v/>
      </c>
      <c r="F8" s="14">
        <f>IF(A8=0,-Solve!$B$27,IF(AND(B8&gt;Inputs!$B$11,B8&lt;=Inputs!$B$11+Inputs!$B$13),Solve!$B$31,0)+IF(B8=Inputs!$B$11+Inputs!$B$13,Inputs!$B$5,0))</f>
        <v/>
      </c>
      <c r="G8" s="14">
        <f>IF(A8=0,-Solve!$B$27,IF(A8=20,Solve!$B$30*(Inputs!$B$30+Inputs!$B$27+Inputs!$B$4)*1000000/Solve!$B$28,IF(B8&gt;Inputs!$B$14,Solve!$B$30*Inputs!$B$29*1000000/Solve!$B$28,0)))</f>
        <v/>
      </c>
      <c r="H8" s="14">
        <f>Inputs!$B$18*E8+Inputs!$B$19*F8+Inputs!$B$20*G8</f>
        <v/>
      </c>
      <c r="I8" s="14">
        <f>E8*$D8</f>
        <v/>
      </c>
      <c r="J8" s="14">
        <f>F8*$D8</f>
        <v/>
      </c>
      <c r="K8" s="14">
        <f>G8*$D8</f>
        <v/>
      </c>
      <c r="L8" s="14">
        <f>H8*$D8</f>
        <v/>
      </c>
      <c r="N8" s="14">
        <f>IF(A8=0,0,E8*Solve!$B$28/1000000)</f>
        <v/>
      </c>
      <c r="O8" s="14">
        <f>IF(A8=0,0,F8*Solve!$B$28/1000000)</f>
        <v/>
      </c>
      <c r="P8" s="14">
        <f>IF(A8=0,0,G8*Solve!$B$28/1000000)</f>
        <v/>
      </c>
      <c r="R8" s="14">
        <f>IF(A8=0,-Inputs!$B$27,IF(OR(A8=1,A8=2),Inputs!$B$28,IF(A8&gt;=3,Inputs!$B$29,0))+IF(A8=20,Inputs!$B$30+Inputs!$B$27,0))</f>
        <v/>
      </c>
      <c r="S8" s="14">
        <f>IF(A8=0,-Inputs!$B$27,IF(A8&lt;=8,IF(OR(A8=1,A8=2),Inputs!$B$28,IF(A8&gt;=3,Inputs!$B$29,0)),(1-Solve!$B$30)*IF(OR(A8=1,A8=2),Inputs!$B$28,IF(A8&gt;=3,Inputs!$B$29,0)))+IF(A8=20,(1-Solve!$B$30)*(Inputs!$B$30+Inputs!$B$27+Inputs!$B$4),0))</f>
        <v/>
      </c>
    </row>
    <row r="9">
      <c r="A9" s="6" t="n">
        <v>4</v>
      </c>
      <c r="B9" s="9">
        <f>A9*12/Inputs!$B$15</f>
        <v/>
      </c>
      <c r="C9" s="32">
        <f>A9/Inputs!$B$15</f>
        <v/>
      </c>
      <c r="D9" s="28">
        <f>1/(1+Inputs!$B$22)^C9</f>
        <v/>
      </c>
      <c r="E9" s="14">
        <f>IF(A9=0,-Solve!$B$27,IF(B9=Inputs!$B$11,Inputs!$B$5,0))</f>
        <v/>
      </c>
      <c r="F9" s="14">
        <f>IF(A9=0,-Solve!$B$27,IF(AND(B9&gt;Inputs!$B$11,B9&lt;=Inputs!$B$11+Inputs!$B$13),Solve!$B$31,0)+IF(B9=Inputs!$B$11+Inputs!$B$13,Inputs!$B$5,0))</f>
        <v/>
      </c>
      <c r="G9" s="14">
        <f>IF(A9=0,-Solve!$B$27,IF(A9=20,Solve!$B$30*(Inputs!$B$30+Inputs!$B$27+Inputs!$B$4)*1000000/Solve!$B$28,IF(B9&gt;Inputs!$B$14,Solve!$B$30*Inputs!$B$29*1000000/Solve!$B$28,0)))</f>
        <v/>
      </c>
      <c r="H9" s="14">
        <f>Inputs!$B$18*E9+Inputs!$B$19*F9+Inputs!$B$20*G9</f>
        <v/>
      </c>
      <c r="I9" s="14">
        <f>E9*$D9</f>
        <v/>
      </c>
      <c r="J9" s="14">
        <f>F9*$D9</f>
        <v/>
      </c>
      <c r="K9" s="14">
        <f>G9*$D9</f>
        <v/>
      </c>
      <c r="L9" s="14">
        <f>H9*$D9</f>
        <v/>
      </c>
      <c r="N9" s="14">
        <f>IF(A9=0,0,E9*Solve!$B$28/1000000)</f>
        <v/>
      </c>
      <c r="O9" s="14">
        <f>IF(A9=0,0,F9*Solve!$B$28/1000000)</f>
        <v/>
      </c>
      <c r="P9" s="14">
        <f>IF(A9=0,0,G9*Solve!$B$28/1000000)</f>
        <v/>
      </c>
      <c r="R9" s="14">
        <f>IF(A9=0,-Inputs!$B$27,IF(OR(A9=1,A9=2),Inputs!$B$28,IF(A9&gt;=3,Inputs!$B$29,0))+IF(A9=20,Inputs!$B$30+Inputs!$B$27,0))</f>
        <v/>
      </c>
      <c r="S9" s="14">
        <f>IF(A9=0,-Inputs!$B$27,IF(A9&lt;=8,IF(OR(A9=1,A9=2),Inputs!$B$28,IF(A9&gt;=3,Inputs!$B$29,0)),(1-Solve!$B$30)*IF(OR(A9=1,A9=2),Inputs!$B$28,IF(A9&gt;=3,Inputs!$B$29,0)))+IF(A9=20,(1-Solve!$B$30)*(Inputs!$B$30+Inputs!$B$27+Inputs!$B$4),0))</f>
        <v/>
      </c>
    </row>
    <row r="10">
      <c r="A10" s="6" t="n">
        <v>5</v>
      </c>
      <c r="B10" s="9">
        <f>A10*12/Inputs!$B$15</f>
        <v/>
      </c>
      <c r="C10" s="32">
        <f>A10/Inputs!$B$15</f>
        <v/>
      </c>
      <c r="D10" s="28">
        <f>1/(1+Inputs!$B$22)^C10</f>
        <v/>
      </c>
      <c r="E10" s="14">
        <f>IF(A10=0,-Solve!$B$27,IF(B10=Inputs!$B$11,Inputs!$B$5,0))</f>
        <v/>
      </c>
      <c r="F10" s="14">
        <f>IF(A10=0,-Solve!$B$27,IF(AND(B10&gt;Inputs!$B$11,B10&lt;=Inputs!$B$11+Inputs!$B$13),Solve!$B$31,0)+IF(B10=Inputs!$B$11+Inputs!$B$13,Inputs!$B$5,0))</f>
        <v/>
      </c>
      <c r="G10" s="14">
        <f>IF(A10=0,-Solve!$B$27,IF(A10=20,Solve!$B$30*(Inputs!$B$30+Inputs!$B$27+Inputs!$B$4)*1000000/Solve!$B$28,IF(B10&gt;Inputs!$B$14,Solve!$B$30*Inputs!$B$29*1000000/Solve!$B$28,0)))</f>
        <v/>
      </c>
      <c r="H10" s="14">
        <f>Inputs!$B$18*E10+Inputs!$B$19*F10+Inputs!$B$20*G10</f>
        <v/>
      </c>
      <c r="I10" s="14">
        <f>E10*$D10</f>
        <v/>
      </c>
      <c r="J10" s="14">
        <f>F10*$D10</f>
        <v/>
      </c>
      <c r="K10" s="14">
        <f>G10*$D10</f>
        <v/>
      </c>
      <c r="L10" s="14">
        <f>H10*$D10</f>
        <v/>
      </c>
      <c r="N10" s="14">
        <f>IF(A10=0,0,E10*Solve!$B$28/1000000)</f>
        <v/>
      </c>
      <c r="O10" s="14">
        <f>IF(A10=0,0,F10*Solve!$B$28/1000000)</f>
        <v/>
      </c>
      <c r="P10" s="14">
        <f>IF(A10=0,0,G10*Solve!$B$28/1000000)</f>
        <v/>
      </c>
      <c r="R10" s="14">
        <f>IF(A10=0,-Inputs!$B$27,IF(OR(A10=1,A10=2),Inputs!$B$28,IF(A10&gt;=3,Inputs!$B$29,0))+IF(A10=20,Inputs!$B$30+Inputs!$B$27,0))</f>
        <v/>
      </c>
      <c r="S10" s="14">
        <f>IF(A10=0,-Inputs!$B$27,IF(A10&lt;=8,IF(OR(A10=1,A10=2),Inputs!$B$28,IF(A10&gt;=3,Inputs!$B$29,0)),(1-Solve!$B$30)*IF(OR(A10=1,A10=2),Inputs!$B$28,IF(A10&gt;=3,Inputs!$B$29,0)))+IF(A10=20,(1-Solve!$B$30)*(Inputs!$B$30+Inputs!$B$27+Inputs!$B$4),0))</f>
        <v/>
      </c>
    </row>
    <row r="11">
      <c r="A11" s="6" t="n">
        <v>6</v>
      </c>
      <c r="B11" s="9">
        <f>A11*12/Inputs!$B$15</f>
        <v/>
      </c>
      <c r="C11" s="32">
        <f>A11/Inputs!$B$15</f>
        <v/>
      </c>
      <c r="D11" s="28">
        <f>1/(1+Inputs!$B$22)^C11</f>
        <v/>
      </c>
      <c r="E11" s="14">
        <f>IF(A11=0,-Solve!$B$27,IF(B11=Inputs!$B$11,Inputs!$B$5,0))</f>
        <v/>
      </c>
      <c r="F11" s="14">
        <f>IF(A11=0,-Solve!$B$27,IF(AND(B11&gt;Inputs!$B$11,B11&lt;=Inputs!$B$11+Inputs!$B$13),Solve!$B$31,0)+IF(B11=Inputs!$B$11+Inputs!$B$13,Inputs!$B$5,0))</f>
        <v/>
      </c>
      <c r="G11" s="14">
        <f>IF(A11=0,-Solve!$B$27,IF(A11=20,Solve!$B$30*(Inputs!$B$30+Inputs!$B$27+Inputs!$B$4)*1000000/Solve!$B$28,IF(B11&gt;Inputs!$B$14,Solve!$B$30*Inputs!$B$29*1000000/Solve!$B$28,0)))</f>
        <v/>
      </c>
      <c r="H11" s="14">
        <f>Inputs!$B$18*E11+Inputs!$B$19*F11+Inputs!$B$20*G11</f>
        <v/>
      </c>
      <c r="I11" s="14">
        <f>E11*$D11</f>
        <v/>
      </c>
      <c r="J11" s="14">
        <f>F11*$D11</f>
        <v/>
      </c>
      <c r="K11" s="14">
        <f>G11*$D11</f>
        <v/>
      </c>
      <c r="L11" s="14">
        <f>H11*$D11</f>
        <v/>
      </c>
      <c r="N11" s="14">
        <f>IF(A11=0,0,E11*Solve!$B$28/1000000)</f>
        <v/>
      </c>
      <c r="O11" s="14">
        <f>IF(A11=0,0,F11*Solve!$B$28/1000000)</f>
        <v/>
      </c>
      <c r="P11" s="14">
        <f>IF(A11=0,0,G11*Solve!$B$28/1000000)</f>
        <v/>
      </c>
      <c r="R11" s="14">
        <f>IF(A11=0,-Inputs!$B$27,IF(OR(A11=1,A11=2),Inputs!$B$28,IF(A11&gt;=3,Inputs!$B$29,0))+IF(A11=20,Inputs!$B$30+Inputs!$B$27,0))</f>
        <v/>
      </c>
      <c r="S11" s="14">
        <f>IF(A11=0,-Inputs!$B$27,IF(A11&lt;=8,IF(OR(A11=1,A11=2),Inputs!$B$28,IF(A11&gt;=3,Inputs!$B$29,0)),(1-Solve!$B$30)*IF(OR(A11=1,A11=2),Inputs!$B$28,IF(A11&gt;=3,Inputs!$B$29,0)))+IF(A11=20,(1-Solve!$B$30)*(Inputs!$B$30+Inputs!$B$27+Inputs!$B$4),0))</f>
        <v/>
      </c>
    </row>
    <row r="12">
      <c r="A12" s="6" t="n">
        <v>7</v>
      </c>
      <c r="B12" s="9">
        <f>A12*12/Inputs!$B$15</f>
        <v/>
      </c>
      <c r="C12" s="32">
        <f>A12/Inputs!$B$15</f>
        <v/>
      </c>
      <c r="D12" s="28">
        <f>1/(1+Inputs!$B$22)^C12</f>
        <v/>
      </c>
      <c r="E12" s="14">
        <f>IF(A12=0,-Solve!$B$27,IF(B12=Inputs!$B$11,Inputs!$B$5,0))</f>
        <v/>
      </c>
      <c r="F12" s="14">
        <f>IF(A12=0,-Solve!$B$27,IF(AND(B12&gt;Inputs!$B$11,B12&lt;=Inputs!$B$11+Inputs!$B$13),Solve!$B$31,0)+IF(B12=Inputs!$B$11+Inputs!$B$13,Inputs!$B$5,0))</f>
        <v/>
      </c>
      <c r="G12" s="14">
        <f>IF(A12=0,-Solve!$B$27,IF(A12=20,Solve!$B$30*(Inputs!$B$30+Inputs!$B$27+Inputs!$B$4)*1000000/Solve!$B$28,IF(B12&gt;Inputs!$B$14,Solve!$B$30*Inputs!$B$29*1000000/Solve!$B$28,0)))</f>
        <v/>
      </c>
      <c r="H12" s="14">
        <f>Inputs!$B$18*E12+Inputs!$B$19*F12+Inputs!$B$20*G12</f>
        <v/>
      </c>
      <c r="I12" s="14">
        <f>E12*$D12</f>
        <v/>
      </c>
      <c r="J12" s="14">
        <f>F12*$D12</f>
        <v/>
      </c>
      <c r="K12" s="14">
        <f>G12*$D12</f>
        <v/>
      </c>
      <c r="L12" s="14">
        <f>H12*$D12</f>
        <v/>
      </c>
      <c r="N12" s="14">
        <f>IF(A12=0,0,E12*Solve!$B$28/1000000)</f>
        <v/>
      </c>
      <c r="O12" s="14">
        <f>IF(A12=0,0,F12*Solve!$B$28/1000000)</f>
        <v/>
      </c>
      <c r="P12" s="14">
        <f>IF(A12=0,0,G12*Solve!$B$28/1000000)</f>
        <v/>
      </c>
      <c r="R12" s="14">
        <f>IF(A12=0,-Inputs!$B$27,IF(OR(A12=1,A12=2),Inputs!$B$28,IF(A12&gt;=3,Inputs!$B$29,0))+IF(A12=20,Inputs!$B$30+Inputs!$B$27,0))</f>
        <v/>
      </c>
      <c r="S12" s="14">
        <f>IF(A12=0,-Inputs!$B$27,IF(A12&lt;=8,IF(OR(A12=1,A12=2),Inputs!$B$28,IF(A12&gt;=3,Inputs!$B$29,0)),(1-Solve!$B$30)*IF(OR(A12=1,A12=2),Inputs!$B$28,IF(A12&gt;=3,Inputs!$B$29,0)))+IF(A12=20,(1-Solve!$B$30)*(Inputs!$B$30+Inputs!$B$27+Inputs!$B$4),0))</f>
        <v/>
      </c>
    </row>
    <row r="13">
      <c r="A13" s="6" t="n">
        <v>8</v>
      </c>
      <c r="B13" s="9">
        <f>A13*12/Inputs!$B$15</f>
        <v/>
      </c>
      <c r="C13" s="32">
        <f>A13/Inputs!$B$15</f>
        <v/>
      </c>
      <c r="D13" s="28">
        <f>1/(1+Inputs!$B$22)^C13</f>
        <v/>
      </c>
      <c r="E13" s="14">
        <f>IF(A13=0,-Solve!$B$27,IF(B13=Inputs!$B$11,Inputs!$B$5,0))</f>
        <v/>
      </c>
      <c r="F13" s="14">
        <f>IF(A13=0,-Solve!$B$27,IF(AND(B13&gt;Inputs!$B$11,B13&lt;=Inputs!$B$11+Inputs!$B$13),Solve!$B$31,0)+IF(B13=Inputs!$B$11+Inputs!$B$13,Inputs!$B$5,0))</f>
        <v/>
      </c>
      <c r="G13" s="14">
        <f>IF(A13=0,-Solve!$B$27,IF(A13=20,Solve!$B$30*(Inputs!$B$30+Inputs!$B$27+Inputs!$B$4)*1000000/Solve!$B$28,IF(B13&gt;Inputs!$B$14,Solve!$B$30*Inputs!$B$29*1000000/Solve!$B$28,0)))</f>
        <v/>
      </c>
      <c r="H13" s="14">
        <f>Inputs!$B$18*E13+Inputs!$B$19*F13+Inputs!$B$20*G13</f>
        <v/>
      </c>
      <c r="I13" s="14">
        <f>E13*$D13</f>
        <v/>
      </c>
      <c r="J13" s="14">
        <f>F13*$D13</f>
        <v/>
      </c>
      <c r="K13" s="14">
        <f>G13*$D13</f>
        <v/>
      </c>
      <c r="L13" s="14">
        <f>H13*$D13</f>
        <v/>
      </c>
      <c r="N13" s="14">
        <f>IF(A13=0,0,E13*Solve!$B$28/1000000)</f>
        <v/>
      </c>
      <c r="O13" s="14">
        <f>IF(A13=0,0,F13*Solve!$B$28/1000000)</f>
        <v/>
      </c>
      <c r="P13" s="14">
        <f>IF(A13=0,0,G13*Solve!$B$28/1000000)</f>
        <v/>
      </c>
      <c r="R13" s="14">
        <f>IF(A13=0,-Inputs!$B$27,IF(OR(A13=1,A13=2),Inputs!$B$28,IF(A13&gt;=3,Inputs!$B$29,0))+IF(A13=20,Inputs!$B$30+Inputs!$B$27,0))</f>
        <v/>
      </c>
      <c r="S13" s="14">
        <f>IF(A13=0,-Inputs!$B$27,IF(A13&lt;=8,IF(OR(A13=1,A13=2),Inputs!$B$28,IF(A13&gt;=3,Inputs!$B$29,0)),(1-Solve!$B$30)*IF(OR(A13=1,A13=2),Inputs!$B$28,IF(A13&gt;=3,Inputs!$B$29,0)))+IF(A13=20,(1-Solve!$B$30)*(Inputs!$B$30+Inputs!$B$27+Inputs!$B$4),0))</f>
        <v/>
      </c>
    </row>
    <row r="14">
      <c r="A14" s="6" t="n">
        <v>9</v>
      </c>
      <c r="B14" s="9">
        <f>A14*12/Inputs!$B$15</f>
        <v/>
      </c>
      <c r="C14" s="32">
        <f>A14/Inputs!$B$15</f>
        <v/>
      </c>
      <c r="D14" s="28">
        <f>1/(1+Inputs!$B$22)^C14</f>
        <v/>
      </c>
      <c r="E14" s="14">
        <f>IF(A14=0,-Solve!$B$27,IF(B14=Inputs!$B$11,Inputs!$B$5,0))</f>
        <v/>
      </c>
      <c r="F14" s="14">
        <f>IF(A14=0,-Solve!$B$27,IF(AND(B14&gt;Inputs!$B$11,B14&lt;=Inputs!$B$11+Inputs!$B$13),Solve!$B$31,0)+IF(B14=Inputs!$B$11+Inputs!$B$13,Inputs!$B$5,0))</f>
        <v/>
      </c>
      <c r="G14" s="14">
        <f>IF(A14=0,-Solve!$B$27,IF(A14=20,Solve!$B$30*(Inputs!$B$30+Inputs!$B$27+Inputs!$B$4)*1000000/Solve!$B$28,IF(B14&gt;Inputs!$B$14,Solve!$B$30*Inputs!$B$29*1000000/Solve!$B$28,0)))</f>
        <v/>
      </c>
      <c r="H14" s="14">
        <f>Inputs!$B$18*E14+Inputs!$B$19*F14+Inputs!$B$20*G14</f>
        <v/>
      </c>
      <c r="I14" s="14">
        <f>E14*$D14</f>
        <v/>
      </c>
      <c r="J14" s="14">
        <f>F14*$D14</f>
        <v/>
      </c>
      <c r="K14" s="14">
        <f>G14*$D14</f>
        <v/>
      </c>
      <c r="L14" s="14">
        <f>H14*$D14</f>
        <v/>
      </c>
      <c r="N14" s="14">
        <f>IF(A14=0,0,E14*Solve!$B$28/1000000)</f>
        <v/>
      </c>
      <c r="O14" s="14">
        <f>IF(A14=0,0,F14*Solve!$B$28/1000000)</f>
        <v/>
      </c>
      <c r="P14" s="14">
        <f>IF(A14=0,0,G14*Solve!$B$28/1000000)</f>
        <v/>
      </c>
      <c r="R14" s="14">
        <f>IF(A14=0,-Inputs!$B$27,IF(OR(A14=1,A14=2),Inputs!$B$28,IF(A14&gt;=3,Inputs!$B$29,0))+IF(A14=20,Inputs!$B$30+Inputs!$B$27,0))</f>
        <v/>
      </c>
      <c r="S14" s="14">
        <f>IF(A14=0,-Inputs!$B$27,IF(A14&lt;=8,IF(OR(A14=1,A14=2),Inputs!$B$28,IF(A14&gt;=3,Inputs!$B$29,0)),(1-Solve!$B$30)*IF(OR(A14=1,A14=2),Inputs!$B$28,IF(A14&gt;=3,Inputs!$B$29,0)))+IF(A14=20,(1-Solve!$B$30)*(Inputs!$B$30+Inputs!$B$27+Inputs!$B$4),0))</f>
        <v/>
      </c>
    </row>
    <row r="15">
      <c r="A15" s="6" t="n">
        <v>10</v>
      </c>
      <c r="B15" s="9">
        <f>A15*12/Inputs!$B$15</f>
        <v/>
      </c>
      <c r="C15" s="32">
        <f>A15/Inputs!$B$15</f>
        <v/>
      </c>
      <c r="D15" s="28">
        <f>1/(1+Inputs!$B$22)^C15</f>
        <v/>
      </c>
      <c r="E15" s="14">
        <f>IF(A15=0,-Solve!$B$27,IF(B15=Inputs!$B$11,Inputs!$B$5,0))</f>
        <v/>
      </c>
      <c r="F15" s="14">
        <f>IF(A15=0,-Solve!$B$27,IF(AND(B15&gt;Inputs!$B$11,B15&lt;=Inputs!$B$11+Inputs!$B$13),Solve!$B$31,0)+IF(B15=Inputs!$B$11+Inputs!$B$13,Inputs!$B$5,0))</f>
        <v/>
      </c>
      <c r="G15" s="14">
        <f>IF(A15=0,-Solve!$B$27,IF(A15=20,Solve!$B$30*(Inputs!$B$30+Inputs!$B$27+Inputs!$B$4)*1000000/Solve!$B$28,IF(B15&gt;Inputs!$B$14,Solve!$B$30*Inputs!$B$29*1000000/Solve!$B$28,0)))</f>
        <v/>
      </c>
      <c r="H15" s="14">
        <f>Inputs!$B$18*E15+Inputs!$B$19*F15+Inputs!$B$20*G15</f>
        <v/>
      </c>
      <c r="I15" s="14">
        <f>E15*$D15</f>
        <v/>
      </c>
      <c r="J15" s="14">
        <f>F15*$D15</f>
        <v/>
      </c>
      <c r="K15" s="14">
        <f>G15*$D15</f>
        <v/>
      </c>
      <c r="L15" s="14">
        <f>H15*$D15</f>
        <v/>
      </c>
      <c r="N15" s="14">
        <f>IF(A15=0,0,E15*Solve!$B$28/1000000)</f>
        <v/>
      </c>
      <c r="O15" s="14">
        <f>IF(A15=0,0,F15*Solve!$B$28/1000000)</f>
        <v/>
      </c>
      <c r="P15" s="14">
        <f>IF(A15=0,0,G15*Solve!$B$28/1000000)</f>
        <v/>
      </c>
      <c r="R15" s="14">
        <f>IF(A15=0,-Inputs!$B$27,IF(OR(A15=1,A15=2),Inputs!$B$28,IF(A15&gt;=3,Inputs!$B$29,0))+IF(A15=20,Inputs!$B$30+Inputs!$B$27,0))</f>
        <v/>
      </c>
      <c r="S15" s="14">
        <f>IF(A15=0,-Inputs!$B$27,IF(A15&lt;=8,IF(OR(A15=1,A15=2),Inputs!$B$28,IF(A15&gt;=3,Inputs!$B$29,0)),(1-Solve!$B$30)*IF(OR(A15=1,A15=2),Inputs!$B$28,IF(A15&gt;=3,Inputs!$B$29,0)))+IF(A15=20,(1-Solve!$B$30)*(Inputs!$B$30+Inputs!$B$27+Inputs!$B$4),0))</f>
        <v/>
      </c>
    </row>
    <row r="16">
      <c r="A16" s="6" t="n">
        <v>11</v>
      </c>
      <c r="B16" s="9">
        <f>A16*12/Inputs!$B$15</f>
        <v/>
      </c>
      <c r="C16" s="32">
        <f>A16/Inputs!$B$15</f>
        <v/>
      </c>
      <c r="D16" s="28">
        <f>1/(1+Inputs!$B$22)^C16</f>
        <v/>
      </c>
      <c r="E16" s="14">
        <f>IF(A16=0,-Solve!$B$27,IF(B16=Inputs!$B$11,Inputs!$B$5,0))</f>
        <v/>
      </c>
      <c r="F16" s="14">
        <f>IF(A16=0,-Solve!$B$27,IF(AND(B16&gt;Inputs!$B$11,B16&lt;=Inputs!$B$11+Inputs!$B$13),Solve!$B$31,0)+IF(B16=Inputs!$B$11+Inputs!$B$13,Inputs!$B$5,0))</f>
        <v/>
      </c>
      <c r="G16" s="14">
        <f>IF(A16=0,-Solve!$B$27,IF(A16=20,Solve!$B$30*(Inputs!$B$30+Inputs!$B$27+Inputs!$B$4)*1000000/Solve!$B$28,IF(B16&gt;Inputs!$B$14,Solve!$B$30*Inputs!$B$29*1000000/Solve!$B$28,0)))</f>
        <v/>
      </c>
      <c r="H16" s="14">
        <f>Inputs!$B$18*E16+Inputs!$B$19*F16+Inputs!$B$20*G16</f>
        <v/>
      </c>
      <c r="I16" s="14">
        <f>E16*$D16</f>
        <v/>
      </c>
      <c r="J16" s="14">
        <f>F16*$D16</f>
        <v/>
      </c>
      <c r="K16" s="14">
        <f>G16*$D16</f>
        <v/>
      </c>
      <c r="L16" s="14">
        <f>H16*$D16</f>
        <v/>
      </c>
      <c r="N16" s="14">
        <f>IF(A16=0,0,E16*Solve!$B$28/1000000)</f>
        <v/>
      </c>
      <c r="O16" s="14">
        <f>IF(A16=0,0,F16*Solve!$B$28/1000000)</f>
        <v/>
      </c>
      <c r="P16" s="14">
        <f>IF(A16=0,0,G16*Solve!$B$28/1000000)</f>
        <v/>
      </c>
      <c r="R16" s="14">
        <f>IF(A16=0,-Inputs!$B$27,IF(OR(A16=1,A16=2),Inputs!$B$28,IF(A16&gt;=3,Inputs!$B$29,0))+IF(A16=20,Inputs!$B$30+Inputs!$B$27,0))</f>
        <v/>
      </c>
      <c r="S16" s="14">
        <f>IF(A16=0,-Inputs!$B$27,IF(A16&lt;=8,IF(OR(A16=1,A16=2),Inputs!$B$28,IF(A16&gt;=3,Inputs!$B$29,0)),(1-Solve!$B$30)*IF(OR(A16=1,A16=2),Inputs!$B$28,IF(A16&gt;=3,Inputs!$B$29,0)))+IF(A16=20,(1-Solve!$B$30)*(Inputs!$B$30+Inputs!$B$27+Inputs!$B$4),0))</f>
        <v/>
      </c>
    </row>
    <row r="17">
      <c r="A17" s="6" t="n">
        <v>12</v>
      </c>
      <c r="B17" s="9">
        <f>A17*12/Inputs!$B$15</f>
        <v/>
      </c>
      <c r="C17" s="32">
        <f>A17/Inputs!$B$15</f>
        <v/>
      </c>
      <c r="D17" s="28">
        <f>1/(1+Inputs!$B$22)^C17</f>
        <v/>
      </c>
      <c r="E17" s="14">
        <f>IF(A17=0,-Solve!$B$27,IF(B17=Inputs!$B$11,Inputs!$B$5,0))</f>
        <v/>
      </c>
      <c r="F17" s="14">
        <f>IF(A17=0,-Solve!$B$27,IF(AND(B17&gt;Inputs!$B$11,B17&lt;=Inputs!$B$11+Inputs!$B$13),Solve!$B$31,0)+IF(B17=Inputs!$B$11+Inputs!$B$13,Inputs!$B$5,0))</f>
        <v/>
      </c>
      <c r="G17" s="14">
        <f>IF(A17=0,-Solve!$B$27,IF(A17=20,Solve!$B$30*(Inputs!$B$30+Inputs!$B$27+Inputs!$B$4)*1000000/Solve!$B$28,IF(B17&gt;Inputs!$B$14,Solve!$B$30*Inputs!$B$29*1000000/Solve!$B$28,0)))</f>
        <v/>
      </c>
      <c r="H17" s="14">
        <f>Inputs!$B$18*E17+Inputs!$B$19*F17+Inputs!$B$20*G17</f>
        <v/>
      </c>
      <c r="I17" s="14">
        <f>E17*$D17</f>
        <v/>
      </c>
      <c r="J17" s="14">
        <f>F17*$D17</f>
        <v/>
      </c>
      <c r="K17" s="14">
        <f>G17*$D17</f>
        <v/>
      </c>
      <c r="L17" s="14">
        <f>H17*$D17</f>
        <v/>
      </c>
      <c r="N17" s="14">
        <f>IF(A17=0,0,E17*Solve!$B$28/1000000)</f>
        <v/>
      </c>
      <c r="O17" s="14">
        <f>IF(A17=0,0,F17*Solve!$B$28/1000000)</f>
        <v/>
      </c>
      <c r="P17" s="14">
        <f>IF(A17=0,0,G17*Solve!$B$28/1000000)</f>
        <v/>
      </c>
      <c r="R17" s="14">
        <f>IF(A17=0,-Inputs!$B$27,IF(OR(A17=1,A17=2),Inputs!$B$28,IF(A17&gt;=3,Inputs!$B$29,0))+IF(A17=20,Inputs!$B$30+Inputs!$B$27,0))</f>
        <v/>
      </c>
      <c r="S17" s="14">
        <f>IF(A17=0,-Inputs!$B$27,IF(A17&lt;=8,IF(OR(A17=1,A17=2),Inputs!$B$28,IF(A17&gt;=3,Inputs!$B$29,0)),(1-Solve!$B$30)*IF(OR(A17=1,A17=2),Inputs!$B$28,IF(A17&gt;=3,Inputs!$B$29,0)))+IF(A17=20,(1-Solve!$B$30)*(Inputs!$B$30+Inputs!$B$27+Inputs!$B$4),0))</f>
        <v/>
      </c>
    </row>
    <row r="18">
      <c r="A18" s="6" t="n">
        <v>13</v>
      </c>
      <c r="B18" s="9">
        <f>A18*12/Inputs!$B$15</f>
        <v/>
      </c>
      <c r="C18" s="32">
        <f>A18/Inputs!$B$15</f>
        <v/>
      </c>
      <c r="D18" s="28">
        <f>1/(1+Inputs!$B$22)^C18</f>
        <v/>
      </c>
      <c r="E18" s="14">
        <f>IF(A18=0,-Solve!$B$27,IF(B18=Inputs!$B$11,Inputs!$B$5,0))</f>
        <v/>
      </c>
      <c r="F18" s="14">
        <f>IF(A18=0,-Solve!$B$27,IF(AND(B18&gt;Inputs!$B$11,B18&lt;=Inputs!$B$11+Inputs!$B$13),Solve!$B$31,0)+IF(B18=Inputs!$B$11+Inputs!$B$13,Inputs!$B$5,0))</f>
        <v/>
      </c>
      <c r="G18" s="14">
        <f>IF(A18=0,-Solve!$B$27,IF(A18=20,Solve!$B$30*(Inputs!$B$30+Inputs!$B$27+Inputs!$B$4)*1000000/Solve!$B$28,IF(B18&gt;Inputs!$B$14,Solve!$B$30*Inputs!$B$29*1000000/Solve!$B$28,0)))</f>
        <v/>
      </c>
      <c r="H18" s="14">
        <f>Inputs!$B$18*E18+Inputs!$B$19*F18+Inputs!$B$20*G18</f>
        <v/>
      </c>
      <c r="I18" s="14">
        <f>E18*$D18</f>
        <v/>
      </c>
      <c r="J18" s="14">
        <f>F18*$D18</f>
        <v/>
      </c>
      <c r="K18" s="14">
        <f>G18*$D18</f>
        <v/>
      </c>
      <c r="L18" s="14">
        <f>H18*$D18</f>
        <v/>
      </c>
      <c r="N18" s="14">
        <f>IF(A18=0,0,E18*Solve!$B$28/1000000)</f>
        <v/>
      </c>
      <c r="O18" s="14">
        <f>IF(A18=0,0,F18*Solve!$B$28/1000000)</f>
        <v/>
      </c>
      <c r="P18" s="14">
        <f>IF(A18=0,0,G18*Solve!$B$28/1000000)</f>
        <v/>
      </c>
      <c r="R18" s="14">
        <f>IF(A18=0,-Inputs!$B$27,IF(OR(A18=1,A18=2),Inputs!$B$28,IF(A18&gt;=3,Inputs!$B$29,0))+IF(A18=20,Inputs!$B$30+Inputs!$B$27,0))</f>
        <v/>
      </c>
      <c r="S18" s="14">
        <f>IF(A18=0,-Inputs!$B$27,IF(A18&lt;=8,IF(OR(A18=1,A18=2),Inputs!$B$28,IF(A18&gt;=3,Inputs!$B$29,0)),(1-Solve!$B$30)*IF(OR(A18=1,A18=2),Inputs!$B$28,IF(A18&gt;=3,Inputs!$B$29,0)))+IF(A18=20,(1-Solve!$B$30)*(Inputs!$B$30+Inputs!$B$27+Inputs!$B$4),0))</f>
        <v/>
      </c>
    </row>
    <row r="19">
      <c r="A19" s="6" t="n">
        <v>14</v>
      </c>
      <c r="B19" s="9">
        <f>A19*12/Inputs!$B$15</f>
        <v/>
      </c>
      <c r="C19" s="32">
        <f>A19/Inputs!$B$15</f>
        <v/>
      </c>
      <c r="D19" s="28">
        <f>1/(1+Inputs!$B$22)^C19</f>
        <v/>
      </c>
      <c r="E19" s="14">
        <f>IF(A19=0,-Solve!$B$27,IF(B19=Inputs!$B$11,Inputs!$B$5,0))</f>
        <v/>
      </c>
      <c r="F19" s="14">
        <f>IF(A19=0,-Solve!$B$27,IF(AND(B19&gt;Inputs!$B$11,B19&lt;=Inputs!$B$11+Inputs!$B$13),Solve!$B$31,0)+IF(B19=Inputs!$B$11+Inputs!$B$13,Inputs!$B$5,0))</f>
        <v/>
      </c>
      <c r="G19" s="14">
        <f>IF(A19=0,-Solve!$B$27,IF(A19=20,Solve!$B$30*(Inputs!$B$30+Inputs!$B$27+Inputs!$B$4)*1000000/Solve!$B$28,IF(B19&gt;Inputs!$B$14,Solve!$B$30*Inputs!$B$29*1000000/Solve!$B$28,0)))</f>
        <v/>
      </c>
      <c r="H19" s="14">
        <f>Inputs!$B$18*E19+Inputs!$B$19*F19+Inputs!$B$20*G19</f>
        <v/>
      </c>
      <c r="I19" s="14">
        <f>E19*$D19</f>
        <v/>
      </c>
      <c r="J19" s="14">
        <f>F19*$D19</f>
        <v/>
      </c>
      <c r="K19" s="14">
        <f>G19*$D19</f>
        <v/>
      </c>
      <c r="L19" s="14">
        <f>H19*$D19</f>
        <v/>
      </c>
      <c r="N19" s="14">
        <f>IF(A19=0,0,E19*Solve!$B$28/1000000)</f>
        <v/>
      </c>
      <c r="O19" s="14">
        <f>IF(A19=0,0,F19*Solve!$B$28/1000000)</f>
        <v/>
      </c>
      <c r="P19" s="14">
        <f>IF(A19=0,0,G19*Solve!$B$28/1000000)</f>
        <v/>
      </c>
      <c r="R19" s="14">
        <f>IF(A19=0,-Inputs!$B$27,IF(OR(A19=1,A19=2),Inputs!$B$28,IF(A19&gt;=3,Inputs!$B$29,0))+IF(A19=20,Inputs!$B$30+Inputs!$B$27,0))</f>
        <v/>
      </c>
      <c r="S19" s="14">
        <f>IF(A19=0,-Inputs!$B$27,IF(A19&lt;=8,IF(OR(A19=1,A19=2),Inputs!$B$28,IF(A19&gt;=3,Inputs!$B$29,0)),(1-Solve!$B$30)*IF(OR(A19=1,A19=2),Inputs!$B$28,IF(A19&gt;=3,Inputs!$B$29,0)))+IF(A19=20,(1-Solve!$B$30)*(Inputs!$B$30+Inputs!$B$27+Inputs!$B$4),0))</f>
        <v/>
      </c>
    </row>
    <row r="20">
      <c r="A20" s="6" t="n">
        <v>15</v>
      </c>
      <c r="B20" s="9">
        <f>A20*12/Inputs!$B$15</f>
        <v/>
      </c>
      <c r="C20" s="32">
        <f>A20/Inputs!$B$15</f>
        <v/>
      </c>
      <c r="D20" s="28">
        <f>1/(1+Inputs!$B$22)^C20</f>
        <v/>
      </c>
      <c r="E20" s="14">
        <f>IF(A20=0,-Solve!$B$27,IF(B20=Inputs!$B$11,Inputs!$B$5,0))</f>
        <v/>
      </c>
      <c r="F20" s="14">
        <f>IF(A20=0,-Solve!$B$27,IF(AND(B20&gt;Inputs!$B$11,B20&lt;=Inputs!$B$11+Inputs!$B$13),Solve!$B$31,0)+IF(B20=Inputs!$B$11+Inputs!$B$13,Inputs!$B$5,0))</f>
        <v/>
      </c>
      <c r="G20" s="14">
        <f>IF(A20=0,-Solve!$B$27,IF(A20=20,Solve!$B$30*(Inputs!$B$30+Inputs!$B$27+Inputs!$B$4)*1000000/Solve!$B$28,IF(B20&gt;Inputs!$B$14,Solve!$B$30*Inputs!$B$29*1000000/Solve!$B$28,0)))</f>
        <v/>
      </c>
      <c r="H20" s="14">
        <f>Inputs!$B$18*E20+Inputs!$B$19*F20+Inputs!$B$20*G20</f>
        <v/>
      </c>
      <c r="I20" s="14">
        <f>E20*$D20</f>
        <v/>
      </c>
      <c r="J20" s="14">
        <f>F20*$D20</f>
        <v/>
      </c>
      <c r="K20" s="14">
        <f>G20*$D20</f>
        <v/>
      </c>
      <c r="L20" s="14">
        <f>H20*$D20</f>
        <v/>
      </c>
      <c r="N20" s="14">
        <f>IF(A20=0,0,E20*Solve!$B$28/1000000)</f>
        <v/>
      </c>
      <c r="O20" s="14">
        <f>IF(A20=0,0,F20*Solve!$B$28/1000000)</f>
        <v/>
      </c>
      <c r="P20" s="14">
        <f>IF(A20=0,0,G20*Solve!$B$28/1000000)</f>
        <v/>
      </c>
      <c r="R20" s="14">
        <f>IF(A20=0,-Inputs!$B$27,IF(OR(A20=1,A20=2),Inputs!$B$28,IF(A20&gt;=3,Inputs!$B$29,0))+IF(A20=20,Inputs!$B$30+Inputs!$B$27,0))</f>
        <v/>
      </c>
      <c r="S20" s="14">
        <f>IF(A20=0,-Inputs!$B$27,IF(A20&lt;=8,IF(OR(A20=1,A20=2),Inputs!$B$28,IF(A20&gt;=3,Inputs!$B$29,0)),(1-Solve!$B$30)*IF(OR(A20=1,A20=2),Inputs!$B$28,IF(A20&gt;=3,Inputs!$B$29,0)))+IF(A20=20,(1-Solve!$B$30)*(Inputs!$B$30+Inputs!$B$27+Inputs!$B$4),0))</f>
        <v/>
      </c>
    </row>
    <row r="21">
      <c r="A21" s="6" t="n">
        <v>16</v>
      </c>
      <c r="B21" s="9">
        <f>A21*12/Inputs!$B$15</f>
        <v/>
      </c>
      <c r="C21" s="32">
        <f>A21/Inputs!$B$15</f>
        <v/>
      </c>
      <c r="D21" s="28">
        <f>1/(1+Inputs!$B$22)^C21</f>
        <v/>
      </c>
      <c r="E21" s="14">
        <f>IF(A21=0,-Solve!$B$27,IF(B21=Inputs!$B$11,Inputs!$B$5,0))</f>
        <v/>
      </c>
      <c r="F21" s="14">
        <f>IF(A21=0,-Solve!$B$27,IF(AND(B21&gt;Inputs!$B$11,B21&lt;=Inputs!$B$11+Inputs!$B$13),Solve!$B$31,0)+IF(B21=Inputs!$B$11+Inputs!$B$13,Inputs!$B$5,0))</f>
        <v/>
      </c>
      <c r="G21" s="14">
        <f>IF(A21=0,-Solve!$B$27,IF(A21=20,Solve!$B$30*(Inputs!$B$30+Inputs!$B$27+Inputs!$B$4)*1000000/Solve!$B$28,IF(B21&gt;Inputs!$B$14,Solve!$B$30*Inputs!$B$29*1000000/Solve!$B$28,0)))</f>
        <v/>
      </c>
      <c r="H21" s="14">
        <f>Inputs!$B$18*E21+Inputs!$B$19*F21+Inputs!$B$20*G21</f>
        <v/>
      </c>
      <c r="I21" s="14">
        <f>E21*$D21</f>
        <v/>
      </c>
      <c r="J21" s="14">
        <f>F21*$D21</f>
        <v/>
      </c>
      <c r="K21" s="14">
        <f>G21*$D21</f>
        <v/>
      </c>
      <c r="L21" s="14">
        <f>H21*$D21</f>
        <v/>
      </c>
      <c r="N21" s="14">
        <f>IF(A21=0,0,E21*Solve!$B$28/1000000)</f>
        <v/>
      </c>
      <c r="O21" s="14">
        <f>IF(A21=0,0,F21*Solve!$B$28/1000000)</f>
        <v/>
      </c>
      <c r="P21" s="14">
        <f>IF(A21=0,0,G21*Solve!$B$28/1000000)</f>
        <v/>
      </c>
      <c r="R21" s="14">
        <f>IF(A21=0,-Inputs!$B$27,IF(OR(A21=1,A21=2),Inputs!$B$28,IF(A21&gt;=3,Inputs!$B$29,0))+IF(A21=20,Inputs!$B$30+Inputs!$B$27,0))</f>
        <v/>
      </c>
      <c r="S21" s="14">
        <f>IF(A21=0,-Inputs!$B$27,IF(A21&lt;=8,IF(OR(A21=1,A21=2),Inputs!$B$28,IF(A21&gt;=3,Inputs!$B$29,0)),(1-Solve!$B$30)*IF(OR(A21=1,A21=2),Inputs!$B$28,IF(A21&gt;=3,Inputs!$B$29,0)))+IF(A21=20,(1-Solve!$B$30)*(Inputs!$B$30+Inputs!$B$27+Inputs!$B$4),0))</f>
        <v/>
      </c>
    </row>
    <row r="22">
      <c r="A22" s="6" t="n">
        <v>17</v>
      </c>
      <c r="B22" s="9">
        <f>A22*12/Inputs!$B$15</f>
        <v/>
      </c>
      <c r="C22" s="32">
        <f>A22/Inputs!$B$15</f>
        <v/>
      </c>
      <c r="D22" s="28">
        <f>1/(1+Inputs!$B$22)^C22</f>
        <v/>
      </c>
      <c r="E22" s="14">
        <f>IF(A22=0,-Solve!$B$27,IF(B22=Inputs!$B$11,Inputs!$B$5,0))</f>
        <v/>
      </c>
      <c r="F22" s="14">
        <f>IF(A22=0,-Solve!$B$27,IF(AND(B22&gt;Inputs!$B$11,B22&lt;=Inputs!$B$11+Inputs!$B$13),Solve!$B$31,0)+IF(B22=Inputs!$B$11+Inputs!$B$13,Inputs!$B$5,0))</f>
        <v/>
      </c>
      <c r="G22" s="14">
        <f>IF(A22=0,-Solve!$B$27,IF(A22=20,Solve!$B$30*(Inputs!$B$30+Inputs!$B$27+Inputs!$B$4)*1000000/Solve!$B$28,IF(B22&gt;Inputs!$B$14,Solve!$B$30*Inputs!$B$29*1000000/Solve!$B$28,0)))</f>
        <v/>
      </c>
      <c r="H22" s="14">
        <f>Inputs!$B$18*E22+Inputs!$B$19*F22+Inputs!$B$20*G22</f>
        <v/>
      </c>
      <c r="I22" s="14">
        <f>E22*$D22</f>
        <v/>
      </c>
      <c r="J22" s="14">
        <f>F22*$D22</f>
        <v/>
      </c>
      <c r="K22" s="14">
        <f>G22*$D22</f>
        <v/>
      </c>
      <c r="L22" s="14">
        <f>H22*$D22</f>
        <v/>
      </c>
      <c r="N22" s="14">
        <f>IF(A22=0,0,E22*Solve!$B$28/1000000)</f>
        <v/>
      </c>
      <c r="O22" s="14">
        <f>IF(A22=0,0,F22*Solve!$B$28/1000000)</f>
        <v/>
      </c>
      <c r="P22" s="14">
        <f>IF(A22=0,0,G22*Solve!$B$28/1000000)</f>
        <v/>
      </c>
      <c r="R22" s="14">
        <f>IF(A22=0,-Inputs!$B$27,IF(OR(A22=1,A22=2),Inputs!$B$28,IF(A22&gt;=3,Inputs!$B$29,0))+IF(A22=20,Inputs!$B$30+Inputs!$B$27,0))</f>
        <v/>
      </c>
      <c r="S22" s="14">
        <f>IF(A22=0,-Inputs!$B$27,IF(A22&lt;=8,IF(OR(A22=1,A22=2),Inputs!$B$28,IF(A22&gt;=3,Inputs!$B$29,0)),(1-Solve!$B$30)*IF(OR(A22=1,A22=2),Inputs!$B$28,IF(A22&gt;=3,Inputs!$B$29,0)))+IF(A22=20,(1-Solve!$B$30)*(Inputs!$B$30+Inputs!$B$27+Inputs!$B$4),0))</f>
        <v/>
      </c>
    </row>
    <row r="23">
      <c r="A23" s="6" t="n">
        <v>18</v>
      </c>
      <c r="B23" s="9">
        <f>A23*12/Inputs!$B$15</f>
        <v/>
      </c>
      <c r="C23" s="32">
        <f>A23/Inputs!$B$15</f>
        <v/>
      </c>
      <c r="D23" s="28">
        <f>1/(1+Inputs!$B$22)^C23</f>
        <v/>
      </c>
      <c r="E23" s="14">
        <f>IF(A23=0,-Solve!$B$27,IF(B23=Inputs!$B$11,Inputs!$B$5,0))</f>
        <v/>
      </c>
      <c r="F23" s="14">
        <f>IF(A23=0,-Solve!$B$27,IF(AND(B23&gt;Inputs!$B$11,B23&lt;=Inputs!$B$11+Inputs!$B$13),Solve!$B$31,0)+IF(B23=Inputs!$B$11+Inputs!$B$13,Inputs!$B$5,0))</f>
        <v/>
      </c>
      <c r="G23" s="14">
        <f>IF(A23=0,-Solve!$B$27,IF(A23=20,Solve!$B$30*(Inputs!$B$30+Inputs!$B$27+Inputs!$B$4)*1000000/Solve!$B$28,IF(B23&gt;Inputs!$B$14,Solve!$B$30*Inputs!$B$29*1000000/Solve!$B$28,0)))</f>
        <v/>
      </c>
      <c r="H23" s="14">
        <f>Inputs!$B$18*E23+Inputs!$B$19*F23+Inputs!$B$20*G23</f>
        <v/>
      </c>
      <c r="I23" s="14">
        <f>E23*$D23</f>
        <v/>
      </c>
      <c r="J23" s="14">
        <f>F23*$D23</f>
        <v/>
      </c>
      <c r="K23" s="14">
        <f>G23*$D23</f>
        <v/>
      </c>
      <c r="L23" s="14">
        <f>H23*$D23</f>
        <v/>
      </c>
      <c r="N23" s="14">
        <f>IF(A23=0,0,E23*Solve!$B$28/1000000)</f>
        <v/>
      </c>
      <c r="O23" s="14">
        <f>IF(A23=0,0,F23*Solve!$B$28/1000000)</f>
        <v/>
      </c>
      <c r="P23" s="14">
        <f>IF(A23=0,0,G23*Solve!$B$28/1000000)</f>
        <v/>
      </c>
      <c r="R23" s="14">
        <f>IF(A23=0,-Inputs!$B$27,IF(OR(A23=1,A23=2),Inputs!$B$28,IF(A23&gt;=3,Inputs!$B$29,0))+IF(A23=20,Inputs!$B$30+Inputs!$B$27,0))</f>
        <v/>
      </c>
      <c r="S23" s="14">
        <f>IF(A23=0,-Inputs!$B$27,IF(A23&lt;=8,IF(OR(A23=1,A23=2),Inputs!$B$28,IF(A23&gt;=3,Inputs!$B$29,0)),(1-Solve!$B$30)*IF(OR(A23=1,A23=2),Inputs!$B$28,IF(A23&gt;=3,Inputs!$B$29,0)))+IF(A23=20,(1-Solve!$B$30)*(Inputs!$B$30+Inputs!$B$27+Inputs!$B$4),0))</f>
        <v/>
      </c>
    </row>
    <row r="24">
      <c r="A24" s="6" t="n">
        <v>19</v>
      </c>
      <c r="B24" s="9">
        <f>A24*12/Inputs!$B$15</f>
        <v/>
      </c>
      <c r="C24" s="32">
        <f>A24/Inputs!$B$15</f>
        <v/>
      </c>
      <c r="D24" s="28">
        <f>1/(1+Inputs!$B$22)^C24</f>
        <v/>
      </c>
      <c r="E24" s="14">
        <f>IF(A24=0,-Solve!$B$27,IF(B24=Inputs!$B$11,Inputs!$B$5,0))</f>
        <v/>
      </c>
      <c r="F24" s="14">
        <f>IF(A24=0,-Solve!$B$27,IF(AND(B24&gt;Inputs!$B$11,B24&lt;=Inputs!$B$11+Inputs!$B$13),Solve!$B$31,0)+IF(B24=Inputs!$B$11+Inputs!$B$13,Inputs!$B$5,0))</f>
        <v/>
      </c>
      <c r="G24" s="14">
        <f>IF(A24=0,-Solve!$B$27,IF(A24=20,Solve!$B$30*(Inputs!$B$30+Inputs!$B$27+Inputs!$B$4)*1000000/Solve!$B$28,IF(B24&gt;Inputs!$B$14,Solve!$B$30*Inputs!$B$29*1000000/Solve!$B$28,0)))</f>
        <v/>
      </c>
      <c r="H24" s="14">
        <f>Inputs!$B$18*E24+Inputs!$B$19*F24+Inputs!$B$20*G24</f>
        <v/>
      </c>
      <c r="I24" s="14">
        <f>E24*$D24</f>
        <v/>
      </c>
      <c r="J24" s="14">
        <f>F24*$D24</f>
        <v/>
      </c>
      <c r="K24" s="14">
        <f>G24*$D24</f>
        <v/>
      </c>
      <c r="L24" s="14">
        <f>H24*$D24</f>
        <v/>
      </c>
      <c r="N24" s="14">
        <f>IF(A24=0,0,E24*Solve!$B$28/1000000)</f>
        <v/>
      </c>
      <c r="O24" s="14">
        <f>IF(A24=0,0,F24*Solve!$B$28/1000000)</f>
        <v/>
      </c>
      <c r="P24" s="14">
        <f>IF(A24=0,0,G24*Solve!$B$28/1000000)</f>
        <v/>
      </c>
      <c r="R24" s="14">
        <f>IF(A24=0,-Inputs!$B$27,IF(OR(A24=1,A24=2),Inputs!$B$28,IF(A24&gt;=3,Inputs!$B$29,0))+IF(A24=20,Inputs!$B$30+Inputs!$B$27,0))</f>
        <v/>
      </c>
      <c r="S24" s="14">
        <f>IF(A24=0,-Inputs!$B$27,IF(A24&lt;=8,IF(OR(A24=1,A24=2),Inputs!$B$28,IF(A24&gt;=3,Inputs!$B$29,0)),(1-Solve!$B$30)*IF(OR(A24=1,A24=2),Inputs!$B$28,IF(A24&gt;=3,Inputs!$B$29,0)))+IF(A24=20,(1-Solve!$B$30)*(Inputs!$B$30+Inputs!$B$27+Inputs!$B$4),0))</f>
        <v/>
      </c>
    </row>
    <row r="25">
      <c r="A25" s="6" t="n">
        <v>20</v>
      </c>
      <c r="B25" s="9">
        <f>A25*12/Inputs!$B$15</f>
        <v/>
      </c>
      <c r="C25" s="32">
        <f>A25/Inputs!$B$15</f>
        <v/>
      </c>
      <c r="D25" s="28">
        <f>1/(1+Inputs!$B$22)^C25</f>
        <v/>
      </c>
      <c r="E25" s="14">
        <f>IF(A25=0,-Solve!$B$27,IF(B25=Inputs!$B$11,Inputs!$B$5,0))</f>
        <v/>
      </c>
      <c r="F25" s="14">
        <f>IF(A25=0,-Solve!$B$27,IF(AND(B25&gt;Inputs!$B$11,B25&lt;=Inputs!$B$11+Inputs!$B$13),Solve!$B$31,0)+IF(B25=Inputs!$B$11+Inputs!$B$13,Inputs!$B$5,0))</f>
        <v/>
      </c>
      <c r="G25" s="14">
        <f>IF(A25=0,-Solve!$B$27,IF(A25=20,Solve!$B$30*(Inputs!$B$30+Inputs!$B$27+Inputs!$B$4)*1000000/Solve!$B$28,IF(B25&gt;Inputs!$B$14,Solve!$B$30*Inputs!$B$29*1000000/Solve!$B$28,0)))</f>
        <v/>
      </c>
      <c r="H25" s="14">
        <f>Inputs!$B$18*E25+Inputs!$B$19*F25+Inputs!$B$20*G25</f>
        <v/>
      </c>
      <c r="I25" s="14">
        <f>E25*$D25</f>
        <v/>
      </c>
      <c r="J25" s="14">
        <f>F25*$D25</f>
        <v/>
      </c>
      <c r="K25" s="14">
        <f>G25*$D25</f>
        <v/>
      </c>
      <c r="L25" s="14">
        <f>H25*$D25</f>
        <v/>
      </c>
      <c r="N25" s="14">
        <f>IF(A25=0,0,E25*Solve!$B$28/1000000)</f>
        <v/>
      </c>
      <c r="O25" s="14">
        <f>IF(A25=0,0,F25*Solve!$B$28/1000000)</f>
        <v/>
      </c>
      <c r="P25" s="14">
        <f>IF(A25=0,0,G25*Solve!$B$28/1000000)</f>
        <v/>
      </c>
      <c r="R25" s="14">
        <f>IF(A25=0,-Inputs!$B$27,IF(OR(A25=1,A25=2),Inputs!$B$28,IF(A25&gt;=3,Inputs!$B$29,0))+IF(A25=20,Inputs!$B$30+Inputs!$B$27,0))</f>
        <v/>
      </c>
      <c r="S25" s="14">
        <f>IF(A25=0,-Inputs!$B$27,IF(A25&lt;=8,IF(OR(A25=1,A25=2),Inputs!$B$28,IF(A25&gt;=3,Inputs!$B$29,0)),(1-Solve!$B$30)*IF(OR(A25=1,A25=2),Inputs!$B$28,IF(A25&gt;=3,Inputs!$B$29,0)))+IF(A25=20,(1-Solve!$B$30)*(Inputs!$B$30+Inputs!$B$27+Inputs!$B$4),0))</f>
        <v/>
      </c>
    </row>
    <row r="27">
      <c r="A27" s="29" t="inlineStr">
        <is>
          <t>PV 합계 (FY0 제외)</t>
        </is>
      </c>
      <c r="I27" s="33">
        <f>SUM(I6:I25)</f>
        <v/>
      </c>
      <c r="J27" s="33">
        <f>SUM(J6:J25)</f>
        <v/>
      </c>
      <c r="K27" s="33">
        <f>SUM(K6:K25)</f>
        <v/>
      </c>
      <c r="L27" s="33">
        <f>SUM(L6:L25)</f>
        <v/>
      </c>
      <c r="N27" s="34">
        <f>SUM(N6:N25)</f>
        <v/>
      </c>
      <c r="O27" s="34">
        <f>SUM(O6:O25)</f>
        <v/>
      </c>
      <c r="P27" s="34">
        <f>SUM(P6:P25)</f>
        <v/>
      </c>
    </row>
    <row r="28">
      <c r="A28" s="29" t="inlineStr">
        <is>
          <t>PV ÷ P* (기대 = 100%)</t>
        </is>
      </c>
      <c r="I28" s="35">
        <f>I27/Solve!$B$27</f>
        <v/>
      </c>
      <c r="J28" s="35">
        <f>J27/Solve!$B$27</f>
        <v/>
      </c>
      <c r="K28" s="35">
        <f>K27/Solve!$B$27</f>
        <v/>
      </c>
      <c r="L28" s="35">
        <f>L27/Solve!$B$27</f>
        <v/>
      </c>
      <c r="N28" s="2" t="inlineStr">
        <is>
          <t>리츠 총 유출 (납입 10,000 대비)</t>
        </is>
      </c>
    </row>
    <row r="29">
      <c r="A29" s="29" t="inlineStr">
        <is>
          <t>IRR (연, LF 주당)</t>
        </is>
      </c>
      <c r="E29" s="36">
        <f>IFERROR((1+IRR(E5:E25))^Inputs!$B$15-1,"n/a")</f>
        <v/>
      </c>
      <c r="F29" s="36">
        <f>IFERROR((1+IRR(F5:F25))^Inputs!$B$15-1,"n/a")</f>
        <v/>
      </c>
      <c r="G29" s="36">
        <f>IFERROR((1+IRR(G5:G25))^Inputs!$B$15-1,"n/a")</f>
        <v/>
      </c>
      <c r="H29" s="36">
        <f>IFERROR((1+IRR(H5:H25))^Inputs!$B$15-1,"n/a")</f>
        <v/>
      </c>
      <c r="R29" s="36">
        <f>IFERROR((1+IRR(R5:R25))^Inputs!$B$15-1,"n/a")</f>
        <v/>
      </c>
      <c r="S29" s="36">
        <f>IFERROR((1+IRR(S5:S25))^Inputs!$B$15-1,"n/a")</f>
        <v/>
      </c>
    </row>
    <row r="30">
      <c r="A30" s="29" t="inlineStr">
        <is>
          <t>E.Multiple (주당 총회수 ÷ P*)</t>
        </is>
      </c>
      <c r="E30" s="37">
        <f>SUM(E6:E25)/Solve!$B$27</f>
        <v/>
      </c>
      <c r="F30" s="37">
        <f>SUM(F6:F25)/Solve!$B$27</f>
        <v/>
      </c>
      <c r="G30" s="37">
        <f>SUM(G6:G25)/Solve!$B$27</f>
        <v/>
      </c>
      <c r="H30" s="37">
        <f>SUM(H6:H25)/Solve!$B$27</f>
        <v/>
      </c>
      <c r="R30" s="37">
        <f>SUM(R6:R25)/Inputs!$B$27</f>
        <v/>
      </c>
      <c r="S30" s="37">
        <f>SUM(S6:S25)/Inputs!$B$27</f>
        <v/>
      </c>
    </row>
    <row r="32">
      <c r="R32" s="2" t="inlineStr">
        <is>
          <t>검증: R열 KLI 기준 IRR 16.44%·E.M 4.35x = IM J102·J103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민감도 — 주당 공정가치 P* (원) 및 감자 프리미엄 (%)</t>
        </is>
      </c>
    </row>
    <row r="2">
      <c r="A2" s="2" t="inlineStr">
        <is>
          <t>행 = 할인율, 열 = 시나리오 A 확률 (C 확률 = Inputs!B20 고정, B = 1−A−C). 전환가액·배당 기준 = Inputs 선택값. 배당 4회 전제</t>
        </is>
      </c>
    </row>
    <row r="4">
      <c r="A4" s="29" t="inlineStr">
        <is>
          <t>P* (원)  할인율 \ P(A)</t>
        </is>
      </c>
      <c r="B4" s="38" t="n">
        <v>0.5</v>
      </c>
      <c r="C4" s="38" t="n">
        <v>0.6</v>
      </c>
      <c r="D4" s="38" t="n">
        <v>0.7</v>
      </c>
      <c r="E4" s="38" t="n">
        <v>0.8</v>
      </c>
      <c r="F4" s="38" t="n">
        <v>0.9</v>
      </c>
    </row>
    <row r="5">
      <c r="A5" s="39" t="n">
        <v>0.06</v>
      </c>
      <c r="B5" s="15">
        <f>((B$4*(1+$A5)^-(Inputs!$B$11/12)+(1-B$4-Inputs!$B$20)*(1+$A5)^-((Inputs!$B$11+Inputs!$B$13)/12))*Inputs!$B$5+IF(Inputs!$B$16=2,(1-B$4-Inputs!$B$20)*(Inputs!$B$12/Inputs!$B$15)*((1+$A5)^-(Inputs!$B$11/12+1/Inputs!$B$15)+(1+$A5)^-(Inputs!$B$11/12+2/Inputs!$B$15)+(1+$A5)^-(Inputs!$B$11/12+3/Inputs!$B$15)+(1+$A5)^-(Inputs!$B$11/12+4/Inputs!$B$15))*Inputs!$B$5,0))/(1-Inputs!$B$20*(Solve!$B$30*Solve!$B$13*(1+$A5)^-10/Inputs!$B$4)-IF(Inputs!$B$16=1,(1-B$4-Inputs!$B$20)*(Inputs!$B$12/Inputs!$B$15)*((1+$A5)^-(Inputs!$B$11/12+1/Inputs!$B$15)+(1+$A5)^-(Inputs!$B$11/12+2/Inputs!$B$15)+(1+$A5)^-(Inputs!$B$11/12+3/Inputs!$B$15)+(1+$A5)^-(Inputs!$B$11/12+4/Inputs!$B$15)),0))</f>
        <v/>
      </c>
      <c r="C5" s="15">
        <f>((C$4*(1+$A5)^-(Inputs!$B$11/12)+(1-C$4-Inputs!$B$20)*(1+$A5)^-((Inputs!$B$11+Inputs!$B$13)/12))*Inputs!$B$5+IF(Inputs!$B$16=2,(1-C$4-Inputs!$B$20)*(Inputs!$B$12/Inputs!$B$15)*((1+$A5)^-(Inputs!$B$11/12+1/Inputs!$B$15)+(1+$A5)^-(Inputs!$B$11/12+2/Inputs!$B$15)+(1+$A5)^-(Inputs!$B$11/12+3/Inputs!$B$15)+(1+$A5)^-(Inputs!$B$11/12+4/Inputs!$B$15))*Inputs!$B$5,0))/(1-Inputs!$B$20*(Solve!$B$30*Solve!$B$13*(1+$A5)^-10/Inputs!$B$4)-IF(Inputs!$B$16=1,(1-C$4-Inputs!$B$20)*(Inputs!$B$12/Inputs!$B$15)*((1+$A5)^-(Inputs!$B$11/12+1/Inputs!$B$15)+(1+$A5)^-(Inputs!$B$11/12+2/Inputs!$B$15)+(1+$A5)^-(Inputs!$B$11/12+3/Inputs!$B$15)+(1+$A5)^-(Inputs!$B$11/12+4/Inputs!$B$15)),0))</f>
        <v/>
      </c>
      <c r="D5" s="15">
        <f>((D$4*(1+$A5)^-(Inputs!$B$11/12)+(1-D$4-Inputs!$B$20)*(1+$A5)^-((Inputs!$B$11+Inputs!$B$13)/12))*Inputs!$B$5+IF(Inputs!$B$16=2,(1-D$4-Inputs!$B$20)*(Inputs!$B$12/Inputs!$B$15)*((1+$A5)^-(Inputs!$B$11/12+1/Inputs!$B$15)+(1+$A5)^-(Inputs!$B$11/12+2/Inputs!$B$15)+(1+$A5)^-(Inputs!$B$11/12+3/Inputs!$B$15)+(1+$A5)^-(Inputs!$B$11/12+4/Inputs!$B$15))*Inputs!$B$5,0))/(1-Inputs!$B$20*(Solve!$B$30*Solve!$B$13*(1+$A5)^-10/Inputs!$B$4)-IF(Inputs!$B$16=1,(1-D$4-Inputs!$B$20)*(Inputs!$B$12/Inputs!$B$15)*((1+$A5)^-(Inputs!$B$11/12+1/Inputs!$B$15)+(1+$A5)^-(Inputs!$B$11/12+2/Inputs!$B$15)+(1+$A5)^-(Inputs!$B$11/12+3/Inputs!$B$15)+(1+$A5)^-(Inputs!$B$11/12+4/Inputs!$B$15)),0))</f>
        <v/>
      </c>
      <c r="E5" s="15">
        <f>((E$4*(1+$A5)^-(Inputs!$B$11/12)+(1-E$4-Inputs!$B$20)*(1+$A5)^-((Inputs!$B$11+Inputs!$B$13)/12))*Inputs!$B$5+IF(Inputs!$B$16=2,(1-E$4-Inputs!$B$20)*(Inputs!$B$12/Inputs!$B$15)*((1+$A5)^-(Inputs!$B$11/12+1/Inputs!$B$15)+(1+$A5)^-(Inputs!$B$11/12+2/Inputs!$B$15)+(1+$A5)^-(Inputs!$B$11/12+3/Inputs!$B$15)+(1+$A5)^-(Inputs!$B$11/12+4/Inputs!$B$15))*Inputs!$B$5,0))/(1-Inputs!$B$20*(Solve!$B$30*Solve!$B$13*(1+$A5)^-10/Inputs!$B$4)-IF(Inputs!$B$16=1,(1-E$4-Inputs!$B$20)*(Inputs!$B$12/Inputs!$B$15)*((1+$A5)^-(Inputs!$B$11/12+1/Inputs!$B$15)+(1+$A5)^-(Inputs!$B$11/12+2/Inputs!$B$15)+(1+$A5)^-(Inputs!$B$11/12+3/Inputs!$B$15)+(1+$A5)^-(Inputs!$B$11/12+4/Inputs!$B$15)),0))</f>
        <v/>
      </c>
      <c r="F5" s="15">
        <f>((F$4*(1+$A5)^-(Inputs!$B$11/12)+(1-F$4-Inputs!$B$20)*(1+$A5)^-((Inputs!$B$11+Inputs!$B$13)/12))*Inputs!$B$5+IF(Inputs!$B$16=2,(1-F$4-Inputs!$B$20)*(Inputs!$B$12/Inputs!$B$15)*((1+$A5)^-(Inputs!$B$11/12+1/Inputs!$B$15)+(1+$A5)^-(Inputs!$B$11/12+2/Inputs!$B$15)+(1+$A5)^-(Inputs!$B$11/12+3/Inputs!$B$15)+(1+$A5)^-(Inputs!$B$11/12+4/Inputs!$B$15))*Inputs!$B$5,0))/(1-Inputs!$B$20*(Solve!$B$30*Solve!$B$13*(1+$A5)^-10/Inputs!$B$4)-IF(Inputs!$B$16=1,(1-F$4-Inputs!$B$20)*(Inputs!$B$12/Inputs!$B$15)*((1+$A5)^-(Inputs!$B$11/12+1/Inputs!$B$15)+(1+$A5)^-(Inputs!$B$11/12+2/Inputs!$B$15)+(1+$A5)^-(Inputs!$B$11/12+3/Inputs!$B$15)+(1+$A5)^-(Inputs!$B$11/12+4/Inputs!$B$15)),0))</f>
        <v/>
      </c>
    </row>
    <row r="6">
      <c r="A6" s="39" t="n">
        <v>0.07000000000000001</v>
      </c>
      <c r="B6" s="15">
        <f>((B$4*(1+$A6)^-(Inputs!$B$11/12)+(1-B$4-Inputs!$B$20)*(1+$A6)^-((Inputs!$B$11+Inputs!$B$13)/12))*Inputs!$B$5+IF(Inputs!$B$16=2,(1-B$4-Inputs!$B$20)*(Inputs!$B$12/Inputs!$B$15)*((1+$A6)^-(Inputs!$B$11/12+1/Inputs!$B$15)+(1+$A6)^-(Inputs!$B$11/12+2/Inputs!$B$15)+(1+$A6)^-(Inputs!$B$11/12+3/Inputs!$B$15)+(1+$A6)^-(Inputs!$B$11/12+4/Inputs!$B$15))*Inputs!$B$5,0))/(1-Inputs!$B$20*(Solve!$B$30*Solve!$B$13*(1+$A6)^-10/Inputs!$B$4)-IF(Inputs!$B$16=1,(1-B$4-Inputs!$B$20)*(Inputs!$B$12/Inputs!$B$15)*((1+$A6)^-(Inputs!$B$11/12+1/Inputs!$B$15)+(1+$A6)^-(Inputs!$B$11/12+2/Inputs!$B$15)+(1+$A6)^-(Inputs!$B$11/12+3/Inputs!$B$15)+(1+$A6)^-(Inputs!$B$11/12+4/Inputs!$B$15)),0))</f>
        <v/>
      </c>
      <c r="C6" s="15">
        <f>((C$4*(1+$A6)^-(Inputs!$B$11/12)+(1-C$4-Inputs!$B$20)*(1+$A6)^-((Inputs!$B$11+Inputs!$B$13)/12))*Inputs!$B$5+IF(Inputs!$B$16=2,(1-C$4-Inputs!$B$20)*(Inputs!$B$12/Inputs!$B$15)*((1+$A6)^-(Inputs!$B$11/12+1/Inputs!$B$15)+(1+$A6)^-(Inputs!$B$11/12+2/Inputs!$B$15)+(1+$A6)^-(Inputs!$B$11/12+3/Inputs!$B$15)+(1+$A6)^-(Inputs!$B$11/12+4/Inputs!$B$15))*Inputs!$B$5,0))/(1-Inputs!$B$20*(Solve!$B$30*Solve!$B$13*(1+$A6)^-10/Inputs!$B$4)-IF(Inputs!$B$16=1,(1-C$4-Inputs!$B$20)*(Inputs!$B$12/Inputs!$B$15)*((1+$A6)^-(Inputs!$B$11/12+1/Inputs!$B$15)+(1+$A6)^-(Inputs!$B$11/12+2/Inputs!$B$15)+(1+$A6)^-(Inputs!$B$11/12+3/Inputs!$B$15)+(1+$A6)^-(Inputs!$B$11/12+4/Inputs!$B$15)),0))</f>
        <v/>
      </c>
      <c r="D6" s="15">
        <f>((D$4*(1+$A6)^-(Inputs!$B$11/12)+(1-D$4-Inputs!$B$20)*(1+$A6)^-((Inputs!$B$11+Inputs!$B$13)/12))*Inputs!$B$5+IF(Inputs!$B$16=2,(1-D$4-Inputs!$B$20)*(Inputs!$B$12/Inputs!$B$15)*((1+$A6)^-(Inputs!$B$11/12+1/Inputs!$B$15)+(1+$A6)^-(Inputs!$B$11/12+2/Inputs!$B$15)+(1+$A6)^-(Inputs!$B$11/12+3/Inputs!$B$15)+(1+$A6)^-(Inputs!$B$11/12+4/Inputs!$B$15))*Inputs!$B$5,0))/(1-Inputs!$B$20*(Solve!$B$30*Solve!$B$13*(1+$A6)^-10/Inputs!$B$4)-IF(Inputs!$B$16=1,(1-D$4-Inputs!$B$20)*(Inputs!$B$12/Inputs!$B$15)*((1+$A6)^-(Inputs!$B$11/12+1/Inputs!$B$15)+(1+$A6)^-(Inputs!$B$11/12+2/Inputs!$B$15)+(1+$A6)^-(Inputs!$B$11/12+3/Inputs!$B$15)+(1+$A6)^-(Inputs!$B$11/12+4/Inputs!$B$15)),0))</f>
        <v/>
      </c>
      <c r="E6" s="15">
        <f>((E$4*(1+$A6)^-(Inputs!$B$11/12)+(1-E$4-Inputs!$B$20)*(1+$A6)^-((Inputs!$B$11+Inputs!$B$13)/12))*Inputs!$B$5+IF(Inputs!$B$16=2,(1-E$4-Inputs!$B$20)*(Inputs!$B$12/Inputs!$B$15)*((1+$A6)^-(Inputs!$B$11/12+1/Inputs!$B$15)+(1+$A6)^-(Inputs!$B$11/12+2/Inputs!$B$15)+(1+$A6)^-(Inputs!$B$11/12+3/Inputs!$B$15)+(1+$A6)^-(Inputs!$B$11/12+4/Inputs!$B$15))*Inputs!$B$5,0))/(1-Inputs!$B$20*(Solve!$B$30*Solve!$B$13*(1+$A6)^-10/Inputs!$B$4)-IF(Inputs!$B$16=1,(1-E$4-Inputs!$B$20)*(Inputs!$B$12/Inputs!$B$15)*((1+$A6)^-(Inputs!$B$11/12+1/Inputs!$B$15)+(1+$A6)^-(Inputs!$B$11/12+2/Inputs!$B$15)+(1+$A6)^-(Inputs!$B$11/12+3/Inputs!$B$15)+(1+$A6)^-(Inputs!$B$11/12+4/Inputs!$B$15)),0))</f>
        <v/>
      </c>
      <c r="F6" s="15">
        <f>((F$4*(1+$A6)^-(Inputs!$B$11/12)+(1-F$4-Inputs!$B$20)*(1+$A6)^-((Inputs!$B$11+Inputs!$B$13)/12))*Inputs!$B$5+IF(Inputs!$B$16=2,(1-F$4-Inputs!$B$20)*(Inputs!$B$12/Inputs!$B$15)*((1+$A6)^-(Inputs!$B$11/12+1/Inputs!$B$15)+(1+$A6)^-(Inputs!$B$11/12+2/Inputs!$B$15)+(1+$A6)^-(Inputs!$B$11/12+3/Inputs!$B$15)+(1+$A6)^-(Inputs!$B$11/12+4/Inputs!$B$15))*Inputs!$B$5,0))/(1-Inputs!$B$20*(Solve!$B$30*Solve!$B$13*(1+$A6)^-10/Inputs!$B$4)-IF(Inputs!$B$16=1,(1-F$4-Inputs!$B$20)*(Inputs!$B$12/Inputs!$B$15)*((1+$A6)^-(Inputs!$B$11/12+1/Inputs!$B$15)+(1+$A6)^-(Inputs!$B$11/12+2/Inputs!$B$15)+(1+$A6)^-(Inputs!$B$11/12+3/Inputs!$B$15)+(1+$A6)^-(Inputs!$B$11/12+4/Inputs!$B$15)),0))</f>
        <v/>
      </c>
    </row>
    <row r="7">
      <c r="A7" s="39" t="n">
        <v>0.08</v>
      </c>
      <c r="B7" s="15">
        <f>((B$4*(1+$A7)^-(Inputs!$B$11/12)+(1-B$4-Inputs!$B$20)*(1+$A7)^-((Inputs!$B$11+Inputs!$B$13)/12))*Inputs!$B$5+IF(Inputs!$B$16=2,(1-B$4-Inputs!$B$20)*(Inputs!$B$12/Inputs!$B$15)*((1+$A7)^-(Inputs!$B$11/12+1/Inputs!$B$15)+(1+$A7)^-(Inputs!$B$11/12+2/Inputs!$B$15)+(1+$A7)^-(Inputs!$B$11/12+3/Inputs!$B$15)+(1+$A7)^-(Inputs!$B$11/12+4/Inputs!$B$15))*Inputs!$B$5,0))/(1-Inputs!$B$20*(Solve!$B$30*Solve!$B$13*(1+$A7)^-10/Inputs!$B$4)-IF(Inputs!$B$16=1,(1-B$4-Inputs!$B$20)*(Inputs!$B$12/Inputs!$B$15)*((1+$A7)^-(Inputs!$B$11/12+1/Inputs!$B$15)+(1+$A7)^-(Inputs!$B$11/12+2/Inputs!$B$15)+(1+$A7)^-(Inputs!$B$11/12+3/Inputs!$B$15)+(1+$A7)^-(Inputs!$B$11/12+4/Inputs!$B$15)),0))</f>
        <v/>
      </c>
      <c r="C7" s="15">
        <f>((C$4*(1+$A7)^-(Inputs!$B$11/12)+(1-C$4-Inputs!$B$20)*(1+$A7)^-((Inputs!$B$11+Inputs!$B$13)/12))*Inputs!$B$5+IF(Inputs!$B$16=2,(1-C$4-Inputs!$B$20)*(Inputs!$B$12/Inputs!$B$15)*((1+$A7)^-(Inputs!$B$11/12+1/Inputs!$B$15)+(1+$A7)^-(Inputs!$B$11/12+2/Inputs!$B$15)+(1+$A7)^-(Inputs!$B$11/12+3/Inputs!$B$15)+(1+$A7)^-(Inputs!$B$11/12+4/Inputs!$B$15))*Inputs!$B$5,0))/(1-Inputs!$B$20*(Solve!$B$30*Solve!$B$13*(1+$A7)^-10/Inputs!$B$4)-IF(Inputs!$B$16=1,(1-C$4-Inputs!$B$20)*(Inputs!$B$12/Inputs!$B$15)*((1+$A7)^-(Inputs!$B$11/12+1/Inputs!$B$15)+(1+$A7)^-(Inputs!$B$11/12+2/Inputs!$B$15)+(1+$A7)^-(Inputs!$B$11/12+3/Inputs!$B$15)+(1+$A7)^-(Inputs!$B$11/12+4/Inputs!$B$15)),0))</f>
        <v/>
      </c>
      <c r="D7" s="15">
        <f>((D$4*(1+$A7)^-(Inputs!$B$11/12)+(1-D$4-Inputs!$B$20)*(1+$A7)^-((Inputs!$B$11+Inputs!$B$13)/12))*Inputs!$B$5+IF(Inputs!$B$16=2,(1-D$4-Inputs!$B$20)*(Inputs!$B$12/Inputs!$B$15)*((1+$A7)^-(Inputs!$B$11/12+1/Inputs!$B$15)+(1+$A7)^-(Inputs!$B$11/12+2/Inputs!$B$15)+(1+$A7)^-(Inputs!$B$11/12+3/Inputs!$B$15)+(1+$A7)^-(Inputs!$B$11/12+4/Inputs!$B$15))*Inputs!$B$5,0))/(1-Inputs!$B$20*(Solve!$B$30*Solve!$B$13*(1+$A7)^-10/Inputs!$B$4)-IF(Inputs!$B$16=1,(1-D$4-Inputs!$B$20)*(Inputs!$B$12/Inputs!$B$15)*((1+$A7)^-(Inputs!$B$11/12+1/Inputs!$B$15)+(1+$A7)^-(Inputs!$B$11/12+2/Inputs!$B$15)+(1+$A7)^-(Inputs!$B$11/12+3/Inputs!$B$15)+(1+$A7)^-(Inputs!$B$11/12+4/Inputs!$B$15)),0))</f>
        <v/>
      </c>
      <c r="E7" s="15">
        <f>((E$4*(1+$A7)^-(Inputs!$B$11/12)+(1-E$4-Inputs!$B$20)*(1+$A7)^-((Inputs!$B$11+Inputs!$B$13)/12))*Inputs!$B$5+IF(Inputs!$B$16=2,(1-E$4-Inputs!$B$20)*(Inputs!$B$12/Inputs!$B$15)*((1+$A7)^-(Inputs!$B$11/12+1/Inputs!$B$15)+(1+$A7)^-(Inputs!$B$11/12+2/Inputs!$B$15)+(1+$A7)^-(Inputs!$B$11/12+3/Inputs!$B$15)+(1+$A7)^-(Inputs!$B$11/12+4/Inputs!$B$15))*Inputs!$B$5,0))/(1-Inputs!$B$20*(Solve!$B$30*Solve!$B$13*(1+$A7)^-10/Inputs!$B$4)-IF(Inputs!$B$16=1,(1-E$4-Inputs!$B$20)*(Inputs!$B$12/Inputs!$B$15)*((1+$A7)^-(Inputs!$B$11/12+1/Inputs!$B$15)+(1+$A7)^-(Inputs!$B$11/12+2/Inputs!$B$15)+(1+$A7)^-(Inputs!$B$11/12+3/Inputs!$B$15)+(1+$A7)^-(Inputs!$B$11/12+4/Inputs!$B$15)),0))</f>
        <v/>
      </c>
      <c r="F7" s="15">
        <f>((F$4*(1+$A7)^-(Inputs!$B$11/12)+(1-F$4-Inputs!$B$20)*(1+$A7)^-((Inputs!$B$11+Inputs!$B$13)/12))*Inputs!$B$5+IF(Inputs!$B$16=2,(1-F$4-Inputs!$B$20)*(Inputs!$B$12/Inputs!$B$15)*((1+$A7)^-(Inputs!$B$11/12+1/Inputs!$B$15)+(1+$A7)^-(Inputs!$B$11/12+2/Inputs!$B$15)+(1+$A7)^-(Inputs!$B$11/12+3/Inputs!$B$15)+(1+$A7)^-(Inputs!$B$11/12+4/Inputs!$B$15))*Inputs!$B$5,0))/(1-Inputs!$B$20*(Solve!$B$30*Solve!$B$13*(1+$A7)^-10/Inputs!$B$4)-IF(Inputs!$B$16=1,(1-F$4-Inputs!$B$20)*(Inputs!$B$12/Inputs!$B$15)*((1+$A7)^-(Inputs!$B$11/12+1/Inputs!$B$15)+(1+$A7)^-(Inputs!$B$11/12+2/Inputs!$B$15)+(1+$A7)^-(Inputs!$B$11/12+3/Inputs!$B$15)+(1+$A7)^-(Inputs!$B$11/12+4/Inputs!$B$15)),0))</f>
        <v/>
      </c>
    </row>
    <row r="8">
      <c r="A8" s="39" t="n">
        <v>0.09</v>
      </c>
      <c r="B8" s="15">
        <f>((B$4*(1+$A8)^-(Inputs!$B$11/12)+(1-B$4-Inputs!$B$20)*(1+$A8)^-((Inputs!$B$11+Inputs!$B$13)/12))*Inputs!$B$5+IF(Inputs!$B$16=2,(1-B$4-Inputs!$B$20)*(Inputs!$B$12/Inputs!$B$15)*((1+$A8)^-(Inputs!$B$11/12+1/Inputs!$B$15)+(1+$A8)^-(Inputs!$B$11/12+2/Inputs!$B$15)+(1+$A8)^-(Inputs!$B$11/12+3/Inputs!$B$15)+(1+$A8)^-(Inputs!$B$11/12+4/Inputs!$B$15))*Inputs!$B$5,0))/(1-Inputs!$B$20*(Solve!$B$30*Solve!$B$13*(1+$A8)^-10/Inputs!$B$4)-IF(Inputs!$B$16=1,(1-B$4-Inputs!$B$20)*(Inputs!$B$12/Inputs!$B$15)*((1+$A8)^-(Inputs!$B$11/12+1/Inputs!$B$15)+(1+$A8)^-(Inputs!$B$11/12+2/Inputs!$B$15)+(1+$A8)^-(Inputs!$B$11/12+3/Inputs!$B$15)+(1+$A8)^-(Inputs!$B$11/12+4/Inputs!$B$15)),0))</f>
        <v/>
      </c>
      <c r="C8" s="15">
        <f>((C$4*(1+$A8)^-(Inputs!$B$11/12)+(1-C$4-Inputs!$B$20)*(1+$A8)^-((Inputs!$B$11+Inputs!$B$13)/12))*Inputs!$B$5+IF(Inputs!$B$16=2,(1-C$4-Inputs!$B$20)*(Inputs!$B$12/Inputs!$B$15)*((1+$A8)^-(Inputs!$B$11/12+1/Inputs!$B$15)+(1+$A8)^-(Inputs!$B$11/12+2/Inputs!$B$15)+(1+$A8)^-(Inputs!$B$11/12+3/Inputs!$B$15)+(1+$A8)^-(Inputs!$B$11/12+4/Inputs!$B$15))*Inputs!$B$5,0))/(1-Inputs!$B$20*(Solve!$B$30*Solve!$B$13*(1+$A8)^-10/Inputs!$B$4)-IF(Inputs!$B$16=1,(1-C$4-Inputs!$B$20)*(Inputs!$B$12/Inputs!$B$15)*((1+$A8)^-(Inputs!$B$11/12+1/Inputs!$B$15)+(1+$A8)^-(Inputs!$B$11/12+2/Inputs!$B$15)+(1+$A8)^-(Inputs!$B$11/12+3/Inputs!$B$15)+(1+$A8)^-(Inputs!$B$11/12+4/Inputs!$B$15)),0))</f>
        <v/>
      </c>
      <c r="D8" s="15">
        <f>((D$4*(1+$A8)^-(Inputs!$B$11/12)+(1-D$4-Inputs!$B$20)*(1+$A8)^-((Inputs!$B$11+Inputs!$B$13)/12))*Inputs!$B$5+IF(Inputs!$B$16=2,(1-D$4-Inputs!$B$20)*(Inputs!$B$12/Inputs!$B$15)*((1+$A8)^-(Inputs!$B$11/12+1/Inputs!$B$15)+(1+$A8)^-(Inputs!$B$11/12+2/Inputs!$B$15)+(1+$A8)^-(Inputs!$B$11/12+3/Inputs!$B$15)+(1+$A8)^-(Inputs!$B$11/12+4/Inputs!$B$15))*Inputs!$B$5,0))/(1-Inputs!$B$20*(Solve!$B$30*Solve!$B$13*(1+$A8)^-10/Inputs!$B$4)-IF(Inputs!$B$16=1,(1-D$4-Inputs!$B$20)*(Inputs!$B$12/Inputs!$B$15)*((1+$A8)^-(Inputs!$B$11/12+1/Inputs!$B$15)+(1+$A8)^-(Inputs!$B$11/12+2/Inputs!$B$15)+(1+$A8)^-(Inputs!$B$11/12+3/Inputs!$B$15)+(1+$A8)^-(Inputs!$B$11/12+4/Inputs!$B$15)),0))</f>
        <v/>
      </c>
      <c r="E8" s="15">
        <f>((E$4*(1+$A8)^-(Inputs!$B$11/12)+(1-E$4-Inputs!$B$20)*(1+$A8)^-((Inputs!$B$11+Inputs!$B$13)/12))*Inputs!$B$5+IF(Inputs!$B$16=2,(1-E$4-Inputs!$B$20)*(Inputs!$B$12/Inputs!$B$15)*((1+$A8)^-(Inputs!$B$11/12+1/Inputs!$B$15)+(1+$A8)^-(Inputs!$B$11/12+2/Inputs!$B$15)+(1+$A8)^-(Inputs!$B$11/12+3/Inputs!$B$15)+(1+$A8)^-(Inputs!$B$11/12+4/Inputs!$B$15))*Inputs!$B$5,0))/(1-Inputs!$B$20*(Solve!$B$30*Solve!$B$13*(1+$A8)^-10/Inputs!$B$4)-IF(Inputs!$B$16=1,(1-E$4-Inputs!$B$20)*(Inputs!$B$12/Inputs!$B$15)*((1+$A8)^-(Inputs!$B$11/12+1/Inputs!$B$15)+(1+$A8)^-(Inputs!$B$11/12+2/Inputs!$B$15)+(1+$A8)^-(Inputs!$B$11/12+3/Inputs!$B$15)+(1+$A8)^-(Inputs!$B$11/12+4/Inputs!$B$15)),0))</f>
        <v/>
      </c>
      <c r="F8" s="15">
        <f>((F$4*(1+$A8)^-(Inputs!$B$11/12)+(1-F$4-Inputs!$B$20)*(1+$A8)^-((Inputs!$B$11+Inputs!$B$13)/12))*Inputs!$B$5+IF(Inputs!$B$16=2,(1-F$4-Inputs!$B$20)*(Inputs!$B$12/Inputs!$B$15)*((1+$A8)^-(Inputs!$B$11/12+1/Inputs!$B$15)+(1+$A8)^-(Inputs!$B$11/12+2/Inputs!$B$15)+(1+$A8)^-(Inputs!$B$11/12+3/Inputs!$B$15)+(1+$A8)^-(Inputs!$B$11/12+4/Inputs!$B$15))*Inputs!$B$5,0))/(1-Inputs!$B$20*(Solve!$B$30*Solve!$B$13*(1+$A8)^-10/Inputs!$B$4)-IF(Inputs!$B$16=1,(1-F$4-Inputs!$B$20)*(Inputs!$B$12/Inputs!$B$15)*((1+$A8)^-(Inputs!$B$11/12+1/Inputs!$B$15)+(1+$A8)^-(Inputs!$B$11/12+2/Inputs!$B$15)+(1+$A8)^-(Inputs!$B$11/12+3/Inputs!$B$15)+(1+$A8)^-(Inputs!$B$11/12+4/Inputs!$B$15)),0))</f>
        <v/>
      </c>
    </row>
    <row r="9">
      <c r="A9" s="39" t="n">
        <v>0.1</v>
      </c>
      <c r="B9" s="15">
        <f>((B$4*(1+$A9)^-(Inputs!$B$11/12)+(1-B$4-Inputs!$B$20)*(1+$A9)^-((Inputs!$B$11+Inputs!$B$13)/12))*Inputs!$B$5+IF(Inputs!$B$16=2,(1-B$4-Inputs!$B$20)*(Inputs!$B$12/Inputs!$B$15)*((1+$A9)^-(Inputs!$B$11/12+1/Inputs!$B$15)+(1+$A9)^-(Inputs!$B$11/12+2/Inputs!$B$15)+(1+$A9)^-(Inputs!$B$11/12+3/Inputs!$B$15)+(1+$A9)^-(Inputs!$B$11/12+4/Inputs!$B$15))*Inputs!$B$5,0))/(1-Inputs!$B$20*(Solve!$B$30*Solve!$B$13*(1+$A9)^-10/Inputs!$B$4)-IF(Inputs!$B$16=1,(1-B$4-Inputs!$B$20)*(Inputs!$B$12/Inputs!$B$15)*((1+$A9)^-(Inputs!$B$11/12+1/Inputs!$B$15)+(1+$A9)^-(Inputs!$B$11/12+2/Inputs!$B$15)+(1+$A9)^-(Inputs!$B$11/12+3/Inputs!$B$15)+(1+$A9)^-(Inputs!$B$11/12+4/Inputs!$B$15)),0))</f>
        <v/>
      </c>
      <c r="C9" s="15">
        <f>((C$4*(1+$A9)^-(Inputs!$B$11/12)+(1-C$4-Inputs!$B$20)*(1+$A9)^-((Inputs!$B$11+Inputs!$B$13)/12))*Inputs!$B$5+IF(Inputs!$B$16=2,(1-C$4-Inputs!$B$20)*(Inputs!$B$12/Inputs!$B$15)*((1+$A9)^-(Inputs!$B$11/12+1/Inputs!$B$15)+(1+$A9)^-(Inputs!$B$11/12+2/Inputs!$B$15)+(1+$A9)^-(Inputs!$B$11/12+3/Inputs!$B$15)+(1+$A9)^-(Inputs!$B$11/12+4/Inputs!$B$15))*Inputs!$B$5,0))/(1-Inputs!$B$20*(Solve!$B$30*Solve!$B$13*(1+$A9)^-10/Inputs!$B$4)-IF(Inputs!$B$16=1,(1-C$4-Inputs!$B$20)*(Inputs!$B$12/Inputs!$B$15)*((1+$A9)^-(Inputs!$B$11/12+1/Inputs!$B$15)+(1+$A9)^-(Inputs!$B$11/12+2/Inputs!$B$15)+(1+$A9)^-(Inputs!$B$11/12+3/Inputs!$B$15)+(1+$A9)^-(Inputs!$B$11/12+4/Inputs!$B$15)),0))</f>
        <v/>
      </c>
      <c r="D9" s="15">
        <f>((D$4*(1+$A9)^-(Inputs!$B$11/12)+(1-D$4-Inputs!$B$20)*(1+$A9)^-((Inputs!$B$11+Inputs!$B$13)/12))*Inputs!$B$5+IF(Inputs!$B$16=2,(1-D$4-Inputs!$B$20)*(Inputs!$B$12/Inputs!$B$15)*((1+$A9)^-(Inputs!$B$11/12+1/Inputs!$B$15)+(1+$A9)^-(Inputs!$B$11/12+2/Inputs!$B$15)+(1+$A9)^-(Inputs!$B$11/12+3/Inputs!$B$15)+(1+$A9)^-(Inputs!$B$11/12+4/Inputs!$B$15))*Inputs!$B$5,0))/(1-Inputs!$B$20*(Solve!$B$30*Solve!$B$13*(1+$A9)^-10/Inputs!$B$4)-IF(Inputs!$B$16=1,(1-D$4-Inputs!$B$20)*(Inputs!$B$12/Inputs!$B$15)*((1+$A9)^-(Inputs!$B$11/12+1/Inputs!$B$15)+(1+$A9)^-(Inputs!$B$11/12+2/Inputs!$B$15)+(1+$A9)^-(Inputs!$B$11/12+3/Inputs!$B$15)+(1+$A9)^-(Inputs!$B$11/12+4/Inputs!$B$15)),0))</f>
        <v/>
      </c>
      <c r="E9" s="15">
        <f>((E$4*(1+$A9)^-(Inputs!$B$11/12)+(1-E$4-Inputs!$B$20)*(1+$A9)^-((Inputs!$B$11+Inputs!$B$13)/12))*Inputs!$B$5+IF(Inputs!$B$16=2,(1-E$4-Inputs!$B$20)*(Inputs!$B$12/Inputs!$B$15)*((1+$A9)^-(Inputs!$B$11/12+1/Inputs!$B$15)+(1+$A9)^-(Inputs!$B$11/12+2/Inputs!$B$15)+(1+$A9)^-(Inputs!$B$11/12+3/Inputs!$B$15)+(1+$A9)^-(Inputs!$B$11/12+4/Inputs!$B$15))*Inputs!$B$5,0))/(1-Inputs!$B$20*(Solve!$B$30*Solve!$B$13*(1+$A9)^-10/Inputs!$B$4)-IF(Inputs!$B$16=1,(1-E$4-Inputs!$B$20)*(Inputs!$B$12/Inputs!$B$15)*((1+$A9)^-(Inputs!$B$11/12+1/Inputs!$B$15)+(1+$A9)^-(Inputs!$B$11/12+2/Inputs!$B$15)+(1+$A9)^-(Inputs!$B$11/12+3/Inputs!$B$15)+(1+$A9)^-(Inputs!$B$11/12+4/Inputs!$B$15)),0))</f>
        <v/>
      </c>
      <c r="F9" s="15">
        <f>((F$4*(1+$A9)^-(Inputs!$B$11/12)+(1-F$4-Inputs!$B$20)*(1+$A9)^-((Inputs!$B$11+Inputs!$B$13)/12))*Inputs!$B$5+IF(Inputs!$B$16=2,(1-F$4-Inputs!$B$20)*(Inputs!$B$12/Inputs!$B$15)*((1+$A9)^-(Inputs!$B$11/12+1/Inputs!$B$15)+(1+$A9)^-(Inputs!$B$11/12+2/Inputs!$B$15)+(1+$A9)^-(Inputs!$B$11/12+3/Inputs!$B$15)+(1+$A9)^-(Inputs!$B$11/12+4/Inputs!$B$15))*Inputs!$B$5,0))/(1-Inputs!$B$20*(Solve!$B$30*Solve!$B$13*(1+$A9)^-10/Inputs!$B$4)-IF(Inputs!$B$16=1,(1-F$4-Inputs!$B$20)*(Inputs!$B$12/Inputs!$B$15)*((1+$A9)^-(Inputs!$B$11/12+1/Inputs!$B$15)+(1+$A9)^-(Inputs!$B$11/12+2/Inputs!$B$15)+(1+$A9)^-(Inputs!$B$11/12+3/Inputs!$B$15)+(1+$A9)^-(Inputs!$B$11/12+4/Inputs!$B$15)),0))</f>
        <v/>
      </c>
    </row>
    <row r="10">
      <c r="A10" s="39" t="n">
        <v>0.12</v>
      </c>
      <c r="B10" s="15">
        <f>((B$4*(1+$A10)^-(Inputs!$B$11/12)+(1-B$4-Inputs!$B$20)*(1+$A10)^-((Inputs!$B$11+Inputs!$B$13)/12))*Inputs!$B$5+IF(Inputs!$B$16=2,(1-B$4-Inputs!$B$20)*(Inputs!$B$12/Inputs!$B$15)*((1+$A10)^-(Inputs!$B$11/12+1/Inputs!$B$15)+(1+$A10)^-(Inputs!$B$11/12+2/Inputs!$B$15)+(1+$A10)^-(Inputs!$B$11/12+3/Inputs!$B$15)+(1+$A10)^-(Inputs!$B$11/12+4/Inputs!$B$15))*Inputs!$B$5,0))/(1-Inputs!$B$20*(Solve!$B$30*Solve!$B$13*(1+$A10)^-10/Inputs!$B$4)-IF(Inputs!$B$16=1,(1-B$4-Inputs!$B$20)*(Inputs!$B$12/Inputs!$B$15)*((1+$A10)^-(Inputs!$B$11/12+1/Inputs!$B$15)+(1+$A10)^-(Inputs!$B$11/12+2/Inputs!$B$15)+(1+$A10)^-(Inputs!$B$11/12+3/Inputs!$B$15)+(1+$A10)^-(Inputs!$B$11/12+4/Inputs!$B$15)),0))</f>
        <v/>
      </c>
      <c r="C10" s="15">
        <f>((C$4*(1+$A10)^-(Inputs!$B$11/12)+(1-C$4-Inputs!$B$20)*(1+$A10)^-((Inputs!$B$11+Inputs!$B$13)/12))*Inputs!$B$5+IF(Inputs!$B$16=2,(1-C$4-Inputs!$B$20)*(Inputs!$B$12/Inputs!$B$15)*((1+$A10)^-(Inputs!$B$11/12+1/Inputs!$B$15)+(1+$A10)^-(Inputs!$B$11/12+2/Inputs!$B$15)+(1+$A10)^-(Inputs!$B$11/12+3/Inputs!$B$15)+(1+$A10)^-(Inputs!$B$11/12+4/Inputs!$B$15))*Inputs!$B$5,0))/(1-Inputs!$B$20*(Solve!$B$30*Solve!$B$13*(1+$A10)^-10/Inputs!$B$4)-IF(Inputs!$B$16=1,(1-C$4-Inputs!$B$20)*(Inputs!$B$12/Inputs!$B$15)*((1+$A10)^-(Inputs!$B$11/12+1/Inputs!$B$15)+(1+$A10)^-(Inputs!$B$11/12+2/Inputs!$B$15)+(1+$A10)^-(Inputs!$B$11/12+3/Inputs!$B$15)+(1+$A10)^-(Inputs!$B$11/12+4/Inputs!$B$15)),0))</f>
        <v/>
      </c>
      <c r="D10" s="15">
        <f>((D$4*(1+$A10)^-(Inputs!$B$11/12)+(1-D$4-Inputs!$B$20)*(1+$A10)^-((Inputs!$B$11+Inputs!$B$13)/12))*Inputs!$B$5+IF(Inputs!$B$16=2,(1-D$4-Inputs!$B$20)*(Inputs!$B$12/Inputs!$B$15)*((1+$A10)^-(Inputs!$B$11/12+1/Inputs!$B$15)+(1+$A10)^-(Inputs!$B$11/12+2/Inputs!$B$15)+(1+$A10)^-(Inputs!$B$11/12+3/Inputs!$B$15)+(1+$A10)^-(Inputs!$B$11/12+4/Inputs!$B$15))*Inputs!$B$5,0))/(1-Inputs!$B$20*(Solve!$B$30*Solve!$B$13*(1+$A10)^-10/Inputs!$B$4)-IF(Inputs!$B$16=1,(1-D$4-Inputs!$B$20)*(Inputs!$B$12/Inputs!$B$15)*((1+$A10)^-(Inputs!$B$11/12+1/Inputs!$B$15)+(1+$A10)^-(Inputs!$B$11/12+2/Inputs!$B$15)+(1+$A10)^-(Inputs!$B$11/12+3/Inputs!$B$15)+(1+$A10)^-(Inputs!$B$11/12+4/Inputs!$B$15)),0))</f>
        <v/>
      </c>
      <c r="E10" s="15">
        <f>((E$4*(1+$A10)^-(Inputs!$B$11/12)+(1-E$4-Inputs!$B$20)*(1+$A10)^-((Inputs!$B$11+Inputs!$B$13)/12))*Inputs!$B$5+IF(Inputs!$B$16=2,(1-E$4-Inputs!$B$20)*(Inputs!$B$12/Inputs!$B$15)*((1+$A10)^-(Inputs!$B$11/12+1/Inputs!$B$15)+(1+$A10)^-(Inputs!$B$11/12+2/Inputs!$B$15)+(1+$A10)^-(Inputs!$B$11/12+3/Inputs!$B$15)+(1+$A10)^-(Inputs!$B$11/12+4/Inputs!$B$15))*Inputs!$B$5,0))/(1-Inputs!$B$20*(Solve!$B$30*Solve!$B$13*(1+$A10)^-10/Inputs!$B$4)-IF(Inputs!$B$16=1,(1-E$4-Inputs!$B$20)*(Inputs!$B$12/Inputs!$B$15)*((1+$A10)^-(Inputs!$B$11/12+1/Inputs!$B$15)+(1+$A10)^-(Inputs!$B$11/12+2/Inputs!$B$15)+(1+$A10)^-(Inputs!$B$11/12+3/Inputs!$B$15)+(1+$A10)^-(Inputs!$B$11/12+4/Inputs!$B$15)),0))</f>
        <v/>
      </c>
      <c r="F10" s="15">
        <f>((F$4*(1+$A10)^-(Inputs!$B$11/12)+(1-F$4-Inputs!$B$20)*(1+$A10)^-((Inputs!$B$11+Inputs!$B$13)/12))*Inputs!$B$5+IF(Inputs!$B$16=2,(1-F$4-Inputs!$B$20)*(Inputs!$B$12/Inputs!$B$15)*((1+$A10)^-(Inputs!$B$11/12+1/Inputs!$B$15)+(1+$A10)^-(Inputs!$B$11/12+2/Inputs!$B$15)+(1+$A10)^-(Inputs!$B$11/12+3/Inputs!$B$15)+(1+$A10)^-(Inputs!$B$11/12+4/Inputs!$B$15))*Inputs!$B$5,0))/(1-Inputs!$B$20*(Solve!$B$30*Solve!$B$13*(1+$A10)^-10/Inputs!$B$4)-IF(Inputs!$B$16=1,(1-F$4-Inputs!$B$20)*(Inputs!$B$12/Inputs!$B$15)*((1+$A10)^-(Inputs!$B$11/12+1/Inputs!$B$15)+(1+$A10)^-(Inputs!$B$11/12+2/Inputs!$B$15)+(1+$A10)^-(Inputs!$B$11/12+3/Inputs!$B$15)+(1+$A10)^-(Inputs!$B$11/12+4/Inputs!$B$15)),0))</f>
        <v/>
      </c>
    </row>
    <row r="13">
      <c r="A13" s="29" t="inlineStr">
        <is>
          <t>감자 프리미엄  할인율 \ P(A)</t>
        </is>
      </c>
      <c r="B13" s="38" t="n">
        <v>0.5</v>
      </c>
      <c r="C13" s="38" t="n">
        <v>0.6</v>
      </c>
      <c r="D13" s="38" t="n">
        <v>0.7</v>
      </c>
      <c r="E13" s="38" t="n">
        <v>0.8</v>
      </c>
      <c r="F13" s="38" t="n">
        <v>0.9</v>
      </c>
    </row>
    <row r="14">
      <c r="A14" s="17">
        <f>A5</f>
        <v/>
      </c>
      <c r="B14" s="18">
        <f>Inputs!$B$5/B5-1</f>
        <v/>
      </c>
      <c r="C14" s="18">
        <f>Inputs!$B$5/C5-1</f>
        <v/>
      </c>
      <c r="D14" s="18">
        <f>Inputs!$B$5/D5-1</f>
        <v/>
      </c>
      <c r="E14" s="18">
        <f>Inputs!$B$5/E5-1</f>
        <v/>
      </c>
      <c r="F14" s="18">
        <f>Inputs!$B$5/F5-1</f>
        <v/>
      </c>
    </row>
    <row r="15">
      <c r="A15" s="17">
        <f>A6</f>
        <v/>
      </c>
      <c r="B15" s="18">
        <f>Inputs!$B$5/B6-1</f>
        <v/>
      </c>
      <c r="C15" s="18">
        <f>Inputs!$B$5/C6-1</f>
        <v/>
      </c>
      <c r="D15" s="18">
        <f>Inputs!$B$5/D6-1</f>
        <v/>
      </c>
      <c r="E15" s="18">
        <f>Inputs!$B$5/E6-1</f>
        <v/>
      </c>
      <c r="F15" s="18">
        <f>Inputs!$B$5/F6-1</f>
        <v/>
      </c>
    </row>
    <row r="16">
      <c r="A16" s="17">
        <f>A7</f>
        <v/>
      </c>
      <c r="B16" s="18">
        <f>Inputs!$B$5/B7-1</f>
        <v/>
      </c>
      <c r="C16" s="18">
        <f>Inputs!$B$5/C7-1</f>
        <v/>
      </c>
      <c r="D16" s="18">
        <f>Inputs!$B$5/D7-1</f>
        <v/>
      </c>
      <c r="E16" s="18">
        <f>Inputs!$B$5/E7-1</f>
        <v/>
      </c>
      <c r="F16" s="18">
        <f>Inputs!$B$5/F7-1</f>
        <v/>
      </c>
    </row>
    <row r="17">
      <c r="A17" s="17">
        <f>A8</f>
        <v/>
      </c>
      <c r="B17" s="18">
        <f>Inputs!$B$5/B8-1</f>
        <v/>
      </c>
      <c r="C17" s="18">
        <f>Inputs!$B$5/C8-1</f>
        <v/>
      </c>
      <c r="D17" s="18">
        <f>Inputs!$B$5/D8-1</f>
        <v/>
      </c>
      <c r="E17" s="18">
        <f>Inputs!$B$5/E8-1</f>
        <v/>
      </c>
      <c r="F17" s="18">
        <f>Inputs!$B$5/F8-1</f>
        <v/>
      </c>
    </row>
    <row r="18">
      <c r="A18" s="17">
        <f>A9</f>
        <v/>
      </c>
      <c r="B18" s="18">
        <f>Inputs!$B$5/B9-1</f>
        <v/>
      </c>
      <c r="C18" s="18">
        <f>Inputs!$B$5/C9-1</f>
        <v/>
      </c>
      <c r="D18" s="18">
        <f>Inputs!$B$5/D9-1</f>
        <v/>
      </c>
      <c r="E18" s="18">
        <f>Inputs!$B$5/E9-1</f>
        <v/>
      </c>
      <c r="F18" s="18">
        <f>Inputs!$B$5/F9-1</f>
        <v/>
      </c>
    </row>
    <row r="19">
      <c r="A19" s="17">
        <f>A10</f>
        <v/>
      </c>
      <c r="B19" s="18">
        <f>Inputs!$B$5/B10-1</f>
        <v/>
      </c>
      <c r="C19" s="18">
        <f>Inputs!$B$5/C10-1</f>
        <v/>
      </c>
      <c r="D19" s="18">
        <f>Inputs!$B$5/D10-1</f>
        <v/>
      </c>
      <c r="E19" s="18">
        <f>Inputs!$B$5/E10-1</f>
        <v/>
      </c>
      <c r="F19" s="18">
        <f>Inputs!$B$5/F10-1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6" customWidth="1" min="3" max="3"/>
    <col width="66" customWidth="1" min="4" max="4"/>
  </cols>
  <sheetData>
    <row r="1">
      <c r="A1" s="1" t="inlineStr">
        <is>
          <t>기준 재무모델 참조 셀</t>
        </is>
      </c>
    </row>
    <row r="2">
      <c r="A2" s="2" t="inlineStr">
        <is>
          <t>파일: 04_Equity투자자/models/20260915_재무모델_Financial_Modeling_인가ver_v02.xlsm</t>
        </is>
      </c>
    </row>
    <row r="4">
      <c r="A4" s="3" t="inlineStr">
        <is>
          <t>항목</t>
        </is>
      </c>
      <c r="B4" s="3" t="inlineStr">
        <is>
          <t>값</t>
        </is>
      </c>
      <c r="C4" s="3" t="inlineStr">
        <is>
          <t>셀</t>
        </is>
      </c>
      <c r="D4" s="3" t="inlineStr">
        <is>
          <t>비고</t>
        </is>
      </c>
    </row>
    <row r="5">
      <c r="A5" s="8" t="inlineStr">
        <is>
          <t>3종 조달일 / 반환일 / 기간</t>
        </is>
      </c>
      <c r="B5" s="40" t="inlineStr">
        <is>
          <t>2026-10-31 / 2028-10-31 / 24개월</t>
        </is>
      </c>
      <c r="C5" s="8" t="inlineStr">
        <is>
          <t>A&amp;R M43 / N43 / O43</t>
        </is>
      </c>
      <c r="D5" s="7" t="inlineStr">
        <is>
          <t>무배당·무의결권, C.G 0%, 인수수수료 0%</t>
        </is>
      </c>
    </row>
    <row r="6">
      <c r="A6" s="8" t="inlineStr">
        <is>
          <t>3종 조달금액</t>
        </is>
      </c>
      <c r="B6" s="40" t="inlineStr">
        <is>
          <t>10,000백만원</t>
        </is>
      </c>
      <c r="C6" s="8" t="inlineStr">
        <is>
          <t>A&amp;R Q43 / IM Q61</t>
        </is>
      </c>
      <c r="D6" s="7" t="inlineStr">
        <is>
          <t>리츠 배당재원 Overfunding</t>
        </is>
      </c>
    </row>
    <row r="7">
      <c r="A7" s="8" t="inlineStr">
        <is>
          <t>3종 기존 발행가 / 액면 / 주식수</t>
        </is>
      </c>
      <c r="B7" s="40" t="inlineStr">
        <is>
          <t>25,000원 / 1,000원 / 400,000주</t>
        </is>
      </c>
      <c r="C7" s="8" t="inlineStr">
        <is>
          <t>A&amp;R P93 / Q93 / R93</t>
        </is>
      </c>
      <c r="D7" s="7" t="inlineStr">
        <is>
          <t>v02에서는 25,000원을 '상환가액'으로 전용</t>
        </is>
      </c>
    </row>
    <row r="8">
      <c r="A8" s="8" t="inlineStr">
        <is>
          <t>보통주 발행가 / 주식수 / 출자금</t>
        </is>
      </c>
      <c r="B8" s="40" t="inlineStr">
        <is>
          <t>5,000원 / 2,960,000주 / 14,800백만원</t>
        </is>
      </c>
      <c r="C8" s="8" t="inlineStr">
        <is>
          <t>A&amp;R P94 / R94 / IM Q62</t>
        </is>
      </c>
      <c r="D8" s="7" t="inlineStr">
        <is>
          <t>의결권비율 60.16% (A&amp;R U94)</t>
        </is>
      </c>
    </row>
    <row r="9">
      <c r="A9" s="8" t="inlineStr">
        <is>
          <t>보통주 운영배당 / C.G</t>
        </is>
      </c>
      <c r="B9" s="40" t="inlineStr">
        <is>
          <t>FY1·2 555, FY3~20 0 / FY20 48,460</t>
        </is>
      </c>
      <c r="C9" s="8" t="inlineStr">
        <is>
          <t>IM K79:K98 / L98</t>
        </is>
      </c>
      <c r="D9" s="7" t="inlineStr">
        <is>
          <t>매각차익 60,575 × 80% (IM U62)</t>
        </is>
      </c>
    </row>
    <row r="10">
      <c r="A10" s="8" t="inlineStr">
        <is>
          <t>보통주 IRR / E.Multiple</t>
        </is>
      </c>
      <c r="B10" s="40" t="inlineStr">
        <is>
          <t>16.44% / 4.35x</t>
        </is>
      </c>
      <c r="C10" s="8" t="inlineStr">
        <is>
          <t>IM J102 / J103</t>
        </is>
      </c>
      <c r="D10" s="7" t="inlineStr">
        <is>
          <t>FY8 보통주 공정가치 산정 할인율</t>
        </is>
      </c>
    </row>
    <row r="11">
      <c r="A11" s="8" t="inlineStr">
        <is>
          <t>1종 / 2종 배당·IRR</t>
        </is>
      </c>
      <c r="B11" s="40" t="inlineStr">
        <is>
          <t>7.0%·7.12% / 7.5%·9.24%</t>
        </is>
      </c>
      <c r="C11" s="8" t="inlineStr">
        <is>
          <t>IM T59·V59 / T60·V60</t>
        </is>
      </c>
      <c r="D11" s="7" t="inlineStr">
        <is>
          <t>3종 요구수익률 판단 참고</t>
        </is>
      </c>
    </row>
    <row r="12">
      <c r="A12" s="8" t="inlineStr">
        <is>
          <t>리파이낸싱</t>
        </is>
      </c>
      <c r="B12" s="40" t="inlineStr">
        <is>
          <t>선순위 213,000 @4.80%, LTV(감정가) 61.8%</t>
        </is>
      </c>
      <c r="C12" s="8" t="inlineStr">
        <is>
          <t>A&amp;R P33 / Q33 / T33</t>
        </is>
      </c>
      <c r="D12" s="7" t="inlineStr">
        <is>
          <t>감자대가 프리미엄 조달 여력 판단</t>
        </is>
      </c>
    </row>
    <row r="13">
      <c r="A13" s="8" t="inlineStr">
        <is>
          <t>임대보증금</t>
        </is>
      </c>
      <c r="B13" s="40" t="inlineStr">
        <is>
          <t>2,100백만원</t>
        </is>
      </c>
      <c r="C13" s="8" t="inlineStr">
        <is>
          <t>A&amp;R P31</t>
        </is>
      </c>
      <c r="D13" s="7" t="inlineStr">
        <is>
          <t>LTV 계산 포함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전제·한계·의뢰 스코프 (v02)</t>
        </is>
      </c>
    </row>
    <row r="3">
      <c r="B3" s="41" t="inlineStr">
        <is>
          <t>■ 구조 (v01 대비 변경)</t>
        </is>
      </c>
    </row>
    <row r="4">
      <c r="B4" s="42" t="inlineStr">
        <is>
          <t>1. v01은 발행가 25,000원 고정 하에 가치를 산정(→ 발행가 미달 = 고가 인수 문제). v02는 사용자 지시에 따라 ① 발행가액 = 주당 공정가치 P*, ② 전환비율 = P* ÷ 전환가액으로 구조를 바꿈. 정합을 위해 '상환가액(감자대가)'을 발행가액과 분리해 주당 25,000원 고정 청구액으로 둠 — 감자대가까지 발행가액과 같게 두면 2년 무이표 채권을 액면에 사는 순환 구조가 되어 공정가치가 정의되지 않음.</t>
        </is>
      </c>
    </row>
    <row r="5">
      <c r="B5" s="42" t="inlineStr">
        <is>
          <t>2. LF 납입액은 100억으로 고정(리츠 소요액). 따라서 P*가 낮을수록 발행주식수 N이 늘고, 감자대가(N × 25,000)가 커짐. 감자 프리미엄(상환가액 ÷ P* − 1)이 곧 LF의 2년 무배당에 대한 시장 대가이며, v01 Summary C표의 '정상가격 정합 조건'과 같은 개념.</t>
        </is>
      </c>
    </row>
    <row r="6">
      <c r="B6" s="42" t="inlineStr">
        <is>
          <t>3. 전환주식수 = 납입액 ÷ 전환가액 이므로 P*와 무관. 전환가액을 보통주 발행가(5,000원)로 두면 FY8 보통주 공정가치(약 8,575원)보다 낮아 LF에 유리·KLI(공모리츠) 희석 → 법률의견 p.12가 언급한 '리츠→LF 방향' 지원 이슈 가능. FY8 공정가치 기준이 양방향 중립.</t>
        </is>
      </c>
    </row>
    <row r="7">
      <c r="B7" s="42" t="inlineStr">
        <is>
          <t>4. 배당 기준: 통상 '발행가액 기준 연 8%'(Inputs!B16=1). 상환가액 기준(=2)이면 배당 총액이 커지고 P*가 소폭 상승.</t>
        </is>
      </c>
    </row>
    <row r="8">
      <c r="B8" s="42" t="inlineStr"/>
    </row>
    <row r="9">
      <c r="B9" s="41" t="inlineStr">
        <is>
          <t>■ 계산</t>
        </is>
      </c>
    </row>
    <row r="10">
      <c r="B10" s="42" t="inlineStr">
        <is>
          <t>5. P*는 '주당 확률가중 PV = P*'를 만족하는 값. 배당(발행가액 기준)과 전환가치가 P*에 비례하므로 선형 폐쇄해로 풀림(Solve 시트, 순환참조 없음). 검증행(Solve 24행)은 정의상 100%.</t>
        </is>
      </c>
    </row>
    <row r="11">
      <c r="B11" s="42" t="inlineStr">
        <is>
          <t>6. 시나리오·확률·할인율·FY20 회수액 가정은 v01과 동일(A 70/B 20/C 10%, r 8%, 보통주 풀 = C.G 48,460 + 보통주 원금 14,800 + 미감자 3종 납입액 10,000). 시나리오 B 감자 시점 48개월 말 단순화, 배당 4회.</t>
        </is>
      </c>
    </row>
    <row r="12">
      <c r="B12" s="42" t="inlineStr"/>
    </row>
    <row r="13">
      <c r="B13" s="41" t="inlineStr">
        <is>
          <t>■ 시사점</t>
        </is>
      </c>
    </row>
    <row r="14">
      <c r="B14" s="42" t="inlineStr">
        <is>
          <t>7. 이 구조에서는 LF가 정의상 공정가치로 인수하므로 공정거래법 '지원행위'(고가 인수) 요건은 구조적으로 해소되고, 외부 회계법인 평가보고서는 P*를 확정하는 근거 문서가 됨. 다만 '부당성'(LF의 사업상 합리성)은 별도 타당성 검토가 여전히 필요(법률의견 p.11~12).</t>
        </is>
      </c>
    </row>
    <row r="15">
      <c r="B15" s="42" t="inlineStr">
        <is>
          <t>8. 리츠 측 비용은 감자 프리미엄(약 12~18%, 1,200~1,800백만원)으로 이전됨. 이는 리파이 여유(15,000) 내에서 조달 가능하나 LTV·DSCR 재검토 필요. 프리미엄이 세법상 시가(감자 시점)와 다르면 부당행위계산부인 검토(법률의견 p.13) → 감자 시점 평가 필요.</t>
        </is>
      </c>
    </row>
    <row r="16">
      <c r="B16" s="42" t="inlineStr"/>
    </row>
    <row r="17">
      <c r="B17" s="41" t="inlineStr">
        <is>
          <t>■ 의뢰 스코프 · 출처</t>
        </is>
      </c>
    </row>
    <row r="18">
      <c r="B18" s="42" t="inlineStr">
        <is>
          <t>9. 회계법인: (a) 3종 종류주식 P* 산정 — 조건변경안 반영, 종류주식별 (b) 기준일 2개(납입일·감자예정일) (c) 시나리오 DCF + 상증세법 병기 (d) LF 투자 대안 비교 메모(별도).</t>
        </is>
      </c>
    </row>
    <row r="19">
      <c r="B19" s="42" t="inlineStr">
        <is>
          <t>10. 출처: 04_Equity투자자/models/20260915_재무모델_Financial_Modeling_인가ver_v02.xlsm (Model_Ref) / 02_실사보고서/법률/20260914_법률의견_신설리츠투자구조검토_BKL_markup_v01.pdf p.10~13 / 조건변경안·발행가액 원칙: 사용자 제시(2026-09-18). 내부 개략 산정이며 외부 평가·법무법인 확인을 대체하지 않음.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2026-09-18T04:17:21Z</dcterms:created>
  <dcterms:modified xmlns:dcterms="http://purl.org/dc/terms/" xmlns:xsi="http://www.w3.org/2001/XMLSchema-instance" xsi:type="dcterms:W3CDTF">2026-09-18T04:17:21Z</dcterms:modified>
</cp:coreProperties>
</file>