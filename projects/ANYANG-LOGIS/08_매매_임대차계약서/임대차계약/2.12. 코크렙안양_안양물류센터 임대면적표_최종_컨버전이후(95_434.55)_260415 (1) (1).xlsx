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DC0FE9F-F658-4FD8-B0B3-3025BA48D2E6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안양물류센터 임대면적표_260415" sheetId="2" r:id="rId1"/>
    <sheet name="Sheet1" sheetId="3" r:id="rId2"/>
  </sheets>
  <definedNames>
    <definedName name="_xlnm.Print_Area" localSheetId="0">'안양물류센터 임대면적표_260415'!$A$1:$T$41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2" i="2" l="1"/>
  <c r="O37" i="2"/>
  <c r="P41" i="2"/>
  <c r="P39" i="2" l="1"/>
  <c r="D35" i="2"/>
  <c r="O38" i="2"/>
  <c r="M38" i="2"/>
  <c r="H40" i="2" l="1"/>
  <c r="G40" i="2"/>
  <c r="F40" i="2"/>
  <c r="E40" i="2"/>
  <c r="D40" i="2"/>
  <c r="H39" i="2"/>
  <c r="G39" i="2"/>
  <c r="F39" i="2"/>
  <c r="E39" i="2"/>
  <c r="D39" i="2"/>
  <c r="G35" i="2"/>
  <c r="F35" i="2"/>
  <c r="E35" i="2"/>
  <c r="H34" i="2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H5" i="2"/>
  <c r="G5" i="2"/>
  <c r="F5" i="2"/>
  <c r="E5" i="2"/>
  <c r="D5" i="2"/>
  <c r="S40" i="2"/>
  <c r="S39" i="2"/>
  <c r="S38" i="2"/>
  <c r="S37" i="2"/>
  <c r="Q41" i="2"/>
  <c r="N41" i="2"/>
  <c r="M41" i="2"/>
  <c r="S34" i="2"/>
  <c r="S33" i="2"/>
  <c r="S32" i="2"/>
  <c r="S31" i="2"/>
  <c r="S30" i="2"/>
  <c r="S29" i="2"/>
  <c r="S23" i="2"/>
  <c r="S21" i="2"/>
  <c r="S15" i="2"/>
  <c r="S13" i="2"/>
  <c r="S8" i="2"/>
  <c r="S27" i="2"/>
  <c r="S26" i="2"/>
  <c r="S25" i="2"/>
  <c r="S24" i="2"/>
  <c r="S17" i="2"/>
  <c r="S16" i="2"/>
  <c r="S9" i="2"/>
  <c r="S7" i="2"/>
  <c r="E41" i="2" l="1"/>
  <c r="D41" i="2"/>
  <c r="H41" i="2"/>
  <c r="F41" i="2"/>
  <c r="G41" i="2"/>
  <c r="O41" i="2"/>
  <c r="S36" i="2"/>
  <c r="S35" i="2"/>
  <c r="S11" i="2"/>
  <c r="S6" i="2"/>
  <c r="S22" i="2"/>
  <c r="S14" i="2"/>
  <c r="S10" i="2"/>
  <c r="S28" i="2"/>
  <c r="S18" i="2"/>
  <c r="S12" i="2"/>
  <c r="S19" i="2"/>
  <c r="S20" i="2"/>
  <c r="R35" i="2" l="1"/>
  <c r="I35" i="2" s="1"/>
  <c r="R40" i="2" l="1"/>
  <c r="I40" i="2" s="1"/>
  <c r="R39" i="2"/>
  <c r="I39" i="2" s="1"/>
  <c r="R34" i="2"/>
  <c r="I34" i="2" s="1"/>
  <c r="R33" i="2"/>
  <c r="I33" i="2" s="1"/>
  <c r="R32" i="2"/>
  <c r="I32" i="2" s="1"/>
  <c r="R31" i="2"/>
  <c r="I31" i="2" s="1"/>
  <c r="R30" i="2"/>
  <c r="I30" i="2" s="1"/>
  <c r="R29" i="2"/>
  <c r="I29" i="2" s="1"/>
  <c r="R5" i="2" l="1"/>
  <c r="R41" i="2" l="1"/>
  <c r="I5" i="2"/>
  <c r="I41" i="2" s="1"/>
  <c r="S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김영환</author>
  </authors>
  <commentList>
    <comment ref="O7" authorId="0" shapeId="0" xr:uid="{7734DE60-9653-4506-A95D-F3BB03E05526}">
      <text>
        <r>
          <rPr>
            <b/>
            <sz val="9"/>
            <color indexed="81"/>
            <rFont val="돋움"/>
            <family val="3"/>
            <charset val="129"/>
          </rPr>
          <t>-창고시설 2-1+2-3 = 688.32
-쿠팡 사무실 계약면적 : 685.62
-2.7 오차 발생</t>
        </r>
      </text>
    </comment>
    <comment ref="O8" authorId="0" shapeId="0" xr:uid="{6C993F71-70B4-4589-93E6-05A97ACA7483}">
      <text>
        <r>
          <rPr>
            <b/>
            <sz val="9"/>
            <color indexed="81"/>
            <rFont val="돋움"/>
            <family val="3"/>
            <charset val="129"/>
          </rPr>
          <t>-창고시설 2-1+2-3 = 688.32
-쿠팡 사무실 계약면적 : 685.62
-2.7 오차 발생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5" authorId="0" shapeId="0" xr:uid="{E786916F-0903-4E6C-AB58-6009E43EA240}">
      <text>
        <r>
          <rPr>
            <b/>
            <sz val="9"/>
            <color indexed="81"/>
            <rFont val="Tahoma"/>
            <family val="2"/>
          </rPr>
          <t>36.01</t>
        </r>
        <r>
          <rPr>
            <b/>
            <sz val="9"/>
            <color indexed="81"/>
            <rFont val="돋움"/>
            <family val="3"/>
            <charset val="129"/>
          </rPr>
          <t>제곱미터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</text>
    </comment>
    <comment ref="H35" authorId="0" shapeId="0" xr:uid="{DB10AD42-AFBD-4E0C-9B80-597D9AF20C8E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Q35" authorId="0" shapeId="0" xr:uid="{B3C84ADD-F60F-4E1F-A697-44BA26C0308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M38" authorId="0" shapeId="0" xr:uid="{ED8016BC-8BA3-4DA7-9321-61E7DE39A68B}">
      <text>
        <r>
          <rPr>
            <b/>
            <sz val="9"/>
            <color indexed="81"/>
            <rFont val="Tahoma"/>
            <family val="2"/>
          </rPr>
          <t>36.01</t>
        </r>
        <r>
          <rPr>
            <b/>
            <sz val="9"/>
            <color indexed="81"/>
            <rFont val="돋움"/>
            <family val="3"/>
            <charset val="129"/>
          </rPr>
          <t>제곱미터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" authorId="0" shapeId="0" xr:uid="{4432DC3B-B0CA-4A44-9BAE-CAF7EDB29A66}">
      <text>
        <r>
          <rPr>
            <b/>
            <sz val="9"/>
            <color indexed="81"/>
            <rFont val="Tahoma"/>
            <family val="2"/>
          </rPr>
          <t>4.03</t>
        </r>
        <r>
          <rPr>
            <b/>
            <sz val="9"/>
            <color indexed="81"/>
            <rFont val="돋움"/>
            <family val="3"/>
            <charset val="129"/>
          </rPr>
          <t>제곱미터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</text>
    </comment>
    <comment ref="P39" authorId="0" shapeId="0" xr:uid="{D25EDDAB-3DF2-41E6-ABC5-2EF5ECDDC6CF}">
      <text>
        <r>
          <rPr>
            <b/>
            <sz val="9"/>
            <color indexed="81"/>
            <rFont val="Tahoma"/>
            <family val="2"/>
          </rPr>
          <t>4.03</t>
        </r>
        <r>
          <rPr>
            <b/>
            <sz val="9"/>
            <color indexed="81"/>
            <rFont val="돋움"/>
            <family val="3"/>
            <charset val="129"/>
          </rPr>
          <t>제곱미터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<sst xmlns="http://schemas.openxmlformats.org/spreadsheetml/2006/main" count="139" uniqueCount="57">
  <si>
    <t>구분</t>
    <phoneticPr fontId="2" type="noConversion"/>
  </si>
  <si>
    <t>전용면적</t>
    <phoneticPr fontId="2" type="noConversion"/>
  </si>
  <si>
    <t>공용면적</t>
    <phoneticPr fontId="2" type="noConversion"/>
  </si>
  <si>
    <t>층</t>
    <phoneticPr fontId="2" type="noConversion"/>
  </si>
  <si>
    <t>세부</t>
    <phoneticPr fontId="2" type="noConversion"/>
  </si>
  <si>
    <t>창고시설(1-1)</t>
  </si>
  <si>
    <t>제2종근린생활시설(휴게음식점-주방, 식당)</t>
  </si>
  <si>
    <t>제2종근린생활시설(4-1)</t>
  </si>
  <si>
    <t>제2종근린생활시설(4-2)</t>
  </si>
  <si>
    <t>제2종근린생활시설(4-3)</t>
  </si>
  <si>
    <t>제2종근린생활시설(5-1)</t>
  </si>
  <si>
    <t>제2종근린생활시설(5-2)</t>
  </si>
  <si>
    <t>제2종근린생활시설(5-3)</t>
  </si>
  <si>
    <t>제2종근린생활시설(5-4)</t>
  </si>
  <si>
    <t>제2종근린생활시설(5-5)</t>
  </si>
  <si>
    <t>제2종근린생활시설(5-6)</t>
  </si>
  <si>
    <t>제2종근린생활시설(5-7)</t>
  </si>
  <si>
    <t>제2종근린생활시설(5-8)</t>
  </si>
  <si>
    <t>제2종근린생활시설(5-9)</t>
  </si>
  <si>
    <t>제2종근린생활시설(5-0)</t>
  </si>
  <si>
    <t>제2종근린생활시설(6-1)</t>
  </si>
  <si>
    <t>제2종근린생활시설(6-2)</t>
  </si>
  <si>
    <t>제2종근린생활시설(6-3)</t>
  </si>
  <si>
    <t>제2종근린생활시설(6-4)</t>
  </si>
  <si>
    <t>제2종근린생활시설(6-5)</t>
  </si>
  <si>
    <t>창고시설(2-1)</t>
    <phoneticPr fontId="2" type="noConversion"/>
  </si>
  <si>
    <t>장고시설(2-3)</t>
    <phoneticPr fontId="2" type="noConversion"/>
  </si>
  <si>
    <t>창고시설(2-2)</t>
    <phoneticPr fontId="2" type="noConversion"/>
  </si>
  <si>
    <t>창고시설(1-2)</t>
    <phoneticPr fontId="2" type="noConversion"/>
  </si>
  <si>
    <t>B1</t>
    <phoneticPr fontId="2" type="noConversion"/>
  </si>
  <si>
    <t>B2</t>
    <phoneticPr fontId="2" type="noConversion"/>
  </si>
  <si>
    <t>창고시설</t>
  </si>
  <si>
    <t>창고시설</t>
    <phoneticPr fontId="2" type="noConversion"/>
  </si>
  <si>
    <t>근생-1</t>
    <phoneticPr fontId="2" type="noConversion"/>
  </si>
  <si>
    <t>근생-2</t>
    <phoneticPr fontId="2" type="noConversion"/>
  </si>
  <si>
    <t>합계</t>
    <phoneticPr fontId="2" type="noConversion"/>
  </si>
  <si>
    <t>전용률</t>
    <phoneticPr fontId="2" type="noConversion"/>
  </si>
  <si>
    <t>창고시설(5-1, 5-2)</t>
    <phoneticPr fontId="2" type="noConversion"/>
  </si>
  <si>
    <t>창고시설(5-3, 5-4)</t>
    <phoneticPr fontId="2" type="noConversion"/>
  </si>
  <si>
    <t>비고</t>
    <phoneticPr fontId="2" type="noConversion"/>
  </si>
  <si>
    <t>양쪽 경비실, 
FM 사무실, 램프 제외</t>
    <phoneticPr fontId="2" type="noConversion"/>
  </si>
  <si>
    <t>■ 코크렙안양 안양물류센터 임대면적표 (층별)</t>
    <phoneticPr fontId="2" type="noConversion"/>
  </si>
  <si>
    <t>■ 코크렙안양 안양물류센터 임대면적표 (세부)</t>
    <phoneticPr fontId="2" type="noConversion"/>
  </si>
  <si>
    <t>임대면적(㎡)</t>
    <phoneticPr fontId="2" type="noConversion"/>
  </si>
  <si>
    <t>도면상 음영구역을 노란색으로 표기함</t>
    <phoneticPr fontId="2" type="noConversion"/>
  </si>
  <si>
    <t>①전용면적</t>
    <phoneticPr fontId="2" type="noConversion"/>
  </si>
  <si>
    <t>②공용면적</t>
    <phoneticPr fontId="2" type="noConversion"/>
  </si>
  <si>
    <t>③임대면적
(①+②)</t>
    <phoneticPr fontId="2" type="noConversion"/>
  </si>
  <si>
    <t>④임대면적
산정제외</t>
    <phoneticPr fontId="2" type="noConversion"/>
  </si>
  <si>
    <t>차로, 램프,  Berth</t>
    <phoneticPr fontId="2" type="noConversion"/>
  </si>
  <si>
    <t>기계실,전기실 코어, 복도 등</t>
    <phoneticPr fontId="2" type="noConversion"/>
  </si>
  <si>
    <t>1층 차로</t>
    <phoneticPr fontId="2" type="noConversion"/>
  </si>
  <si>
    <t>⑤연면적
산정제외</t>
    <phoneticPr fontId="2" type="noConversion"/>
  </si>
  <si>
    <t>⑥연면적
(③+④-⑤)</t>
    <phoneticPr fontId="2" type="noConversion"/>
  </si>
  <si>
    <t>창고, 전실, 사무실, 근생 등</t>
    <phoneticPr fontId="2" type="noConversion"/>
  </si>
  <si>
    <t>차로, 램프,  Berth, 기타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</si>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</sst>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&quot;월&quot;\ dd&quot;일&quot;"/>
    <numFmt numFmtId="177" formatCode="#,##0.00_-;[Red]\(#,##0.00_-\);\-_-;@"/>
    <numFmt numFmtId="178" formatCode="#,##0.00_);[Red]\(#,##0.00\)"/>
    <numFmt numFmtId="179" formatCode="#,##0.0000000000000_);[Red]\(#,##0.0000000000000\)"/>
    <numFmt numFmtId="180" formatCode="#,##0.000_);[Red]\(#,##0.00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vertical="center"/>
    </xf>
    <xf numFmtId="10" fontId="4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177" fontId="4" fillId="0" borderId="2" xfId="0" applyNumberFormat="1" applyFont="1" applyBorder="1">
      <alignment vertical="center"/>
    </xf>
    <xf numFmtId="10" fontId="4" fillId="0" borderId="2" xfId="1" applyNumberFormat="1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177" fontId="4" fillId="0" borderId="5" xfId="0" applyNumberFormat="1" applyFont="1" applyBorder="1">
      <alignment vertical="center"/>
    </xf>
    <xf numFmtId="178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7" fontId="4" fillId="0" borderId="1" xfId="0" applyNumberFormat="1" applyFont="1" applyBorder="1">
      <alignment vertical="center"/>
    </xf>
    <xf numFmtId="177" fontId="4" fillId="0" borderId="2" xfId="0" applyNumberFormat="1" applyFont="1" applyBorder="1">
      <alignment vertical="center"/>
    </xf>
    <xf numFmtId="178" fontId="3" fillId="0" borderId="0" xfId="0" applyNumberFormat="1" applyFont="1">
      <alignment vertical="center"/>
    </xf>
    <xf numFmtId="177" fontId="5" fillId="0" borderId="5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vertical="center"/>
    </xf>
    <xf numFmtId="177" fontId="4" fillId="3" borderId="1" xfId="0" applyNumberFormat="1" applyFont="1" applyFill="1" applyBorder="1">
      <alignment vertical="center"/>
    </xf>
    <xf numFmtId="177" fontId="4" fillId="0" borderId="1" xfId="0" applyNumberFormat="1" applyFont="1" applyBorder="1">
      <alignment vertical="center"/>
    </xf>
    <xf numFmtId="180" fontId="3" fillId="0" borderId="0" xfId="0" applyNumberFormat="1" applyFont="1">
      <alignment vertical="center"/>
    </xf>
    <xf numFmtId="177" fontId="4" fillId="4" borderId="1" xfId="0" applyNumberFormat="1" applyFont="1" applyFill="1" applyBorder="1">
      <alignment vertical="center"/>
    </xf>
    <xf numFmtId="178" fontId="5" fillId="0" borderId="0" xfId="0" applyNumberFormat="1" applyFo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0" fontId="4" fillId="0" borderId="2" xfId="1" applyNumberFormat="1" applyFont="1" applyBorder="1" applyAlignment="1">
      <alignment horizontal="left" vertical="center" wrapText="1"/>
    </xf>
    <xf numFmtId="10" fontId="4" fillId="0" borderId="3" xfId="1" applyNumberFormat="1" applyFont="1" applyBorder="1" applyAlignment="1">
      <alignment horizontal="left" vertical="center" wrapText="1"/>
    </xf>
    <xf numFmtId="10" fontId="4" fillId="0" borderId="4" xfId="1" applyNumberFormat="1" applyFont="1" applyBorder="1" applyAlignment="1">
      <alignment horizontal="left" vertical="center" wrapText="1"/>
    </xf>
    <xf numFmtId="177" fontId="4" fillId="0" borderId="2" xfId="0" applyNumberFormat="1" applyFont="1" applyFill="1" applyBorder="1" applyAlignment="1">
      <alignment vertical="center"/>
    </xf>
    <xf numFmtId="177" fontId="4" fillId="0" borderId="3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77" fontId="4" fillId="0" borderId="2" xfId="0" applyNumberFormat="1" applyFont="1" applyBorder="1">
      <alignment vertical="center"/>
    </xf>
    <xf numFmtId="177" fontId="4" fillId="0" borderId="3" xfId="0" applyNumberFormat="1" applyFont="1" applyBorder="1">
      <alignment vertical="center"/>
    </xf>
    <xf numFmtId="177" fontId="4" fillId="0" borderId="4" xfId="0" applyNumberFormat="1" applyFont="1" applyBorder="1">
      <alignment vertical="center"/>
    </xf>
    <xf numFmtId="177" fontId="4" fillId="0" borderId="2" xfId="0" applyNumberFormat="1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vertical="center"/>
    </xf>
    <xf numFmtId="177" fontId="4" fillId="0" borderId="1" xfId="0" applyNumberFormat="1" applyFont="1" applyBorder="1">
      <alignment vertical="center"/>
    </xf>
    <xf numFmtId="177" fontId="4" fillId="3" borderId="2" xfId="0" applyNumberFormat="1" applyFont="1" applyFill="1" applyBorder="1">
      <alignment vertical="center"/>
    </xf>
    <xf numFmtId="177" fontId="4" fillId="3" borderId="3" xfId="0" applyNumberFormat="1" applyFont="1" applyFill="1" applyBorder="1">
      <alignment vertical="center"/>
    </xf>
    <xf numFmtId="177" fontId="4" fillId="3" borderId="4" xfId="0" applyNumberFormat="1" applyFont="1" applyFill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145676</xdr:rowOff>
    </xdr:from>
    <xdr:to>
      <xdr:col>11</xdr:col>
      <xdr:colOff>39700</xdr:colOff>
      <xdr:row>69</xdr:row>
      <xdr:rowOff>197058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AB1CB18-4AC2-4906-B18B-DC3722C3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69823"/>
          <a:ext cx="9609524" cy="5800000"/>
        </a:xfrm>
        <a:prstGeom prst="rect">
          <a:avLst/>
        </a:prstGeom>
      </xdr:spPr>
    </xdr:pic>
    <xdr:clientData/>
  </xdr:twoCellAnchor>
  <xdr:twoCellAnchor>
    <xdr:from>
      <xdr:col>2</xdr:col>
      <xdr:colOff>2105025</xdr:colOff>
      <xdr:row>49</xdr:row>
      <xdr:rowOff>21290</xdr:rowOff>
    </xdr:from>
    <xdr:to>
      <xdr:col>3</xdr:col>
      <xdr:colOff>521634</xdr:colOff>
      <xdr:row>50</xdr:row>
      <xdr:rowOff>110377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8255D29-1A6B-46CA-9CEF-6901366C6C38}"/>
            </a:ext>
          </a:extLst>
        </xdr:cNvPr>
        <xdr:cNvSpPr/>
      </xdr:nvSpPr>
      <xdr:spPr>
        <a:xfrm>
          <a:off x="2687731" y="10935819"/>
          <a:ext cx="1094815" cy="30199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46"/>
  <sheetViews>
    <sheetView showGridLines="0" tabSelected="1" zoomScale="85" zoomScaleNormal="85" workbookViewId="0">
      <selection activeCell="E1" sqref="E1"/>
    </sheetView>
  </sheetViews>
  <sheetFormatPr defaultRowHeight="16.5" x14ac:dyDescent="0.3"/>
  <cols>
    <col min="1" max="1" width="3.5" customWidth="1"/>
    <col min="2" max="2" width="4.125" style="1" customWidth="1"/>
    <col min="3" max="3" width="35.125" style="1" bestFit="1" customWidth="1"/>
    <col min="4" max="9" width="11.625" style="1" customWidth="1"/>
    <col min="10" max="10" width="9" style="1"/>
    <col min="11" max="11" width="4.125" style="1" customWidth="1"/>
    <col min="12" max="12" width="35.125" style="1" bestFit="1" customWidth="1"/>
    <col min="13" max="18" width="11.625" style="1" customWidth="1"/>
    <col min="19" max="19" width="6.75" style="1" bestFit="1" customWidth="1"/>
    <col min="20" max="20" width="18.125" style="1" bestFit="1" customWidth="1"/>
  </cols>
  <sheetData>
    <row r="1" spans="2:20" x14ac:dyDescent="0.3">
      <c r="F1" s="1" t="s">
        <v>56</v>
      </c>
    </row>
    <row r="2" spans="2:20" x14ac:dyDescent="0.3">
      <c r="B2" s="1" t="s">
        <v>41</v>
      </c>
      <c r="K2" s="1" t="s">
        <v>42</v>
      </c>
    </row>
    <row r="3" spans="2:20" ht="33" customHeight="1" x14ac:dyDescent="0.3">
      <c r="B3" s="40" t="s">
        <v>0</v>
      </c>
      <c r="C3" s="41"/>
      <c r="D3" s="22" t="s">
        <v>45</v>
      </c>
      <c r="E3" s="22" t="s">
        <v>46</v>
      </c>
      <c r="F3" s="32" t="s">
        <v>47</v>
      </c>
      <c r="G3" s="22" t="s">
        <v>48</v>
      </c>
      <c r="H3" s="22" t="s">
        <v>52</v>
      </c>
      <c r="I3" s="32" t="s">
        <v>53</v>
      </c>
      <c r="K3" s="40" t="s">
        <v>0</v>
      </c>
      <c r="L3" s="41"/>
      <c r="M3" s="22" t="s">
        <v>45</v>
      </c>
      <c r="N3" s="22" t="s">
        <v>46</v>
      </c>
      <c r="O3" s="32" t="s">
        <v>47</v>
      </c>
      <c r="P3" s="22" t="s">
        <v>48</v>
      </c>
      <c r="Q3" s="22" t="s">
        <v>52</v>
      </c>
      <c r="R3" s="32" t="s">
        <v>53</v>
      </c>
      <c r="S3" s="32" t="s">
        <v>36</v>
      </c>
      <c r="T3" s="32" t="s">
        <v>39</v>
      </c>
    </row>
    <row r="4" spans="2:20" ht="36.75" customHeight="1" x14ac:dyDescent="0.3">
      <c r="B4" s="23" t="s">
        <v>3</v>
      </c>
      <c r="C4" s="23" t="s">
        <v>4</v>
      </c>
      <c r="D4" s="24" t="s">
        <v>54</v>
      </c>
      <c r="E4" s="24" t="s">
        <v>50</v>
      </c>
      <c r="F4" s="33"/>
      <c r="G4" s="24" t="s">
        <v>49</v>
      </c>
      <c r="H4" s="25" t="s">
        <v>51</v>
      </c>
      <c r="I4" s="33"/>
      <c r="K4" s="23" t="s">
        <v>3</v>
      </c>
      <c r="L4" s="23" t="s">
        <v>4</v>
      </c>
      <c r="M4" s="24" t="s">
        <v>54</v>
      </c>
      <c r="N4" s="24" t="s">
        <v>50</v>
      </c>
      <c r="O4" s="33"/>
      <c r="P4" s="24" t="s">
        <v>55</v>
      </c>
      <c r="Q4" s="25" t="s">
        <v>51</v>
      </c>
      <c r="R4" s="33"/>
      <c r="S4" s="33"/>
      <c r="T4" s="33"/>
    </row>
    <row r="5" spans="2:20" x14ac:dyDescent="0.3">
      <c r="B5" s="48">
        <v>8</v>
      </c>
      <c r="C5" s="3" t="s">
        <v>5</v>
      </c>
      <c r="D5" s="49">
        <f>SUM(M5:M28)</f>
        <v>1851.1400000000012</v>
      </c>
      <c r="E5" s="49">
        <f t="shared" ref="E5:I5" si="0">SUM(N5:N28)</f>
        <v>891.15192350254893</v>
      </c>
      <c r="F5" s="49">
        <f t="shared" si="0"/>
        <v>2742.291923502547</v>
      </c>
      <c r="G5" s="49">
        <f t="shared" si="0"/>
        <v>1346.6080764974499</v>
      </c>
      <c r="H5" s="37">
        <f t="shared" si="0"/>
        <v>0</v>
      </c>
      <c r="I5" s="49">
        <f t="shared" si="0"/>
        <v>4088.8999999999969</v>
      </c>
      <c r="K5" s="48">
        <v>8</v>
      </c>
      <c r="L5" s="3" t="s">
        <v>5</v>
      </c>
      <c r="M5" s="4">
        <v>233.71</v>
      </c>
      <c r="N5" s="4">
        <v>112.50965137254914</v>
      </c>
      <c r="O5" s="4">
        <v>346.21965137254915</v>
      </c>
      <c r="P5" s="49">
        <v>1346.6080764974499</v>
      </c>
      <c r="Q5" s="37">
        <v>0</v>
      </c>
      <c r="R5" s="49">
        <f>SUM(O5:O28)+P5</f>
        <v>4088.8999999999969</v>
      </c>
      <c r="S5" s="5">
        <f t="shared" ref="S5" si="1">M5/O5</f>
        <v>0.67503389560206306</v>
      </c>
      <c r="T5" s="5"/>
    </row>
    <row r="6" spans="2:20" x14ac:dyDescent="0.3">
      <c r="B6" s="48"/>
      <c r="C6" s="6" t="s">
        <v>28</v>
      </c>
      <c r="D6" s="50"/>
      <c r="E6" s="50"/>
      <c r="F6" s="50"/>
      <c r="G6" s="50"/>
      <c r="H6" s="38"/>
      <c r="I6" s="50"/>
      <c r="K6" s="48"/>
      <c r="L6" s="6" t="s">
        <v>28</v>
      </c>
      <c r="M6" s="4">
        <v>67.099999999999994</v>
      </c>
      <c r="N6" s="4">
        <v>32.302415844842095</v>
      </c>
      <c r="O6" s="4">
        <v>99.402415844842096</v>
      </c>
      <c r="P6" s="50"/>
      <c r="Q6" s="38"/>
      <c r="R6" s="50"/>
      <c r="S6" s="5">
        <f t="shared" ref="S6:S40" si="2">M6/O6</f>
        <v>0.67503389560206306</v>
      </c>
      <c r="T6" s="5"/>
    </row>
    <row r="7" spans="2:20" x14ac:dyDescent="0.3">
      <c r="B7" s="48"/>
      <c r="C7" s="6" t="s">
        <v>25</v>
      </c>
      <c r="D7" s="50"/>
      <c r="E7" s="50"/>
      <c r="F7" s="50"/>
      <c r="G7" s="50"/>
      <c r="H7" s="38"/>
      <c r="I7" s="50"/>
      <c r="K7" s="48"/>
      <c r="L7" s="6" t="s">
        <v>25</v>
      </c>
      <c r="M7" s="4">
        <v>373.34</v>
      </c>
      <c r="N7" s="4">
        <v>179.72852356949852</v>
      </c>
      <c r="O7" s="4">
        <v>553.06852356949844</v>
      </c>
      <c r="P7" s="50"/>
      <c r="Q7" s="38"/>
      <c r="R7" s="50"/>
      <c r="S7" s="5">
        <f>M7/O7</f>
        <v>0.67503389560206306</v>
      </c>
      <c r="T7" s="5"/>
    </row>
    <row r="8" spans="2:20" x14ac:dyDescent="0.3">
      <c r="B8" s="48"/>
      <c r="C8" s="6" t="s">
        <v>26</v>
      </c>
      <c r="D8" s="50"/>
      <c r="E8" s="50"/>
      <c r="F8" s="50"/>
      <c r="G8" s="50"/>
      <c r="H8" s="38"/>
      <c r="I8" s="50"/>
      <c r="K8" s="48"/>
      <c r="L8" s="6" t="s">
        <v>26</v>
      </c>
      <c r="M8" s="4">
        <v>91.3</v>
      </c>
      <c r="N8" s="4">
        <v>43.952467461014663</v>
      </c>
      <c r="O8" s="4">
        <v>135.25246746101465</v>
      </c>
      <c r="P8" s="50"/>
      <c r="Q8" s="38"/>
      <c r="R8" s="50"/>
      <c r="S8" s="5">
        <f t="shared" si="2"/>
        <v>0.67503389560206306</v>
      </c>
      <c r="T8" s="5"/>
    </row>
    <row r="9" spans="2:20" x14ac:dyDescent="0.3">
      <c r="B9" s="48"/>
      <c r="C9" s="6" t="s">
        <v>27</v>
      </c>
      <c r="D9" s="50"/>
      <c r="E9" s="50"/>
      <c r="F9" s="50"/>
      <c r="G9" s="50"/>
      <c r="H9" s="38"/>
      <c r="I9" s="50"/>
      <c r="K9" s="48"/>
      <c r="L9" s="6" t="s">
        <v>27</v>
      </c>
      <c r="M9" s="4">
        <v>142.5</v>
      </c>
      <c r="N9" s="4">
        <v>68.600510549776445</v>
      </c>
      <c r="O9" s="4">
        <v>211.10051054977646</v>
      </c>
      <c r="P9" s="50"/>
      <c r="Q9" s="38"/>
      <c r="R9" s="50"/>
      <c r="S9" s="5">
        <f t="shared" si="2"/>
        <v>0.67503389560206295</v>
      </c>
      <c r="T9" s="5"/>
    </row>
    <row r="10" spans="2:20" x14ac:dyDescent="0.3">
      <c r="B10" s="48"/>
      <c r="C10" s="6" t="s">
        <v>6</v>
      </c>
      <c r="D10" s="50"/>
      <c r="E10" s="50"/>
      <c r="F10" s="50"/>
      <c r="G10" s="50"/>
      <c r="H10" s="38"/>
      <c r="I10" s="50"/>
      <c r="K10" s="48"/>
      <c r="L10" s="6" t="s">
        <v>6</v>
      </c>
      <c r="M10" s="4">
        <v>628.5</v>
      </c>
      <c r="N10" s="4">
        <v>302.56435705638239</v>
      </c>
      <c r="O10" s="4">
        <v>931.06435705638239</v>
      </c>
      <c r="P10" s="50"/>
      <c r="Q10" s="38"/>
      <c r="R10" s="50"/>
      <c r="S10" s="5">
        <f t="shared" si="2"/>
        <v>0.67503389560206306</v>
      </c>
      <c r="T10" s="5"/>
    </row>
    <row r="11" spans="2:20" x14ac:dyDescent="0.3">
      <c r="B11" s="48"/>
      <c r="C11" s="6" t="s">
        <v>7</v>
      </c>
      <c r="D11" s="50"/>
      <c r="E11" s="50"/>
      <c r="F11" s="50"/>
      <c r="G11" s="50"/>
      <c r="H11" s="38"/>
      <c r="I11" s="50"/>
      <c r="K11" s="48"/>
      <c r="L11" s="6" t="s">
        <v>7</v>
      </c>
      <c r="M11" s="4">
        <v>19.559999999999999</v>
      </c>
      <c r="N11" s="4">
        <v>9.4163227112535228</v>
      </c>
      <c r="O11" s="4">
        <v>28.976322711253523</v>
      </c>
      <c r="P11" s="50"/>
      <c r="Q11" s="38"/>
      <c r="R11" s="50"/>
      <c r="S11" s="5">
        <f t="shared" si="2"/>
        <v>0.67503389560206306</v>
      </c>
      <c r="T11" s="5"/>
    </row>
    <row r="12" spans="2:20" x14ac:dyDescent="0.3">
      <c r="B12" s="48"/>
      <c r="C12" s="6" t="s">
        <v>8</v>
      </c>
      <c r="D12" s="50"/>
      <c r="E12" s="50"/>
      <c r="F12" s="50"/>
      <c r="G12" s="50"/>
      <c r="H12" s="38"/>
      <c r="I12" s="50"/>
      <c r="K12" s="48"/>
      <c r="L12" s="6" t="s">
        <v>8</v>
      </c>
      <c r="M12" s="4">
        <v>16.89</v>
      </c>
      <c r="N12" s="4">
        <v>8.1309657767419239</v>
      </c>
      <c r="O12" s="4">
        <v>25.020965776741924</v>
      </c>
      <c r="P12" s="50"/>
      <c r="Q12" s="38"/>
      <c r="R12" s="50"/>
      <c r="S12" s="5">
        <f t="shared" si="2"/>
        <v>0.67503389560206306</v>
      </c>
      <c r="T12" s="5"/>
    </row>
    <row r="13" spans="2:20" x14ac:dyDescent="0.3">
      <c r="B13" s="48"/>
      <c r="C13" s="6" t="s">
        <v>9</v>
      </c>
      <c r="D13" s="50"/>
      <c r="E13" s="50"/>
      <c r="F13" s="50"/>
      <c r="G13" s="50"/>
      <c r="H13" s="38"/>
      <c r="I13" s="50"/>
      <c r="K13" s="48"/>
      <c r="L13" s="6" t="s">
        <v>9</v>
      </c>
      <c r="M13" s="4">
        <v>16.89</v>
      </c>
      <c r="N13" s="4">
        <v>8.1309657767419239</v>
      </c>
      <c r="O13" s="4">
        <v>25.020965776741924</v>
      </c>
      <c r="P13" s="50"/>
      <c r="Q13" s="38"/>
      <c r="R13" s="50"/>
      <c r="S13" s="5">
        <f t="shared" si="2"/>
        <v>0.67503389560206306</v>
      </c>
      <c r="T13" s="5"/>
    </row>
    <row r="14" spans="2:20" x14ac:dyDescent="0.3">
      <c r="B14" s="48"/>
      <c r="C14" s="6" t="s">
        <v>10</v>
      </c>
      <c r="D14" s="50"/>
      <c r="E14" s="50"/>
      <c r="F14" s="50"/>
      <c r="G14" s="50"/>
      <c r="H14" s="38"/>
      <c r="I14" s="50"/>
      <c r="K14" s="48"/>
      <c r="L14" s="6" t="s">
        <v>10</v>
      </c>
      <c r="M14" s="4">
        <v>19.555</v>
      </c>
      <c r="N14" s="4">
        <v>9.4139156757956357</v>
      </c>
      <c r="O14" s="4">
        <v>28.968915675795635</v>
      </c>
      <c r="P14" s="50"/>
      <c r="Q14" s="38"/>
      <c r="R14" s="50"/>
      <c r="S14" s="5">
        <f t="shared" si="2"/>
        <v>0.67503389560206306</v>
      </c>
      <c r="T14" s="5"/>
    </row>
    <row r="15" spans="2:20" x14ac:dyDescent="0.3">
      <c r="B15" s="48"/>
      <c r="C15" s="6" t="s">
        <v>11</v>
      </c>
      <c r="D15" s="50"/>
      <c r="E15" s="50"/>
      <c r="F15" s="50"/>
      <c r="G15" s="50"/>
      <c r="H15" s="38"/>
      <c r="I15" s="50"/>
      <c r="K15" s="48"/>
      <c r="L15" s="6" t="s">
        <v>11</v>
      </c>
      <c r="M15" s="4">
        <v>16.89</v>
      </c>
      <c r="N15" s="4">
        <v>8.1309657767419239</v>
      </c>
      <c r="O15" s="4">
        <v>25.020965776741924</v>
      </c>
      <c r="P15" s="50"/>
      <c r="Q15" s="38"/>
      <c r="R15" s="50"/>
      <c r="S15" s="5">
        <f t="shared" si="2"/>
        <v>0.67503389560206306</v>
      </c>
      <c r="T15" s="5"/>
    </row>
    <row r="16" spans="2:20" x14ac:dyDescent="0.3">
      <c r="B16" s="48"/>
      <c r="C16" s="6" t="s">
        <v>12</v>
      </c>
      <c r="D16" s="50"/>
      <c r="E16" s="50"/>
      <c r="F16" s="50"/>
      <c r="G16" s="50"/>
      <c r="H16" s="38"/>
      <c r="I16" s="50"/>
      <c r="K16" s="48"/>
      <c r="L16" s="6" t="s">
        <v>12</v>
      </c>
      <c r="M16" s="4">
        <v>16.89</v>
      </c>
      <c r="N16" s="4">
        <v>8.1309657767419239</v>
      </c>
      <c r="O16" s="4">
        <v>25.020965776741924</v>
      </c>
      <c r="P16" s="50"/>
      <c r="Q16" s="38"/>
      <c r="R16" s="50"/>
      <c r="S16" s="5">
        <f t="shared" si="2"/>
        <v>0.67503389560206306</v>
      </c>
      <c r="T16" s="5"/>
    </row>
    <row r="17" spans="2:20" x14ac:dyDescent="0.3">
      <c r="B17" s="48"/>
      <c r="C17" s="6" t="s">
        <v>13</v>
      </c>
      <c r="D17" s="50"/>
      <c r="E17" s="50"/>
      <c r="F17" s="50"/>
      <c r="G17" s="50"/>
      <c r="H17" s="38"/>
      <c r="I17" s="50"/>
      <c r="K17" s="48"/>
      <c r="L17" s="6" t="s">
        <v>13</v>
      </c>
      <c r="M17" s="4">
        <v>16.89</v>
      </c>
      <c r="N17" s="4">
        <v>8.1309657767419239</v>
      </c>
      <c r="O17" s="4">
        <v>25.020965776741924</v>
      </c>
      <c r="P17" s="50"/>
      <c r="Q17" s="38"/>
      <c r="R17" s="50"/>
      <c r="S17" s="5">
        <f t="shared" si="2"/>
        <v>0.67503389560206306</v>
      </c>
      <c r="T17" s="5"/>
    </row>
    <row r="18" spans="2:20" x14ac:dyDescent="0.3">
      <c r="B18" s="48"/>
      <c r="C18" s="6" t="s">
        <v>14</v>
      </c>
      <c r="D18" s="50"/>
      <c r="E18" s="50"/>
      <c r="F18" s="50"/>
      <c r="G18" s="50"/>
      <c r="H18" s="38"/>
      <c r="I18" s="50"/>
      <c r="K18" s="48"/>
      <c r="L18" s="6" t="s">
        <v>14</v>
      </c>
      <c r="M18" s="4">
        <v>16.89</v>
      </c>
      <c r="N18" s="4">
        <v>8.1309657767419239</v>
      </c>
      <c r="O18" s="4">
        <v>25.020965776741924</v>
      </c>
      <c r="P18" s="50"/>
      <c r="Q18" s="38"/>
      <c r="R18" s="50"/>
      <c r="S18" s="5">
        <f t="shared" si="2"/>
        <v>0.67503389560206306</v>
      </c>
      <c r="T18" s="5"/>
    </row>
    <row r="19" spans="2:20" x14ac:dyDescent="0.3">
      <c r="B19" s="48"/>
      <c r="C19" s="6" t="s">
        <v>15</v>
      </c>
      <c r="D19" s="50"/>
      <c r="E19" s="50"/>
      <c r="F19" s="50"/>
      <c r="G19" s="50"/>
      <c r="H19" s="38"/>
      <c r="I19" s="50"/>
      <c r="K19" s="48"/>
      <c r="L19" s="6" t="s">
        <v>15</v>
      </c>
      <c r="M19" s="4">
        <v>19.555</v>
      </c>
      <c r="N19" s="4">
        <v>9.4139156757956357</v>
      </c>
      <c r="O19" s="4">
        <v>28.968915675795635</v>
      </c>
      <c r="P19" s="50"/>
      <c r="Q19" s="38"/>
      <c r="R19" s="50"/>
      <c r="S19" s="5">
        <f t="shared" si="2"/>
        <v>0.67503389560206306</v>
      </c>
      <c r="T19" s="5"/>
    </row>
    <row r="20" spans="2:20" x14ac:dyDescent="0.3">
      <c r="B20" s="48"/>
      <c r="C20" s="6" t="s">
        <v>16</v>
      </c>
      <c r="D20" s="50"/>
      <c r="E20" s="50"/>
      <c r="F20" s="50"/>
      <c r="G20" s="50"/>
      <c r="H20" s="38"/>
      <c r="I20" s="50"/>
      <c r="K20" s="48"/>
      <c r="L20" s="6" t="s">
        <v>16</v>
      </c>
      <c r="M20" s="4">
        <v>16.89</v>
      </c>
      <c r="N20" s="4">
        <v>8.1309657767419239</v>
      </c>
      <c r="O20" s="4">
        <v>25.020965776741924</v>
      </c>
      <c r="P20" s="50"/>
      <c r="Q20" s="38"/>
      <c r="R20" s="50"/>
      <c r="S20" s="5">
        <f t="shared" si="2"/>
        <v>0.67503389560206306</v>
      </c>
      <c r="T20" s="5"/>
    </row>
    <row r="21" spans="2:20" x14ac:dyDescent="0.3">
      <c r="B21" s="48"/>
      <c r="C21" s="6" t="s">
        <v>17</v>
      </c>
      <c r="D21" s="50"/>
      <c r="E21" s="50"/>
      <c r="F21" s="50"/>
      <c r="G21" s="50"/>
      <c r="H21" s="38"/>
      <c r="I21" s="50"/>
      <c r="K21" s="48"/>
      <c r="L21" s="6" t="s">
        <v>17</v>
      </c>
      <c r="M21" s="4">
        <v>16.89</v>
      </c>
      <c r="N21" s="4">
        <v>8.1309657767419239</v>
      </c>
      <c r="O21" s="4">
        <v>25.020965776741924</v>
      </c>
      <c r="P21" s="50"/>
      <c r="Q21" s="38"/>
      <c r="R21" s="50"/>
      <c r="S21" s="5">
        <f t="shared" si="2"/>
        <v>0.67503389560206306</v>
      </c>
      <c r="T21" s="5"/>
    </row>
    <row r="22" spans="2:20" x14ac:dyDescent="0.3">
      <c r="B22" s="48"/>
      <c r="C22" s="6" t="s">
        <v>18</v>
      </c>
      <c r="D22" s="50"/>
      <c r="E22" s="50"/>
      <c r="F22" s="50"/>
      <c r="G22" s="50"/>
      <c r="H22" s="38"/>
      <c r="I22" s="50"/>
      <c r="K22" s="48"/>
      <c r="L22" s="6" t="s">
        <v>18</v>
      </c>
      <c r="M22" s="4">
        <v>16.89</v>
      </c>
      <c r="N22" s="4">
        <v>8.1309657767419239</v>
      </c>
      <c r="O22" s="4">
        <v>25.020965776741924</v>
      </c>
      <c r="P22" s="50"/>
      <c r="Q22" s="38"/>
      <c r="R22" s="50"/>
      <c r="S22" s="5">
        <f t="shared" si="2"/>
        <v>0.67503389560206306</v>
      </c>
      <c r="T22" s="5"/>
    </row>
    <row r="23" spans="2:20" x14ac:dyDescent="0.3">
      <c r="B23" s="48"/>
      <c r="C23" s="6" t="s">
        <v>19</v>
      </c>
      <c r="D23" s="50"/>
      <c r="E23" s="50"/>
      <c r="F23" s="50"/>
      <c r="G23" s="50"/>
      <c r="H23" s="38"/>
      <c r="I23" s="50"/>
      <c r="K23" s="48"/>
      <c r="L23" s="6" t="s">
        <v>19</v>
      </c>
      <c r="M23" s="4">
        <v>16.89</v>
      </c>
      <c r="N23" s="4">
        <v>8.1309657767419239</v>
      </c>
      <c r="O23" s="4">
        <v>25.020965776741924</v>
      </c>
      <c r="P23" s="50"/>
      <c r="Q23" s="38"/>
      <c r="R23" s="50"/>
      <c r="S23" s="5">
        <f t="shared" si="2"/>
        <v>0.67503389560206306</v>
      </c>
      <c r="T23" s="5"/>
    </row>
    <row r="24" spans="2:20" x14ac:dyDescent="0.3">
      <c r="B24" s="48"/>
      <c r="C24" s="6" t="s">
        <v>20</v>
      </c>
      <c r="D24" s="50"/>
      <c r="E24" s="50"/>
      <c r="F24" s="50"/>
      <c r="G24" s="50"/>
      <c r="H24" s="38"/>
      <c r="I24" s="50"/>
      <c r="K24" s="48"/>
      <c r="L24" s="6" t="s">
        <v>20</v>
      </c>
      <c r="M24" s="4">
        <v>19.559999999999999</v>
      </c>
      <c r="N24" s="4">
        <v>9.4163227112535228</v>
      </c>
      <c r="O24" s="4">
        <v>28.976322711253523</v>
      </c>
      <c r="P24" s="50"/>
      <c r="Q24" s="38"/>
      <c r="R24" s="50"/>
      <c r="S24" s="5">
        <f t="shared" si="2"/>
        <v>0.67503389560206306</v>
      </c>
      <c r="T24" s="5"/>
    </row>
    <row r="25" spans="2:20" x14ac:dyDescent="0.3">
      <c r="B25" s="48"/>
      <c r="C25" s="6" t="s">
        <v>21</v>
      </c>
      <c r="D25" s="50"/>
      <c r="E25" s="50"/>
      <c r="F25" s="50"/>
      <c r="G25" s="50"/>
      <c r="H25" s="38"/>
      <c r="I25" s="50"/>
      <c r="K25" s="48"/>
      <c r="L25" s="6" t="s">
        <v>21</v>
      </c>
      <c r="M25" s="4">
        <v>16.89</v>
      </c>
      <c r="N25" s="4">
        <v>8.1309657767419239</v>
      </c>
      <c r="O25" s="4">
        <v>25.020965776741924</v>
      </c>
      <c r="P25" s="50"/>
      <c r="Q25" s="38"/>
      <c r="R25" s="50"/>
      <c r="S25" s="5">
        <f t="shared" si="2"/>
        <v>0.67503389560206306</v>
      </c>
      <c r="T25" s="5"/>
    </row>
    <row r="26" spans="2:20" x14ac:dyDescent="0.3">
      <c r="B26" s="48"/>
      <c r="C26" s="6" t="s">
        <v>22</v>
      </c>
      <c r="D26" s="50"/>
      <c r="E26" s="50"/>
      <c r="F26" s="50"/>
      <c r="G26" s="50"/>
      <c r="H26" s="38"/>
      <c r="I26" s="50"/>
      <c r="K26" s="48"/>
      <c r="L26" s="6" t="s">
        <v>22</v>
      </c>
      <c r="M26" s="4">
        <v>16.89</v>
      </c>
      <c r="N26" s="4">
        <v>8.1309657767419239</v>
      </c>
      <c r="O26" s="4">
        <v>25.020965776741924</v>
      </c>
      <c r="P26" s="50"/>
      <c r="Q26" s="38"/>
      <c r="R26" s="50"/>
      <c r="S26" s="5">
        <f t="shared" si="2"/>
        <v>0.67503389560206306</v>
      </c>
      <c r="T26" s="5"/>
    </row>
    <row r="27" spans="2:20" x14ac:dyDescent="0.3">
      <c r="B27" s="48"/>
      <c r="C27" s="6" t="s">
        <v>23</v>
      </c>
      <c r="D27" s="50"/>
      <c r="E27" s="50"/>
      <c r="F27" s="50"/>
      <c r="G27" s="50"/>
      <c r="H27" s="38"/>
      <c r="I27" s="50"/>
      <c r="K27" s="48"/>
      <c r="L27" s="6" t="s">
        <v>23</v>
      </c>
      <c r="M27" s="4">
        <v>16.89</v>
      </c>
      <c r="N27" s="4">
        <v>8.1309657767419239</v>
      </c>
      <c r="O27" s="4">
        <v>25.020965776741924</v>
      </c>
      <c r="P27" s="50"/>
      <c r="Q27" s="38"/>
      <c r="R27" s="50"/>
      <c r="S27" s="5">
        <f t="shared" si="2"/>
        <v>0.67503389560206306</v>
      </c>
      <c r="T27" s="5"/>
    </row>
    <row r="28" spans="2:20" x14ac:dyDescent="0.3">
      <c r="B28" s="48"/>
      <c r="C28" s="6" t="s">
        <v>24</v>
      </c>
      <c r="D28" s="51"/>
      <c r="E28" s="51"/>
      <c r="F28" s="51"/>
      <c r="G28" s="51"/>
      <c r="H28" s="39"/>
      <c r="I28" s="51"/>
      <c r="K28" s="48"/>
      <c r="L28" s="6" t="s">
        <v>24</v>
      </c>
      <c r="M28" s="4">
        <v>16.89</v>
      </c>
      <c r="N28" s="4">
        <v>8.1309657767419239</v>
      </c>
      <c r="O28" s="4">
        <v>25.020965776741924</v>
      </c>
      <c r="P28" s="51"/>
      <c r="Q28" s="39"/>
      <c r="R28" s="51"/>
      <c r="S28" s="5">
        <f t="shared" si="2"/>
        <v>0.67503389560206306</v>
      </c>
      <c r="T28" s="5"/>
    </row>
    <row r="29" spans="2:20" x14ac:dyDescent="0.3">
      <c r="B29" s="6">
        <v>7</v>
      </c>
      <c r="C29" s="6" t="s">
        <v>32</v>
      </c>
      <c r="D29" s="7">
        <f>M29</f>
        <v>3929.9800000000005</v>
      </c>
      <c r="E29" s="7">
        <f t="shared" ref="E29:E34" si="3">N29</f>
        <v>1195.3689047433188</v>
      </c>
      <c r="F29" s="7">
        <f t="shared" ref="F29:F34" si="4">O29</f>
        <v>5125.3489047433195</v>
      </c>
      <c r="G29" s="7">
        <f t="shared" ref="G29:G34" si="5">P29</f>
        <v>2990.9010952566805</v>
      </c>
      <c r="H29" s="7">
        <f t="shared" ref="H29:H34" si="6">Q29</f>
        <v>0</v>
      </c>
      <c r="I29" s="7">
        <f t="shared" ref="I29:I34" si="7">R29</f>
        <v>8116.25</v>
      </c>
      <c r="K29" s="6">
        <v>7</v>
      </c>
      <c r="L29" s="6" t="s">
        <v>32</v>
      </c>
      <c r="M29" s="7">
        <v>3929.9800000000005</v>
      </c>
      <c r="N29" s="7">
        <v>1195.3689047433188</v>
      </c>
      <c r="O29" s="30">
        <v>5125.3489047433195</v>
      </c>
      <c r="P29" s="17">
        <v>2990.9010952566805</v>
      </c>
      <c r="Q29" s="7">
        <v>0</v>
      </c>
      <c r="R29" s="7">
        <f>O29+P29-Q29</f>
        <v>8116.25</v>
      </c>
      <c r="S29" s="5">
        <f t="shared" si="2"/>
        <v>0.76677316472307877</v>
      </c>
      <c r="T29" s="5"/>
    </row>
    <row r="30" spans="2:20" x14ac:dyDescent="0.3">
      <c r="B30" s="6">
        <v>6</v>
      </c>
      <c r="C30" s="6" t="s">
        <v>32</v>
      </c>
      <c r="D30" s="7">
        <f t="shared" ref="D30:D34" si="8">M30</f>
        <v>5753.47</v>
      </c>
      <c r="E30" s="7">
        <f t="shared" si="3"/>
        <v>1479.1496497370322</v>
      </c>
      <c r="F30" s="7">
        <f t="shared" si="4"/>
        <v>7232.6196497370329</v>
      </c>
      <c r="G30" s="7">
        <f t="shared" si="5"/>
        <v>2981.1403502629673</v>
      </c>
      <c r="H30" s="7">
        <f t="shared" si="6"/>
        <v>0</v>
      </c>
      <c r="I30" s="7">
        <f t="shared" si="7"/>
        <v>10213.76</v>
      </c>
      <c r="K30" s="6">
        <v>6</v>
      </c>
      <c r="L30" s="6" t="s">
        <v>32</v>
      </c>
      <c r="M30" s="7">
        <v>5753.47</v>
      </c>
      <c r="N30" s="7">
        <v>1479.1496497370322</v>
      </c>
      <c r="O30" s="30">
        <v>7232.6196497370329</v>
      </c>
      <c r="P30" s="17">
        <v>2981.1403502629673</v>
      </c>
      <c r="Q30" s="7">
        <v>0</v>
      </c>
      <c r="R30" s="7">
        <f t="shared" ref="R30:R34" si="9">O30+P30-Q30</f>
        <v>10213.76</v>
      </c>
      <c r="S30" s="5">
        <f t="shared" si="2"/>
        <v>0.79548908675284591</v>
      </c>
      <c r="T30" s="5"/>
    </row>
    <row r="31" spans="2:20" x14ac:dyDescent="0.3">
      <c r="B31" s="6">
        <v>5</v>
      </c>
      <c r="C31" s="6" t="s">
        <v>32</v>
      </c>
      <c r="D31" s="7">
        <f t="shared" si="8"/>
        <v>5747.48</v>
      </c>
      <c r="E31" s="7">
        <f t="shared" si="3"/>
        <v>1477.5099694741775</v>
      </c>
      <c r="F31" s="7">
        <f t="shared" si="4"/>
        <v>7224.9899694741771</v>
      </c>
      <c r="G31" s="7">
        <f t="shared" si="5"/>
        <v>2988.6900305258232</v>
      </c>
      <c r="H31" s="7">
        <f t="shared" si="6"/>
        <v>0</v>
      </c>
      <c r="I31" s="7">
        <f t="shared" si="7"/>
        <v>10213.68</v>
      </c>
      <c r="K31" s="6">
        <v>5</v>
      </c>
      <c r="L31" s="6" t="s">
        <v>32</v>
      </c>
      <c r="M31" s="7">
        <v>5747.48</v>
      </c>
      <c r="N31" s="7">
        <v>1477.5099694741775</v>
      </c>
      <c r="O31" s="30">
        <v>7224.9899694741771</v>
      </c>
      <c r="P31" s="17">
        <v>2988.6900305258232</v>
      </c>
      <c r="Q31" s="7">
        <v>0</v>
      </c>
      <c r="R31" s="7">
        <f t="shared" si="9"/>
        <v>10213.68</v>
      </c>
      <c r="S31" s="5">
        <f t="shared" si="2"/>
        <v>0.79550006633687986</v>
      </c>
      <c r="T31" s="5"/>
    </row>
    <row r="32" spans="2:20" x14ac:dyDescent="0.3">
      <c r="B32" s="6">
        <v>4</v>
      </c>
      <c r="C32" s="6" t="s">
        <v>32</v>
      </c>
      <c r="D32" s="7">
        <f t="shared" si="8"/>
        <v>5747.48</v>
      </c>
      <c r="E32" s="7">
        <f t="shared" si="3"/>
        <v>1477.5099694741775</v>
      </c>
      <c r="F32" s="7">
        <f t="shared" si="4"/>
        <v>7224.9899694741771</v>
      </c>
      <c r="G32" s="7">
        <f t="shared" si="5"/>
        <v>2988.6900305258232</v>
      </c>
      <c r="H32" s="7">
        <f t="shared" si="6"/>
        <v>0</v>
      </c>
      <c r="I32" s="7">
        <f t="shared" si="7"/>
        <v>10213.68</v>
      </c>
      <c r="K32" s="6">
        <v>4</v>
      </c>
      <c r="L32" s="6" t="s">
        <v>32</v>
      </c>
      <c r="M32" s="7">
        <v>5747.48</v>
      </c>
      <c r="N32" s="7">
        <v>1477.5099694741775</v>
      </c>
      <c r="O32" s="30">
        <v>7224.9899694741771</v>
      </c>
      <c r="P32" s="7">
        <v>2988.6900305258232</v>
      </c>
      <c r="Q32" s="7">
        <v>0</v>
      </c>
      <c r="R32" s="7">
        <f t="shared" si="9"/>
        <v>10213.68</v>
      </c>
      <c r="S32" s="5">
        <f t="shared" si="2"/>
        <v>0.79550006633687986</v>
      </c>
      <c r="T32" s="5"/>
    </row>
    <row r="33" spans="2:20" x14ac:dyDescent="0.3">
      <c r="B33" s="6">
        <v>3</v>
      </c>
      <c r="C33" s="6" t="s">
        <v>32</v>
      </c>
      <c r="D33" s="7">
        <f t="shared" si="8"/>
        <v>5747.48</v>
      </c>
      <c r="E33" s="7">
        <f t="shared" si="3"/>
        <v>1477.5099694741775</v>
      </c>
      <c r="F33" s="7">
        <f t="shared" si="4"/>
        <v>7224.9899694741771</v>
      </c>
      <c r="G33" s="7">
        <f t="shared" si="5"/>
        <v>2988.6900305258232</v>
      </c>
      <c r="H33" s="7">
        <f t="shared" si="6"/>
        <v>0</v>
      </c>
      <c r="I33" s="7">
        <f t="shared" si="7"/>
        <v>10213.68</v>
      </c>
      <c r="K33" s="6">
        <v>3</v>
      </c>
      <c r="L33" s="6" t="s">
        <v>32</v>
      </c>
      <c r="M33" s="7">
        <v>5747.48</v>
      </c>
      <c r="N33" s="7">
        <v>1477.5099694741775</v>
      </c>
      <c r="O33" s="30">
        <v>7224.9899694741771</v>
      </c>
      <c r="P33" s="7">
        <v>2988.6900305258232</v>
      </c>
      <c r="Q33" s="7">
        <v>0</v>
      </c>
      <c r="R33" s="7">
        <f t="shared" si="9"/>
        <v>10213.68</v>
      </c>
      <c r="S33" s="5">
        <f t="shared" si="2"/>
        <v>0.79550006633687986</v>
      </c>
      <c r="T33" s="5"/>
    </row>
    <row r="34" spans="2:20" x14ac:dyDescent="0.3">
      <c r="B34" s="6">
        <v>2</v>
      </c>
      <c r="C34" s="6" t="s">
        <v>32</v>
      </c>
      <c r="D34" s="7">
        <f t="shared" si="8"/>
        <v>5747.48</v>
      </c>
      <c r="E34" s="7">
        <f t="shared" si="3"/>
        <v>1477.5099694741775</v>
      </c>
      <c r="F34" s="7">
        <f t="shared" si="4"/>
        <v>7224.9899694741771</v>
      </c>
      <c r="G34" s="7">
        <f t="shared" si="5"/>
        <v>2988.6900305258232</v>
      </c>
      <c r="H34" s="7">
        <f t="shared" si="6"/>
        <v>0</v>
      </c>
      <c r="I34" s="7">
        <f t="shared" si="7"/>
        <v>10213.68</v>
      </c>
      <c r="K34" s="6">
        <v>2</v>
      </c>
      <c r="L34" s="6" t="s">
        <v>32</v>
      </c>
      <c r="M34" s="7">
        <v>5747.48</v>
      </c>
      <c r="N34" s="7">
        <v>1477.5099694741775</v>
      </c>
      <c r="O34" s="30">
        <v>7224.9899694741771</v>
      </c>
      <c r="P34" s="7">
        <v>2988.6900305258232</v>
      </c>
      <c r="Q34" s="7">
        <v>0</v>
      </c>
      <c r="R34" s="7">
        <f t="shared" si="9"/>
        <v>10213.68</v>
      </c>
      <c r="S34" s="5">
        <f t="shared" si="2"/>
        <v>0.79550006633687986</v>
      </c>
      <c r="T34" s="5"/>
    </row>
    <row r="35" spans="2:20" x14ac:dyDescent="0.3">
      <c r="B35" s="48">
        <v>1</v>
      </c>
      <c r="C35" s="6" t="s">
        <v>37</v>
      </c>
      <c r="D35" s="53">
        <f>SUM(M35:M38)-36.01</f>
        <v>5256.8400000000011</v>
      </c>
      <c r="E35" s="42">
        <f t="shared" ref="E35:I35" si="10">SUM(N35:N38)</f>
        <v>1622.1700000000003</v>
      </c>
      <c r="F35" s="42">
        <f t="shared" si="10"/>
        <v>6915.02</v>
      </c>
      <c r="G35" s="52">
        <f t="shared" si="10"/>
        <v>1564.99</v>
      </c>
      <c r="H35" s="37">
        <v>987.49</v>
      </c>
      <c r="I35" s="52">
        <f t="shared" si="10"/>
        <v>7492.52</v>
      </c>
      <c r="K35" s="48">
        <v>1</v>
      </c>
      <c r="L35" s="6" t="s">
        <v>37</v>
      </c>
      <c r="M35" s="7">
        <v>2781.8885012695955</v>
      </c>
      <c r="N35" s="7">
        <v>831.12397857146482</v>
      </c>
      <c r="O35" s="30">
        <v>3613.0124798410602</v>
      </c>
      <c r="P35" s="45">
        <v>1564.99</v>
      </c>
      <c r="Q35" s="37">
        <v>987.49</v>
      </c>
      <c r="R35" s="45">
        <f>SUM(O35:O38)+P35-Q35</f>
        <v>7492.52</v>
      </c>
      <c r="S35" s="5">
        <f t="shared" si="2"/>
        <v>0.76996371221833515</v>
      </c>
      <c r="T35" s="34" t="s">
        <v>40</v>
      </c>
    </row>
    <row r="36" spans="2:20" x14ac:dyDescent="0.3">
      <c r="B36" s="48"/>
      <c r="C36" s="6" t="s">
        <v>38</v>
      </c>
      <c r="D36" s="54"/>
      <c r="E36" s="43"/>
      <c r="F36" s="43"/>
      <c r="G36" s="52"/>
      <c r="H36" s="38"/>
      <c r="I36" s="52"/>
      <c r="K36" s="48"/>
      <c r="L36" s="6" t="s">
        <v>38</v>
      </c>
      <c r="M36" s="7">
        <v>2178.9414987304053</v>
      </c>
      <c r="N36" s="7">
        <v>650.9860214285352</v>
      </c>
      <c r="O36" s="30">
        <v>2829.9275201589408</v>
      </c>
      <c r="P36" s="46"/>
      <c r="Q36" s="38"/>
      <c r="R36" s="46"/>
      <c r="S36" s="5">
        <f t="shared" si="2"/>
        <v>0.76996371221833504</v>
      </c>
      <c r="T36" s="35"/>
    </row>
    <row r="37" spans="2:20" x14ac:dyDescent="0.3">
      <c r="B37" s="48"/>
      <c r="C37" s="6" t="s">
        <v>33</v>
      </c>
      <c r="D37" s="54"/>
      <c r="E37" s="43"/>
      <c r="F37" s="43"/>
      <c r="G37" s="52"/>
      <c r="H37" s="38"/>
      <c r="I37" s="52"/>
      <c r="K37" s="48"/>
      <c r="L37" s="6" t="s">
        <v>33</v>
      </c>
      <c r="M37" s="4">
        <v>157.30000000000001</v>
      </c>
      <c r="N37" s="4">
        <v>59.158999999999999</v>
      </c>
      <c r="O37" s="28">
        <f>M37+N37</f>
        <v>216.459</v>
      </c>
      <c r="P37" s="46"/>
      <c r="Q37" s="38"/>
      <c r="R37" s="46"/>
      <c r="S37" s="5">
        <f t="shared" si="2"/>
        <v>0.72669651065559759</v>
      </c>
      <c r="T37" s="35"/>
    </row>
    <row r="38" spans="2:20" x14ac:dyDescent="0.3">
      <c r="B38" s="48"/>
      <c r="C38" s="6" t="s">
        <v>34</v>
      </c>
      <c r="D38" s="55"/>
      <c r="E38" s="44"/>
      <c r="F38" s="44"/>
      <c r="G38" s="52"/>
      <c r="H38" s="39"/>
      <c r="I38" s="52"/>
      <c r="K38" s="48"/>
      <c r="L38" s="6" t="s">
        <v>34</v>
      </c>
      <c r="M38" s="26">
        <f>210.73-36.01</f>
        <v>174.72</v>
      </c>
      <c r="N38" s="4">
        <v>80.900999999999996</v>
      </c>
      <c r="O38" s="7">
        <f>M38+N38</f>
        <v>255.62099999999998</v>
      </c>
      <c r="P38" s="47"/>
      <c r="Q38" s="39"/>
      <c r="R38" s="47"/>
      <c r="S38" s="5">
        <f t="shared" si="2"/>
        <v>0.6835119180349033</v>
      </c>
      <c r="T38" s="36"/>
    </row>
    <row r="39" spans="2:20" x14ac:dyDescent="0.3">
      <c r="B39" s="6" t="s">
        <v>29</v>
      </c>
      <c r="C39" s="6" t="s">
        <v>31</v>
      </c>
      <c r="D39" s="7">
        <f>M39</f>
        <v>7459.33</v>
      </c>
      <c r="E39" s="7">
        <f t="shared" ref="E39:E40" si="11">N39</f>
        <v>1616.1222996857437</v>
      </c>
      <c r="F39" s="7">
        <f t="shared" ref="F39:F40" si="12">O39</f>
        <v>9075.4522996857431</v>
      </c>
      <c r="G39" s="27">
        <f t="shared" ref="G39:G40" si="13">P39</f>
        <v>3167.2677003142599</v>
      </c>
      <c r="H39" s="7">
        <f t="shared" ref="H39:H40" si="14">Q39</f>
        <v>0</v>
      </c>
      <c r="I39" s="7">
        <f t="shared" ref="I39:I40" si="15">R39</f>
        <v>12242.720000000003</v>
      </c>
      <c r="K39" s="6" t="s">
        <v>29</v>
      </c>
      <c r="L39" s="6" t="s">
        <v>31</v>
      </c>
      <c r="M39" s="7">
        <v>7459.33</v>
      </c>
      <c r="N39" s="7">
        <v>1616.1222996857437</v>
      </c>
      <c r="O39" s="7">
        <v>9075.4522996857431</v>
      </c>
      <c r="P39" s="27">
        <f>3171.29770031426-4.03</f>
        <v>3167.2677003142599</v>
      </c>
      <c r="Q39" s="7">
        <v>0</v>
      </c>
      <c r="R39" s="21">
        <f t="shared" ref="R39:R40" si="16">O39+P39-Q39</f>
        <v>12242.720000000003</v>
      </c>
      <c r="S39" s="5">
        <f t="shared" si="2"/>
        <v>0.8219237734584639</v>
      </c>
      <c r="T39" s="7"/>
    </row>
    <row r="40" spans="2:20" ht="17.25" thickBot="1" x14ac:dyDescent="0.35">
      <c r="B40" s="8" t="s">
        <v>30</v>
      </c>
      <c r="C40" s="8" t="s">
        <v>31</v>
      </c>
      <c r="D40" s="9">
        <f t="shared" ref="D40" si="17">M40</f>
        <v>7407.4400000000005</v>
      </c>
      <c r="E40" s="9">
        <f t="shared" si="11"/>
        <v>1611.4471730013508</v>
      </c>
      <c r="F40" s="9">
        <f t="shared" si="12"/>
        <v>9018.8871730013507</v>
      </c>
      <c r="G40" s="9">
        <f t="shared" si="13"/>
        <v>3406.7928269986496</v>
      </c>
      <c r="H40" s="9">
        <f t="shared" si="14"/>
        <v>0</v>
      </c>
      <c r="I40" s="9">
        <f t="shared" si="15"/>
        <v>12425.68</v>
      </c>
      <c r="K40" s="8" t="s">
        <v>30</v>
      </c>
      <c r="L40" s="8" t="s">
        <v>31</v>
      </c>
      <c r="M40" s="9">
        <v>7407.4400000000005</v>
      </c>
      <c r="N40" s="9">
        <v>1611.4471730013508</v>
      </c>
      <c r="O40" s="9">
        <v>9018.8871730013507</v>
      </c>
      <c r="P40" s="18">
        <v>3406.7928269986496</v>
      </c>
      <c r="Q40" s="9">
        <v>0</v>
      </c>
      <c r="R40" s="9">
        <f t="shared" si="16"/>
        <v>12425.68</v>
      </c>
      <c r="S40" s="10">
        <f t="shared" si="2"/>
        <v>0.82132527637940456</v>
      </c>
      <c r="T40" s="9"/>
    </row>
    <row r="41" spans="2:20" ht="17.25" thickTop="1" x14ac:dyDescent="0.3">
      <c r="B41" s="11" t="s">
        <v>35</v>
      </c>
      <c r="C41" s="11"/>
      <c r="D41" s="12">
        <f>SUM(D5:D40)</f>
        <v>54648.12</v>
      </c>
      <c r="E41" s="12">
        <f t="shared" ref="E41:I41" si="18">SUM(E5:E40)</f>
        <v>14325.449828566705</v>
      </c>
      <c r="F41" s="12">
        <f t="shared" si="18"/>
        <v>69009.579828566697</v>
      </c>
      <c r="G41" s="12">
        <f t="shared" si="18"/>
        <v>27412.460171433304</v>
      </c>
      <c r="H41" s="12">
        <f t="shared" si="18"/>
        <v>987.49</v>
      </c>
      <c r="I41" s="20">
        <f t="shared" si="18"/>
        <v>95434.549999999988</v>
      </c>
      <c r="K41" s="11" t="s">
        <v>35</v>
      </c>
      <c r="L41" s="11"/>
      <c r="M41" s="12">
        <f>SUM(M5:M40)</f>
        <v>54684.130000000005</v>
      </c>
      <c r="N41" s="12">
        <f t="shared" ref="N41:R41" si="19">SUM(N5:N40)</f>
        <v>14325.449828566703</v>
      </c>
      <c r="O41" s="12">
        <f t="shared" si="19"/>
        <v>69009.579828566712</v>
      </c>
      <c r="P41" s="12">
        <f>SUM(P5:P40)</f>
        <v>27412.460171433304</v>
      </c>
      <c r="Q41" s="12">
        <f t="shared" si="19"/>
        <v>987.49</v>
      </c>
      <c r="R41" s="20">
        <f t="shared" si="19"/>
        <v>95434.549999999988</v>
      </c>
      <c r="S41" s="12"/>
      <c r="T41" s="12"/>
    </row>
    <row r="42" spans="2:20" x14ac:dyDescent="0.3">
      <c r="D42" s="13"/>
      <c r="L42" s="14"/>
      <c r="O42" s="31">
        <f>O41-2.7</f>
        <v>69006.879828566714</v>
      </c>
      <c r="Q42" s="19"/>
    </row>
    <row r="44" spans="2:20" x14ac:dyDescent="0.3">
      <c r="N44" s="19"/>
    </row>
    <row r="45" spans="2:20" x14ac:dyDescent="0.3">
      <c r="P45" s="29"/>
      <c r="Q45" s="19"/>
    </row>
    <row r="46" spans="2:20" x14ac:dyDescent="0.3">
      <c r="P46" s="29"/>
    </row>
  </sheetData>
  <mergeCells count="31">
    <mergeCell ref="O3:O4"/>
    <mergeCell ref="B35:B38"/>
    <mergeCell ref="G35:G38"/>
    <mergeCell ref="I35:I38"/>
    <mergeCell ref="I3:I4"/>
    <mergeCell ref="B5:B28"/>
    <mergeCell ref="D5:D28"/>
    <mergeCell ref="E5:E28"/>
    <mergeCell ref="F5:F28"/>
    <mergeCell ref="G5:G28"/>
    <mergeCell ref="H5:H28"/>
    <mergeCell ref="I5:I28"/>
    <mergeCell ref="B3:C3"/>
    <mergeCell ref="D35:D38"/>
    <mergeCell ref="E35:E38"/>
    <mergeCell ref="T3:T4"/>
    <mergeCell ref="T35:T38"/>
    <mergeCell ref="Q35:Q38"/>
    <mergeCell ref="F3:F4"/>
    <mergeCell ref="K3:L3"/>
    <mergeCell ref="F35:F38"/>
    <mergeCell ref="H35:H38"/>
    <mergeCell ref="S3:S4"/>
    <mergeCell ref="R35:R38"/>
    <mergeCell ref="K35:K38"/>
    <mergeCell ref="P35:P38"/>
    <mergeCell ref="R3:R4"/>
    <mergeCell ref="K5:K28"/>
    <mergeCell ref="P5:P28"/>
    <mergeCell ref="Q5:Q28"/>
    <mergeCell ref="R5:R28"/>
  </mergeCells>
  <phoneticPr fontId="2" type="noConversion"/>
  <pageMargins left="0.25" right="0.25" top="0.75" bottom="0.75" header="0.3" footer="0.3"/>
  <pageSetup paperSize="9" scale="59" orientation="landscape" r:id="rId1"/>
  <ignoredErrors>
    <ignoredError sqref="D5:H5 R35 R5 E35:G35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FEBC-3FE7-4A97-9F07-706559902853}">
  <dimension ref="A2:E26"/>
  <sheetViews>
    <sheetView workbookViewId="0">
      <selection activeCell="F27" sqref="F27"/>
    </sheetView>
  </sheetViews>
  <sheetFormatPr defaultRowHeight="16.5" x14ac:dyDescent="0.3"/>
  <cols>
    <col min="2" max="2" width="37.625" customWidth="1"/>
    <col min="3" max="3" width="10.25" customWidth="1"/>
    <col min="4" max="4" width="9.875" customWidth="1"/>
    <col min="5" max="5" width="10.375" customWidth="1"/>
  </cols>
  <sheetData>
    <row r="2" spans="1:5" x14ac:dyDescent="0.3">
      <c r="A2" s="56" t="s">
        <v>0</v>
      </c>
      <c r="B2" s="57"/>
      <c r="C2" s="58" t="s">
        <v>1</v>
      </c>
      <c r="D2" s="58" t="s">
        <v>2</v>
      </c>
      <c r="E2" s="58" t="s">
        <v>43</v>
      </c>
    </row>
    <row r="3" spans="1:5" x14ac:dyDescent="0.3">
      <c r="A3" s="2" t="s">
        <v>3</v>
      </c>
      <c r="B3" s="2" t="s">
        <v>4</v>
      </c>
      <c r="C3" s="59"/>
      <c r="D3" s="59"/>
      <c r="E3" s="59"/>
    </row>
    <row r="4" spans="1:5" x14ac:dyDescent="0.3">
      <c r="A4" s="48">
        <v>8</v>
      </c>
      <c r="B4" s="15" t="s">
        <v>5</v>
      </c>
      <c r="C4" s="4">
        <v>233.71</v>
      </c>
      <c r="D4" s="4">
        <v>112.50965137254914</v>
      </c>
      <c r="E4" s="4">
        <v>346.21965137254915</v>
      </c>
    </row>
    <row r="5" spans="1:5" x14ac:dyDescent="0.3">
      <c r="A5" s="48"/>
      <c r="B5" s="16" t="s">
        <v>28</v>
      </c>
      <c r="C5" s="4">
        <v>67.099999999999994</v>
      </c>
      <c r="D5" s="4">
        <v>32.302415844842095</v>
      </c>
      <c r="E5" s="4">
        <v>99.402415844842096</v>
      </c>
    </row>
    <row r="6" spans="1:5" x14ac:dyDescent="0.3">
      <c r="A6" s="48"/>
      <c r="B6" s="16" t="s">
        <v>27</v>
      </c>
      <c r="C6" s="4">
        <v>142.5</v>
      </c>
      <c r="D6" s="4">
        <v>68.600510549776445</v>
      </c>
      <c r="E6" s="4">
        <v>211.10051054977646</v>
      </c>
    </row>
    <row r="7" spans="1:5" x14ac:dyDescent="0.3">
      <c r="A7" s="48"/>
      <c r="B7" s="16" t="s">
        <v>6</v>
      </c>
      <c r="C7" s="4">
        <v>628.5</v>
      </c>
      <c r="D7" s="4">
        <v>302.56435705638239</v>
      </c>
      <c r="E7" s="4">
        <v>931.06435705638239</v>
      </c>
    </row>
    <row r="8" spans="1:5" x14ac:dyDescent="0.3">
      <c r="A8" s="48"/>
      <c r="B8" s="16" t="s">
        <v>7</v>
      </c>
      <c r="C8" s="4">
        <v>19.559999999999999</v>
      </c>
      <c r="D8" s="4">
        <v>9.4163227112535228</v>
      </c>
      <c r="E8" s="4">
        <v>28.976322711253523</v>
      </c>
    </row>
    <row r="9" spans="1:5" x14ac:dyDescent="0.3">
      <c r="A9" s="48"/>
      <c r="B9" s="16" t="s">
        <v>8</v>
      </c>
      <c r="C9" s="4">
        <v>16.89</v>
      </c>
      <c r="D9" s="4">
        <v>8.1309657767419239</v>
      </c>
      <c r="E9" s="4">
        <v>25.020965776741924</v>
      </c>
    </row>
    <row r="10" spans="1:5" x14ac:dyDescent="0.3">
      <c r="A10" s="48"/>
      <c r="B10" s="16" t="s">
        <v>9</v>
      </c>
      <c r="C10" s="4">
        <v>16.89</v>
      </c>
      <c r="D10" s="4">
        <v>8.1309657767419239</v>
      </c>
      <c r="E10" s="4">
        <v>25.020965776741924</v>
      </c>
    </row>
    <row r="11" spans="1:5" x14ac:dyDescent="0.3">
      <c r="A11" s="48"/>
      <c r="B11" s="16" t="s">
        <v>10</v>
      </c>
      <c r="C11" s="4">
        <v>19.555</v>
      </c>
      <c r="D11" s="4">
        <v>9.4139156757956357</v>
      </c>
      <c r="E11" s="4">
        <v>28.968915675795635</v>
      </c>
    </row>
    <row r="12" spans="1:5" x14ac:dyDescent="0.3">
      <c r="A12" s="48"/>
      <c r="B12" s="16" t="s">
        <v>11</v>
      </c>
      <c r="C12" s="4">
        <v>16.89</v>
      </c>
      <c r="D12" s="4">
        <v>8.1309657767419239</v>
      </c>
      <c r="E12" s="4">
        <v>25.020965776741924</v>
      </c>
    </row>
    <row r="13" spans="1:5" x14ac:dyDescent="0.3">
      <c r="A13" s="48"/>
      <c r="B13" s="16" t="s">
        <v>12</v>
      </c>
      <c r="C13" s="4">
        <v>16.89</v>
      </c>
      <c r="D13" s="4">
        <v>8.1309657767419239</v>
      </c>
      <c r="E13" s="4">
        <v>25.020965776741924</v>
      </c>
    </row>
    <row r="14" spans="1:5" x14ac:dyDescent="0.3">
      <c r="A14" s="48"/>
      <c r="B14" s="16" t="s">
        <v>13</v>
      </c>
      <c r="C14" s="4">
        <v>16.89</v>
      </c>
      <c r="D14" s="4">
        <v>8.1309657767419239</v>
      </c>
      <c r="E14" s="4">
        <v>25.020965776741924</v>
      </c>
    </row>
    <row r="15" spans="1:5" x14ac:dyDescent="0.3">
      <c r="A15" s="48"/>
      <c r="B15" s="16" t="s">
        <v>14</v>
      </c>
      <c r="C15" s="4">
        <v>16.89</v>
      </c>
      <c r="D15" s="4">
        <v>8.1309657767419239</v>
      </c>
      <c r="E15" s="4">
        <v>25.020965776741924</v>
      </c>
    </row>
    <row r="16" spans="1:5" x14ac:dyDescent="0.3">
      <c r="A16" s="48"/>
      <c r="B16" s="6" t="s">
        <v>15</v>
      </c>
      <c r="C16" s="4">
        <v>19.555</v>
      </c>
      <c r="D16" s="4">
        <v>9.4139156757956357</v>
      </c>
      <c r="E16" s="4">
        <v>28.968915675795635</v>
      </c>
    </row>
    <row r="17" spans="1:5" x14ac:dyDescent="0.3">
      <c r="A17" s="48"/>
      <c r="B17" s="6" t="s">
        <v>16</v>
      </c>
      <c r="C17" s="4">
        <v>16.89</v>
      </c>
      <c r="D17" s="4">
        <v>8.1309657767419239</v>
      </c>
      <c r="E17" s="4">
        <v>25.020965776741924</v>
      </c>
    </row>
    <row r="18" spans="1:5" x14ac:dyDescent="0.3">
      <c r="A18" s="48"/>
      <c r="B18" s="6" t="s">
        <v>17</v>
      </c>
      <c r="C18" s="4">
        <v>16.89</v>
      </c>
      <c r="D18" s="4">
        <v>8.1309657767419239</v>
      </c>
      <c r="E18" s="4">
        <v>25.020965776741924</v>
      </c>
    </row>
    <row r="19" spans="1:5" x14ac:dyDescent="0.3">
      <c r="A19" s="48"/>
      <c r="B19" s="6" t="s">
        <v>18</v>
      </c>
      <c r="C19" s="4">
        <v>16.89</v>
      </c>
      <c r="D19" s="4">
        <v>8.1309657767419239</v>
      </c>
      <c r="E19" s="4">
        <v>25.020965776741924</v>
      </c>
    </row>
    <row r="20" spans="1:5" x14ac:dyDescent="0.3">
      <c r="A20" s="48"/>
      <c r="B20" s="6" t="s">
        <v>19</v>
      </c>
      <c r="C20" s="4">
        <v>16.89</v>
      </c>
      <c r="D20" s="4">
        <v>8.1309657767419239</v>
      </c>
      <c r="E20" s="4">
        <v>25.020965776741924</v>
      </c>
    </row>
    <row r="21" spans="1:5" x14ac:dyDescent="0.3">
      <c r="A21" s="48"/>
      <c r="B21" s="6" t="s">
        <v>20</v>
      </c>
      <c r="C21" s="4">
        <v>19.559999999999999</v>
      </c>
      <c r="D21" s="4">
        <v>9.4163227112535228</v>
      </c>
      <c r="E21" s="4">
        <v>28.976322711253523</v>
      </c>
    </row>
    <row r="22" spans="1:5" x14ac:dyDescent="0.3">
      <c r="A22" s="48"/>
      <c r="B22" s="6" t="s">
        <v>21</v>
      </c>
      <c r="C22" s="4">
        <v>16.89</v>
      </c>
      <c r="D22" s="4">
        <v>8.1309657767419239</v>
      </c>
      <c r="E22" s="4">
        <v>25.020965776741924</v>
      </c>
    </row>
    <row r="23" spans="1:5" x14ac:dyDescent="0.3">
      <c r="A23" s="48"/>
      <c r="B23" s="6" t="s">
        <v>22</v>
      </c>
      <c r="C23" s="4">
        <v>16.89</v>
      </c>
      <c r="D23" s="4">
        <v>8.1309657767419239</v>
      </c>
      <c r="E23" s="4">
        <v>25.020965776741924</v>
      </c>
    </row>
    <row r="24" spans="1:5" x14ac:dyDescent="0.3">
      <c r="A24" s="48"/>
      <c r="B24" s="6" t="s">
        <v>23</v>
      </c>
      <c r="C24" s="4">
        <v>16.89</v>
      </c>
      <c r="D24" s="4">
        <v>8.1309657767419239</v>
      </c>
      <c r="E24" s="4">
        <v>25.020965776741924</v>
      </c>
    </row>
    <row r="25" spans="1:5" x14ac:dyDescent="0.3">
      <c r="A25" s="48"/>
      <c r="B25" s="6" t="s">
        <v>24</v>
      </c>
      <c r="C25" s="4">
        <v>16.89</v>
      </c>
      <c r="D25" s="4">
        <v>8.1309657767419239</v>
      </c>
      <c r="E25" s="4">
        <v>25.020965776741924</v>
      </c>
    </row>
    <row r="26" spans="1:5" x14ac:dyDescent="0.3">
      <c r="A26" t="s">
        <v>44</v>
      </c>
    </row>
  </sheetData>
  <mergeCells count="5">
    <mergeCell ref="A2:B2"/>
    <mergeCell ref="C2:C3"/>
    <mergeCell ref="D2:D3"/>
    <mergeCell ref="E2:E3"/>
    <mergeCell ref="A4:A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안양물류센터 임대면적표_260415</vt:lpstr>
      <vt:lpstr>Sheet1</vt:lpstr>
      <vt:lpstr>'안양물류센터 임대면적표_260415'!Print_Area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순수</dc:creator>
  <cp:lastModifiedBy>김영환 </cp:lastModifiedBy>
  <cp:lastPrinted>2024-08-21T05:25:49Z</cp:lastPrinted>
  <dcterms:created xsi:type="dcterms:W3CDTF">2024-08-21T01:37:37Z</dcterms:created>
  <dcterms:modified xsi:type="dcterms:W3CDTF">2026-08-06T07:51:16Z</dcterms:modified>
</cp:coreProperties>
</file>