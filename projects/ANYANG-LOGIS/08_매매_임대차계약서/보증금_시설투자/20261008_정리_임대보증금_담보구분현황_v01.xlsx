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보증금 담보구분(상세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&quot;건&quot;"/>
    <numFmt numFmtId="166" formatCode="0.0%"/>
  </numFmts>
  <fonts count="5">
    <font>
      <name val="Calibri"/>
      <family val="2"/>
      <color theme="1"/>
      <sz val="11"/>
      <scheme val="minor"/>
    </font>
    <font>
      <name val="KoPub돋움체 Medium"/>
      <b val="1"/>
      <sz val="11"/>
    </font>
    <font>
      <name val="KoPub돋움체 Medium"/>
      <color rgb="FF595959"/>
      <sz val="9"/>
    </font>
    <font>
      <name val="KoPub돋움체 Medium"/>
      <b val="1"/>
      <sz val="10"/>
    </font>
    <font>
      <name val="KoPub돋움체 Medium"/>
      <sz val="10"/>
    </font>
  </fonts>
  <fills count="6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0" fontId="3" fillId="0" borderId="0" pivotButton="0" quotePrefix="0" xfId="0"/>
    <xf numFmtId="166" fontId="4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" customWidth="1" min="3" max="3"/>
    <col width="18" customWidth="1" min="4" max="4"/>
    <col width="10" customWidth="1" min="5" max="5"/>
    <col width="18" customWidth="1" min="6" max="6"/>
    <col width="50" customWidth="1" min="7" max="7"/>
  </cols>
  <sheetData>
    <row r="1">
      <c r="B1" s="1" t="inlineStr">
        <is>
          <t>■ 임대차보증금 담보 구분 요약</t>
        </is>
      </c>
    </row>
    <row r="2">
      <c r="B2" s="2" t="inlineStr">
        <is>
          <t>금액은 '보증금 담보구분(상세)' 시트를 수식으로 집계함</t>
        </is>
      </c>
    </row>
    <row r="4">
      <c r="B4" s="3" t="inlineStr">
        <is>
          <t>담보 구분</t>
        </is>
      </c>
      <c r="C4" s="3" t="inlineStr">
        <is>
          <t>건수
(목적물 기준)</t>
        </is>
      </c>
      <c r="D4" s="3" t="inlineStr">
        <is>
          <t>임대차보증금(원)</t>
        </is>
      </c>
      <c r="E4" s="3" t="inlineStr">
        <is>
          <t>비중</t>
        </is>
      </c>
      <c r="F4" s="3" t="inlineStr">
        <is>
          <t>질권설정금액(원)</t>
        </is>
      </c>
      <c r="G4" s="3" t="inlineStr">
        <is>
          <t>해당 임차인</t>
        </is>
      </c>
    </row>
    <row r="5">
      <c r="B5" s="4" t="inlineStr">
        <is>
          <t>① 담보신탁 1순위 우선수익권</t>
        </is>
      </c>
      <c r="C5" s="5">
        <f>COUNTIF('보증금 담보구분(상세)'!$H$5:$H$16,B5)</f>
        <v/>
      </c>
      <c r="D5" s="6">
        <f>SUMIF('보증금 담보구분(상세)'!$H$5:$H$16,B5,'보증금 담보구분(상세)'!$F$5:$F$16)</f>
        <v/>
      </c>
      <c r="E5" s="7">
        <f>D5/$D$8</f>
        <v/>
      </c>
      <c r="F5" s="6">
        <f>SUMIF('보증금 담보구분(상세)'!$H$5:$H$16,B5,'보증금 담보구분(상세)'!$L$5:$L$16)</f>
        <v/>
      </c>
      <c r="G5" s="4" t="inlineStr">
        <is>
          <t>쿠팡(지상 5~7층, 최초 임대차)</t>
        </is>
      </c>
    </row>
    <row r="6">
      <c r="B6" s="4" t="inlineStr">
        <is>
          <t>② 예금질권</t>
        </is>
      </c>
      <c r="C6" s="5">
        <f>COUNTIF('보증금 담보구분(상세)'!$H$5:$H$16,B6)</f>
        <v/>
      </c>
      <c r="D6" s="6">
        <f>SUMIF('보증금 담보구분(상세)'!$H$5:$H$16,B6,'보증금 담보구분(상세)'!$F$5:$F$16)</f>
        <v/>
      </c>
      <c r="E6" s="7">
        <f>D6/$D$8</f>
        <v/>
      </c>
      <c r="F6" s="6">
        <f>SUMIF('보증금 담보구분(상세)'!$H$5:$H$16,B6,'보증금 담보구분(상세)'!$L$5:$L$16)</f>
        <v/>
      </c>
      <c r="G6" s="4" t="inlineStr">
        <is>
          <t>쿠팡 5건, 농심, 용마로지스, 키즈밀, 지오영</t>
        </is>
      </c>
    </row>
    <row r="7">
      <c r="B7" s="4" t="inlineStr">
        <is>
          <t>③ 기타(담보 없음)</t>
        </is>
      </c>
      <c r="C7" s="5">
        <f>COUNTIF('보증금 담보구분(상세)'!$H$5:$H$16,B7)</f>
        <v/>
      </c>
      <c r="D7" s="6">
        <f>SUMIF('보증금 담보구분(상세)'!$H$5:$H$16,B7,'보증금 담보구분(상세)'!$F$5:$F$16)</f>
        <v/>
      </c>
      <c r="E7" s="7">
        <f>D7/$D$8</f>
        <v/>
      </c>
      <c r="F7" s="6">
        <f>SUMIF('보증금 담보구분(상세)'!$H$5:$H$16,B7,'보증금 담보구분(상세)'!$L$5:$L$16)</f>
        <v/>
      </c>
      <c r="G7" s="4" t="inlineStr">
        <is>
          <t>아이팜(보증금, 질권 미설정), 키즈밀 주차장(보증금 없음)</t>
        </is>
      </c>
    </row>
    <row r="8">
      <c r="B8" s="8" t="inlineStr">
        <is>
          <t>합계</t>
        </is>
      </c>
      <c r="C8" s="9">
        <f>SUM(C5:C7)</f>
        <v/>
      </c>
      <c r="D8" s="10">
        <f>SUM(D5:D7)</f>
        <v/>
      </c>
      <c r="E8" s="11">
        <f>SUM(E5:E7)</f>
        <v/>
      </c>
      <c r="F8" s="10">
        <f>SUM(F5:F7)</f>
        <v/>
      </c>
      <c r="G8" s="12" t="inlineStr"/>
    </row>
    <row r="10">
      <c r="B10" s="13" t="inlineStr">
        <is>
          <t>■ 쿠팡 보증금 구성</t>
        </is>
      </c>
    </row>
    <row r="11">
      <c r="B11" s="3" t="inlineStr">
        <is>
          <t>구분</t>
        </is>
      </c>
      <c r="C11" s="3" t="inlineStr">
        <is>
          <t>보증금(원)</t>
        </is>
      </c>
      <c r="D11" s="3" t="inlineStr">
        <is>
          <t>쿠팡 내 비중</t>
        </is>
      </c>
    </row>
    <row r="12">
      <c r="B12" s="4" t="inlineStr">
        <is>
          <t>담보신탁 1순위 우선수익권</t>
        </is>
      </c>
      <c r="C12" s="6">
        <f>SUMIFS('보증금 담보구분(상세)'!$F$5:$F$16,'보증금 담보구분(상세)'!$C$5:$C$16,"쿠팡㈜",'보증금 담보구분(상세)'!$H$5:$H$16,"① 담보신탁 1순위 우선수익권")</f>
        <v/>
      </c>
      <c r="D12" s="14">
        <f>C12/$C$14</f>
        <v/>
      </c>
    </row>
    <row r="13">
      <c r="B13" s="4" t="inlineStr">
        <is>
          <t>예금질권(5건)</t>
        </is>
      </c>
      <c r="C13" s="6">
        <f>SUMIFS('보증금 담보구분(상세)'!$F$5:$F$16,'보증금 담보구분(상세)'!$C$5:$C$16,"쿠팡㈜",'보증금 담보구분(상세)'!$H$5:$H$16,"② 예금질권")</f>
        <v/>
      </c>
      <c r="D13" s="14">
        <f>C13/$C$14</f>
        <v/>
      </c>
    </row>
    <row r="14">
      <c r="B14" s="8" t="inlineStr">
        <is>
          <t>쿠팡 합계</t>
        </is>
      </c>
      <c r="C14" s="10">
        <f>SUM(C12:C13)</f>
        <v/>
      </c>
      <c r="D14" s="15">
        <f>SUM(D12:D13)</f>
        <v/>
      </c>
    </row>
    <row r="16">
      <c r="B16" s="2" t="inlineStr">
        <is>
          <t>※ 거래종결 시 매수인 명의 신규 예금질권 계좌 예치 필요액 = ② 보증금 합계(약 50.7억원). 아이팜은 임차인 요청 시 설정.</t>
        </is>
      </c>
    </row>
    <row r="17">
      <c r="B17" s="2" t="inlineStr">
        <is>
          <t>※ 건수는 목적물(행) 기준 12건이며, 매매계약 별첨 6의 계약 기준으로는 11건(쿠팡 순번 3은 지상 2층·지하 1층 두 목적물, 키즈밀은 사무실·주차장 별도 계약).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3" customWidth="1" min="3" max="3"/>
    <col width="20" customWidth="1" min="4" max="4"/>
    <col width="22" customWidth="1" min="5" max="5"/>
    <col width="17" customWidth="1" min="6" max="6"/>
    <col width="15" customWidth="1" min="7" max="7"/>
    <col width="26" customWidth="1" min="8" max="8"/>
    <col width="10" customWidth="1" min="9" max="9"/>
    <col width="18" customWidth="1" min="10" max="10"/>
    <col width="16" customWidth="1" min="11" max="11"/>
    <col width="17" customWidth="1" min="12" max="12"/>
    <col width="12" customWidth="1" min="13" max="13"/>
    <col width="52" customWidth="1" min="14" max="14"/>
  </cols>
  <sheetData>
    <row r="1">
      <c r="B1" s="1" t="inlineStr">
        <is>
          <t>■ 안양물류센터 임대차보증금 담보 구분 현황 (거래종결 기준)</t>
        </is>
      </c>
    </row>
    <row r="2">
      <c r="B2" s="2" t="inlineStr">
        <is>
          <t>출처: 부동산매매계약서 v13(25729891.v13) 별첨 6·별첨 7.A~7.F, 부동산담보신탁계약서 통합본 별지(임대차계약등 내역), 담보대출약정서 v21 §8⑦·§9①·§11⑥, BKL 법률실사 5.7</t>
        </is>
      </c>
    </row>
    <row r="4" ht="30" customHeight="1">
      <c r="B4" s="3" t="inlineStr">
        <is>
          <t>순번</t>
        </is>
      </c>
      <c r="C4" s="3" t="inlineStr">
        <is>
          <t>임차인</t>
        </is>
      </c>
      <c r="D4" s="3" t="inlineStr">
        <is>
          <t>임대차목적물</t>
        </is>
      </c>
      <c r="E4" s="3" t="inlineStr">
        <is>
          <t>임대차기간</t>
        </is>
      </c>
      <c r="F4" s="3" t="inlineStr">
        <is>
          <t>임대차보증금(원)</t>
        </is>
      </c>
      <c r="G4" s="3" t="inlineStr">
        <is>
          <t>월 임대료(원)</t>
        </is>
      </c>
      <c r="H4" s="3" t="inlineStr">
        <is>
          <t>담보 구분</t>
        </is>
      </c>
      <c r="I4" s="3" t="inlineStr">
        <is>
          <t>개설은행</t>
        </is>
      </c>
      <c r="J4" s="3" t="inlineStr">
        <is>
          <t>예금주</t>
        </is>
      </c>
      <c r="K4" s="3" t="inlineStr">
        <is>
          <t>계좌번호</t>
        </is>
      </c>
      <c r="L4" s="3" t="inlineStr">
        <is>
          <t>질권설정금액(원)
(보증금+이자)</t>
        </is>
      </c>
      <c r="M4" s="3" t="inlineStr">
        <is>
          <t>계좌 만기</t>
        </is>
      </c>
      <c r="N4" s="3" t="inlineStr">
        <is>
          <t>근거·비고</t>
        </is>
      </c>
    </row>
    <row r="5">
      <c r="B5" s="16" t="n">
        <v>1</v>
      </c>
      <c r="C5" s="16" t="inlineStr">
        <is>
          <t>쿠팡㈜</t>
        </is>
      </c>
      <c r="D5" s="4" t="inlineStr">
        <is>
          <t>지상 5~7층</t>
        </is>
      </c>
      <c r="E5" s="16" t="inlineStr">
        <is>
          <t>2024.2.1 ~ 2034.4.30</t>
        </is>
      </c>
      <c r="F5" s="6" t="n">
        <v>2132586000</v>
      </c>
      <c r="G5" s="6" t="n">
        <v>373424695</v>
      </c>
      <c r="H5" s="17" t="inlineStr">
        <is>
          <t>① 담보신탁 1순위 우선수익권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6" t="n"/>
      <c r="M5" s="16" t="inlineStr">
        <is>
          <t>-</t>
        </is>
      </c>
      <c r="N5" s="4" t="inlineStr">
        <is>
          <t>2024.2.5 최초 임대차계약. 기존 신탁 1순위 소멸 → 신규 담보신탁 동일 금액 1순위(SPA 별첨7.A, 대출 §9①)</t>
        </is>
      </c>
    </row>
    <row r="6">
      <c r="B6" s="16" t="n">
        <v>2</v>
      </c>
      <c r="C6" s="16" t="inlineStr">
        <is>
          <t>쿠팡㈜</t>
        </is>
      </c>
      <c r="D6" s="4" t="inlineStr">
        <is>
          <t>지상 4층, 8층 일부</t>
        </is>
      </c>
      <c r="E6" s="16" t="inlineStr">
        <is>
          <t>2024.5.1 ~ 2034.4.30</t>
        </is>
      </c>
      <c r="F6" s="6" t="n">
        <v>832222008</v>
      </c>
      <c r="G6" s="6" t="n">
        <v>145725542</v>
      </c>
      <c r="H6" s="16" t="inlineStr">
        <is>
          <t>② 예금질권</t>
        </is>
      </c>
      <c r="I6" s="16" t="inlineStr">
        <is>
          <t>신한은행</t>
        </is>
      </c>
      <c r="J6" s="16" t="inlineStr">
        <is>
          <t>코크렙안양㈜김찬동</t>
        </is>
      </c>
      <c r="K6" s="16" t="inlineStr">
        <is>
          <t>207-017-540443</t>
        </is>
      </c>
      <c r="L6" s="6" t="n">
        <v>857004932</v>
      </c>
      <c r="M6" s="16" t="inlineStr">
        <is>
          <t>2027-06-25</t>
        </is>
      </c>
      <c r="N6" s="4" t="inlineStr">
        <is>
          <t>제1차 변경합의서(2024.3.28)</t>
        </is>
      </c>
    </row>
    <row r="7">
      <c r="B7" s="16" t="n">
        <v>3</v>
      </c>
      <c r="C7" s="16" t="inlineStr">
        <is>
          <t>쿠팡㈜</t>
        </is>
      </c>
      <c r="D7" s="4" t="inlineStr">
        <is>
          <t>지상 2층</t>
        </is>
      </c>
      <c r="E7" s="16" t="inlineStr">
        <is>
          <t>2025.1.1 ~ 2034.4.30</t>
        </is>
      </c>
      <c r="F7" s="6" t="n">
        <v>786801600</v>
      </c>
      <c r="G7" s="6" t="n">
        <v>134411940</v>
      </c>
      <c r="H7" s="16" t="inlineStr">
        <is>
          <t>② 예금질권</t>
        </is>
      </c>
      <c r="I7" s="16" t="inlineStr">
        <is>
          <t>신한은행</t>
        </is>
      </c>
      <c r="J7" s="16" t="inlineStr">
        <is>
          <t>코크렙안양㈜김원선</t>
        </is>
      </c>
      <c r="K7" s="16" t="inlineStr">
        <is>
          <t>207-028-452139</t>
        </is>
      </c>
      <c r="L7" s="6" t="n">
        <v>808553257</v>
      </c>
      <c r="M7" s="16" t="inlineStr">
        <is>
          <t>2028-01-05</t>
        </is>
      </c>
      <c r="N7" s="4" t="inlineStr">
        <is>
          <t>제3차 변경합의서(2024.12.23)</t>
        </is>
      </c>
    </row>
    <row r="8">
      <c r="B8" s="16" t="n">
        <v>3</v>
      </c>
      <c r="C8" s="16" t="inlineStr">
        <is>
          <t>쿠팡㈜</t>
        </is>
      </c>
      <c r="D8" s="4" t="inlineStr">
        <is>
          <t>지하 1층</t>
        </is>
      </c>
      <c r="E8" s="16" t="inlineStr">
        <is>
          <t>2025.4.1 ~ 2034.4.30</t>
        </is>
      </c>
      <c r="F8" s="6" t="n">
        <v>988315200</v>
      </c>
      <c r="G8" s="6" t="n">
        <v>168837180</v>
      </c>
      <c r="H8" s="16" t="inlineStr">
        <is>
          <t>② 예금질권</t>
        </is>
      </c>
      <c r="I8" s="16" t="inlineStr">
        <is>
          <t>신한은행</t>
        </is>
      </c>
      <c r="J8" s="16" t="inlineStr">
        <is>
          <t>코크렙안양㈜김원선</t>
        </is>
      </c>
      <c r="K8" s="16" t="inlineStr">
        <is>
          <t>207-013-200379</t>
        </is>
      </c>
      <c r="L8" s="6" t="n">
        <v>988315200</v>
      </c>
      <c r="M8" s="16" t="inlineStr">
        <is>
          <t>2027-04-01</t>
        </is>
      </c>
      <c r="N8" s="4" t="inlineStr">
        <is>
          <t>제3차 변경합의서(2024.12.23)</t>
        </is>
      </c>
    </row>
    <row r="9">
      <c r="B9" s="16" t="n">
        <v>4</v>
      </c>
      <c r="C9" s="16" t="inlineStr">
        <is>
          <t>쿠팡㈜</t>
        </is>
      </c>
      <c r="D9" s="4" t="inlineStr">
        <is>
          <t>지하 2층</t>
        </is>
      </c>
      <c r="E9" s="16" t="inlineStr">
        <is>
          <t>2025.12.1 ~ 2034.4.30</t>
        </is>
      </c>
      <c r="F9" s="6" t="n">
        <v>982155600</v>
      </c>
      <c r="G9" s="6" t="n">
        <v>163692600</v>
      </c>
      <c r="H9" s="16" t="inlineStr">
        <is>
          <t>② 예금질권</t>
        </is>
      </c>
      <c r="I9" s="16" t="inlineStr">
        <is>
          <t>신한은행</t>
        </is>
      </c>
      <c r="J9" s="16" t="inlineStr">
        <is>
          <t>코크렙안양㈜김원선</t>
        </is>
      </c>
      <c r="K9" s="16" t="inlineStr">
        <is>
          <t>207-025-964690</t>
        </is>
      </c>
      <c r="L9" s="6" t="n">
        <v>982155600</v>
      </c>
      <c r="M9" s="16" t="inlineStr">
        <is>
          <t>2027-12-01</t>
        </is>
      </c>
      <c r="N9" s="4" t="inlineStr">
        <is>
          <t>제4차 변경합의서(2025.11.24)</t>
        </is>
      </c>
    </row>
    <row r="10">
      <c r="B10" s="16" t="n">
        <v>5</v>
      </c>
      <c r="C10" s="16" t="inlineStr">
        <is>
          <t>쿠팡㈜</t>
        </is>
      </c>
      <c r="D10" s="4" t="inlineStr">
        <is>
          <t>지상 8층 일부(증평)</t>
        </is>
      </c>
      <c r="E10" s="16" t="inlineStr">
        <is>
          <t>2026.8.18 ~ 2034.4.30</t>
        </is>
      </c>
      <c r="F10" s="6" t="n">
        <v>32620110</v>
      </c>
      <c r="G10" s="6" t="n">
        <v>5436685</v>
      </c>
      <c r="H10" s="16" t="inlineStr">
        <is>
          <t>② 예금질권</t>
        </is>
      </c>
      <c r="I10" s="16" t="inlineStr">
        <is>
          <t>신한은행</t>
        </is>
      </c>
      <c r="J10" s="16" t="inlineStr">
        <is>
          <t>코크렙안양㈜김원선</t>
        </is>
      </c>
      <c r="K10" s="16" t="inlineStr">
        <is>
          <t>207-038-680442</t>
        </is>
      </c>
      <c r="L10" s="6" t="n">
        <v>32620110</v>
      </c>
      <c r="M10" s="16" t="inlineStr">
        <is>
          <t>2028-08-18</t>
        </is>
      </c>
      <c r="N10" s="4" t="inlineStr">
        <is>
          <t>제5차 변경합의서(2026.8.14)</t>
        </is>
      </c>
    </row>
    <row r="11">
      <c r="B11" s="16" t="n">
        <v>6</v>
      </c>
      <c r="C11" s="16" t="inlineStr">
        <is>
          <t>㈜농심</t>
        </is>
      </c>
      <c r="D11" s="4" t="inlineStr">
        <is>
          <t>지상 3층</t>
        </is>
      </c>
      <c r="E11" s="16" t="inlineStr">
        <is>
          <t>2024.7.30 ~ 2029.7.29</t>
        </is>
      </c>
      <c r="F11" s="6" t="n">
        <v>642552000</v>
      </c>
      <c r="G11" s="6" t="n">
        <v>107092000</v>
      </c>
      <c r="H11" s="16" t="inlineStr">
        <is>
          <t>② 예금질권</t>
        </is>
      </c>
      <c r="I11" s="16" t="inlineStr">
        <is>
          <t>신한은행</t>
        </is>
      </c>
      <c r="J11" s="16" t="inlineStr">
        <is>
          <t>코크렙안양㈜김원선</t>
        </is>
      </c>
      <c r="K11" s="16" t="inlineStr">
        <is>
          <t>207-019-508190</t>
        </is>
      </c>
      <c r="L11" s="6" t="n">
        <v>660273335</v>
      </c>
      <c r="M11" s="16" t="inlineStr">
        <is>
          <t>2027-07-31</t>
        </is>
      </c>
      <c r="N11" s="4" t="inlineStr">
        <is>
          <t>2024.5.14 임대차계약(2024.8.20 변경)</t>
        </is>
      </c>
    </row>
    <row r="12">
      <c r="B12" s="16" t="n">
        <v>7</v>
      </c>
      <c r="C12" s="16" t="inlineStr">
        <is>
          <t>용마로지스㈜</t>
        </is>
      </c>
      <c r="D12" s="4" t="inlineStr">
        <is>
          <t>지상 1층 일부</t>
        </is>
      </c>
      <c r="E12" s="16" t="inlineStr">
        <is>
          <t>2024.11.16 ~ 2030.1.31</t>
        </is>
      </c>
      <c r="F12" s="6" t="n">
        <v>308178000</v>
      </c>
      <c r="G12" s="6" t="n">
        <v>52647075</v>
      </c>
      <c r="H12" s="16" t="inlineStr">
        <is>
          <t>② 예금질권</t>
        </is>
      </c>
      <c r="I12" s="16" t="inlineStr">
        <is>
          <t>신한은행</t>
        </is>
      </c>
      <c r="J12" s="16" t="inlineStr">
        <is>
          <t>코크렙안양㈜김원선</t>
        </is>
      </c>
      <c r="K12" s="16" t="inlineStr">
        <is>
          <t>207-028-426258</t>
        </is>
      </c>
      <c r="L12" s="6" t="n">
        <v>316697796</v>
      </c>
      <c r="M12" s="16" t="inlineStr">
        <is>
          <t>2028-01-05</t>
        </is>
      </c>
      <c r="N12" s="4" t="inlineStr">
        <is>
          <t>2024.10.28 임대차계약</t>
        </is>
      </c>
    </row>
    <row r="13">
      <c r="B13" s="16" t="n">
        <v>8</v>
      </c>
      <c r="C13" s="16" t="inlineStr">
        <is>
          <t>㈜키즈밀</t>
        </is>
      </c>
      <c r="D13" s="4" t="inlineStr">
        <is>
          <t>지상 8층 일부</t>
        </is>
      </c>
      <c r="E13" s="16" t="inlineStr">
        <is>
          <t>2025.1.1 ~ 2029.12.31</t>
        </is>
      </c>
      <c r="F13" s="6" t="n">
        <v>100000000</v>
      </c>
      <c r="G13" s="6" t="n">
        <v>19654862</v>
      </c>
      <c r="H13" s="16" t="inlineStr">
        <is>
          <t>② 예금질권</t>
        </is>
      </c>
      <c r="I13" s="16" t="inlineStr">
        <is>
          <t>신한은행</t>
        </is>
      </c>
      <c r="J13" s="16" t="inlineStr">
        <is>
          <t>코크렙안양㈜김찬동</t>
        </is>
      </c>
      <c r="K13" s="16" t="inlineStr">
        <is>
          <t>207-012-647150</t>
        </is>
      </c>
      <c r="L13" s="6" t="n">
        <v>100000000</v>
      </c>
      <c r="M13" s="16" t="inlineStr">
        <is>
          <t>2027-03-24</t>
        </is>
      </c>
      <c r="N13" s="4" t="inlineStr">
        <is>
          <t>2024.11.27 임대차계약</t>
        </is>
      </c>
    </row>
    <row r="14">
      <c r="B14" s="16" t="n">
        <v>9</v>
      </c>
      <c r="C14" s="16" t="inlineStr">
        <is>
          <t>㈜키즈밀</t>
        </is>
      </c>
      <c r="D14" s="4" t="inlineStr">
        <is>
          <t>지상 8층 주차장 일부</t>
        </is>
      </c>
      <c r="E14" s="16" t="inlineStr">
        <is>
          <t>2025.7.1 ~ 2029.12.31</t>
        </is>
      </c>
      <c r="F14" s="6" t="n">
        <v>0</v>
      </c>
      <c r="G14" s="6" t="n">
        <v>200000</v>
      </c>
      <c r="H14" s="18" t="inlineStr">
        <is>
          <t>③ 기타(담보 없음)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6" t="n"/>
      <c r="M14" s="16" t="inlineStr">
        <is>
          <t>-</t>
        </is>
      </c>
      <c r="N14" s="4" t="inlineStr">
        <is>
          <t>보증금 없음, 월 사용료 200,000원(2025.6 추가 합의서)</t>
        </is>
      </c>
    </row>
    <row r="15">
      <c r="B15" s="16" t="n">
        <v>10</v>
      </c>
      <c r="C15" s="16" t="inlineStr">
        <is>
          <t>㈜지오영</t>
        </is>
      </c>
      <c r="D15" s="4" t="inlineStr">
        <is>
          <t>지상 1층 일부</t>
        </is>
      </c>
      <c r="E15" s="16" t="inlineStr">
        <is>
          <t>2025.2.1 ~ 2035.1.31</t>
        </is>
      </c>
      <c r="F15" s="6" t="n">
        <v>393456789</v>
      </c>
      <c r="G15" s="6" t="n">
        <v>67215535</v>
      </c>
      <c r="H15" s="16" t="inlineStr">
        <is>
          <t>② 예금질권</t>
        </is>
      </c>
      <c r="I15" s="16" t="inlineStr">
        <is>
          <t>신한은행</t>
        </is>
      </c>
      <c r="J15" s="16" t="inlineStr">
        <is>
          <t>코크렙안양(주)김찬동</t>
        </is>
      </c>
      <c r="K15" s="16" t="inlineStr">
        <is>
          <t>207-012-646478</t>
        </is>
      </c>
      <c r="L15" s="6" t="n">
        <v>393456789</v>
      </c>
      <c r="M15" s="16" t="inlineStr">
        <is>
          <t>2027-03-24</t>
        </is>
      </c>
      <c r="N15" s="4" t="inlineStr">
        <is>
          <t>2024.12.31 임대차계약</t>
        </is>
      </c>
    </row>
    <row r="16">
      <c r="B16" s="16" t="n">
        <v>11</v>
      </c>
      <c r="C16" s="16" t="inlineStr">
        <is>
          <t>아이팜㈜</t>
        </is>
      </c>
      <c r="D16" s="4" t="inlineStr">
        <is>
          <t>지상 1층 106호</t>
        </is>
      </c>
      <c r="E16" s="16" t="inlineStr">
        <is>
          <t>2025.5.1 ~ 2030.4.30</t>
        </is>
      </c>
      <c r="F16" s="6" t="n">
        <v>6224400</v>
      </c>
      <c r="G16" s="6" t="n">
        <v>1063335</v>
      </c>
      <c r="H16" s="18" t="inlineStr">
        <is>
          <t>③ 기타(담보 없음)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6" t="n"/>
      <c r="M16" s="16" t="inlineStr">
        <is>
          <t>-</t>
        </is>
      </c>
      <c r="N16" s="4" t="inlineStr">
        <is>
          <t>질권 미설정(신탁계약상 임차인 요청 시 설정)</t>
        </is>
      </c>
    </row>
    <row r="17">
      <c r="B17" s="8" t="inlineStr">
        <is>
          <t>합계</t>
        </is>
      </c>
      <c r="C17" s="19" t="n"/>
      <c r="D17" s="19" t="n"/>
      <c r="E17" s="19" t="n"/>
      <c r="F17" s="10">
        <f>SUM(F5:F16)</f>
        <v/>
      </c>
      <c r="G17" s="10">
        <f>SUM(G5:G16)</f>
        <v/>
      </c>
      <c r="H17" s="8">
        <f>COUNTA(H5:H16)&amp;"행 (계약 11건)"</f>
        <v/>
      </c>
      <c r="I17" s="19" t="n"/>
      <c r="J17" s="19" t="n"/>
      <c r="K17" s="19" t="n"/>
      <c r="L17" s="10">
        <f>SUM(L5:L16)</f>
        <v/>
      </c>
      <c r="M17" s="19" t="n"/>
      <c r="N17" s="19" t="n"/>
    </row>
    <row r="19">
      <c r="B19" s="2" t="inlineStr">
        <is>
          <t>※ 질권설정금액은 매도인 명의 기존 계좌 기준(보증금 + 예치 이자). 매수인은 거래종결일에 매수인 명의 신규 계좌에 보증금 상당액을 예치하고 신규 질권을 설정(대출 §8⑦, 대주 동의 불요).</t>
        </is>
      </c>
    </row>
    <row r="20">
      <c r="B20" s="2" t="inlineStr">
        <is>
          <t>※ 매도인 계좌의 기존 질권은 거래종결 후 해지 가능하며, 해지 후 예치금(이자 포함)은 매도인에게 귀속(SPA v13 §5.2(f), 대출 §11⑥(1)).</t>
        </is>
      </c>
    </row>
    <row r="21">
      <c r="B21" s="2" t="inlineStr">
        <is>
          <t>※ 쿠팡 지하 2층과 8층 증평분 계좌번호는 BKL 실사 자료상 207-025-964690으로 같게 적혀 있었으나, SPA v13 별첨 7.A는 8층 증평분을 207-038-680442로 구분 기재함(SPA 기준 표기).</t>
        </is>
      </c>
    </row>
  </sheetData>
  <mergeCells count="1">
    <mergeCell ref="B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2026-10-08T10:17:26Z</dcterms:created>
  <dcterms:modified xmlns:dcterms="http://purl.org/dc/terms/" xmlns:xsi="http://www.w3.org/2001/XMLSchema-instance" xsi:type="dcterms:W3CDTF">2026-10-08T10:17:26Z</dcterms:modified>
</cp:coreProperties>
</file>