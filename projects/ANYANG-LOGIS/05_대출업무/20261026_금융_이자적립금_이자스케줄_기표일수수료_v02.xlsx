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이자적립금" sheetId="2" state="visible" r:id="rId2"/>
    <sheet xmlns:r="http://schemas.openxmlformats.org/officeDocument/2006/relationships" name="이자기간" sheetId="3" state="visible" r:id="rId3"/>
    <sheet xmlns:r="http://schemas.openxmlformats.org/officeDocument/2006/relationships" name="CD금리" sheetId="4" state="visible" r:id="rId4"/>
    <sheet xmlns:r="http://schemas.openxmlformats.org/officeDocument/2006/relationships" name="기관별이자" sheetId="5" state="visible" r:id="rId5"/>
    <sheet xmlns:r="http://schemas.openxmlformats.org/officeDocument/2006/relationships" name="기표일수수료" sheetId="6" state="visible" r:id="rId6"/>
    <sheet xmlns:r="http://schemas.openxmlformats.org/officeDocument/2006/relationships" name="통지처_계좌" sheetId="7" state="visible" r:id="rId7"/>
    <sheet xmlns:r="http://schemas.openxmlformats.org/officeDocument/2006/relationships" name="대주목록" sheetId="8" state="visible" r:id="rId8"/>
    <sheet xmlns:r="http://schemas.openxmlformats.org/officeDocument/2006/relationships" name="휴일" sheetId="9" state="visible" r:id="rId9"/>
  </sheets>
  <definedNames>
    <definedName name="DrawDate">기본가정!$B$6</definedName>
    <definedName name="TermMonths">기본가정!$B$7</definedName>
    <definedName name="PeriodMonths">기본가정!$B$8</definedName>
    <definedName name="MaturityDate">기본가정!$B$9</definedName>
    <definedName name="RateA1">기본가정!$B$10</definedName>
    <definedName name="SpreadA2">기본가정!$B$11</definedName>
    <definedName name="CDDefault">기본가정!$B$12</definedName>
    <definedName name="RateB">기본가정!$B$13</definedName>
    <definedName name="Days365">기본가정!$B$14</definedName>
    <definedName name="Days366">기본가정!$B$15</definedName>
    <definedName name="LeapStart">기본가정!$B$16</definedName>
    <definedName name="LeapEnd">기본가정!$B$17</definedName>
    <definedName name="Holidays">휴일!$A$4:$A$65</definedName>
    <definedName name="CD1">CD금리!$J$5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(aaa)"/>
    <numFmt numFmtId="166" formatCode="#,##0;[Red]-#,##0"/>
    <numFmt numFmtId="167" formatCode="0.00%;;&quot;-&quot;"/>
    <numFmt numFmtId="168" formatCode="0.0000%"/>
  </numFmts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5" customWidth="1" min="3" max="3"/>
  </cols>
  <sheetData>
    <row r="1">
      <c r="A1" s="1" t="inlineStr">
        <is>
          <t>안양물류센터 담보대출 — 이자·이자적립금·기표일 수수료 계산 기본가정</t>
        </is>
      </c>
    </row>
    <row r="2">
      <c r="A2" s="2" t="inlineStr">
        <is>
          <t>노란 칸은 입력값입니다. 나머지 시트는 이 값과 '휴일' 시트를 참조해 자동 계산됩니다.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비고·근거</t>
        </is>
      </c>
    </row>
    <row r="5">
      <c r="A5" s="4" t="inlineStr">
        <is>
          <t>대출약정 체결일</t>
        </is>
      </c>
      <c r="B5" s="5" t="n">
        <v>46322</v>
      </c>
      <c r="C5" s="4" t="inlineStr">
        <is>
          <t>가정 (기준 일정 TIMELINE.md)</t>
        </is>
      </c>
    </row>
    <row r="6">
      <c r="A6" s="4" t="inlineStr">
        <is>
          <t>인출일(기표일)</t>
        </is>
      </c>
      <c r="B6" s="5" t="n">
        <v>46324</v>
      </c>
      <c r="C6" s="4" t="inlineStr">
        <is>
          <t>가정 (기준 일정). 최초 이자기간 시작일·이자율결정일</t>
        </is>
      </c>
    </row>
    <row r="7">
      <c r="A7" s="4" t="inlineStr">
        <is>
          <t>대출기간(개월)</t>
        </is>
      </c>
      <c r="B7" s="6" t="n">
        <v>24</v>
      </c>
      <c r="C7" s="4" t="inlineStr">
        <is>
          <t>대출약정서 제1조 '대출만기일': 인출일로부터 24개월 응당일</t>
        </is>
      </c>
    </row>
    <row r="8">
      <c r="A8" s="4" t="inlineStr">
        <is>
          <t>이자기간(개월)</t>
        </is>
      </c>
      <c r="B8" s="6" t="n">
        <v>3</v>
      </c>
      <c r="C8" s="4" t="inlineStr">
        <is>
          <t>대출약정서 제5조 제2항</t>
        </is>
      </c>
    </row>
    <row r="9">
      <c r="A9" s="4" t="inlineStr">
        <is>
          <t>대출만기일(영업일 조정)</t>
        </is>
      </c>
      <c r="B9" s="7">
        <f>WORKDAY(EDATE(DrawDate,TermMonths)-1,1,Holidays)</f>
        <v/>
      </c>
      <c r="C9" s="4" t="inlineStr">
        <is>
          <t>응당일이 영업일이 아니면 직후 영업일</t>
        </is>
      </c>
    </row>
    <row r="10">
      <c r="A10" s="4" t="inlineStr">
        <is>
          <t>Tranche A-1 금리(고정)</t>
        </is>
      </c>
      <c r="B10" s="8" t="n">
        <v>0.05</v>
      </c>
      <c r="C10" s="4" t="inlineStr">
        <is>
          <t>대출약정서 제5조 제1항: 연 5.00%</t>
        </is>
      </c>
    </row>
    <row r="11">
      <c r="A11" s="4" t="inlineStr">
        <is>
          <t>Tranche A-2 가산금리</t>
        </is>
      </c>
      <c r="B11" s="8" t="n">
        <v>0.0143</v>
      </c>
      <c r="C11" s="4" t="inlineStr">
        <is>
          <t>대출약정서 제5조 제1항: 기준금리 + 1.43%</t>
        </is>
      </c>
    </row>
    <row r="12">
      <c r="A12" s="4" t="inlineStr">
        <is>
          <t>Tranche A-2 기준금리 임시값</t>
        </is>
      </c>
      <c r="B12" s="8" t="n">
        <v>0.0324</v>
      </c>
      <c r="C12" s="4" t="inlineStr">
        <is>
          <t>[추정] 10/12 대주 엑셀 쿠폰 4.67% − 1.43%. 'CD금리' 시트에 1회차 3영업일(10/26·27·28) CD금리가 모두 입력되기 전까지만 사용</t>
        </is>
      </c>
    </row>
    <row r="13">
      <c r="A13" s="4" t="inlineStr">
        <is>
          <t>Tranche B 금리(고정)</t>
        </is>
      </c>
      <c r="B13" s="8" t="n">
        <v>0.06</v>
      </c>
      <c r="C13" s="4" t="inlineStr">
        <is>
          <t>대출약정서 제5조 제1항: 연 6.00%</t>
        </is>
      </c>
    </row>
    <row r="14">
      <c r="A14" s="4" t="inlineStr">
        <is>
          <t>평년 일수</t>
        </is>
      </c>
      <c r="B14" s="6" t="n">
        <v>365</v>
      </c>
      <c r="C14" s="4" t="inlineStr">
        <is>
          <t>대출약정서 제5조 제5항</t>
        </is>
      </c>
    </row>
    <row r="15">
      <c r="A15" s="4" t="inlineStr">
        <is>
          <t>윤년 일수</t>
        </is>
      </c>
      <c r="B15" s="6" t="n">
        <v>366</v>
      </c>
      <c r="C15" s="4" t="inlineStr">
        <is>
          <t>같은 항 '다만 윤년인 경우 366일'</t>
        </is>
      </c>
    </row>
    <row r="16">
      <c r="A16" s="4" t="inlineStr">
        <is>
          <t>윤년 시작일</t>
        </is>
      </c>
      <c r="B16" s="5" t="n">
        <v>46753</v>
      </c>
      <c r="C16" s="4" t="inlineStr">
        <is>
          <t>대출기간 중 윤년(2028년). 윤년에 속한 일수는 366일, 나머지는 365일로 나눠 계산 [대리은행 계산방식 확인 필요]</t>
        </is>
      </c>
    </row>
    <row r="17">
      <c r="A17" s="4" t="inlineStr">
        <is>
          <t>윤년 종료일</t>
        </is>
      </c>
      <c r="B17" s="5" t="n">
        <v>47118</v>
      </c>
      <c r="C17" s="4" t="inlineStr"/>
    </row>
    <row r="19">
      <c r="A19" s="9" t="inlineStr">
        <is>
          <t>계산 규칙 (대출약정서 최종본 제5조·제8조)</t>
        </is>
      </c>
    </row>
    <row r="20">
      <c r="A20" s="10" t="inlineStr">
        <is>
          <t>· 이자기간: 최초는 인출일~3개월 응당일, 이후는 직전 말일~다음 3개월 응당일, 마지막은 대출만기일까지. 말일이 영업일이 아니면 다음 영업일에 종료하되, 다음 기간 응당일은 원래 일정대로 계산</t>
        </is>
      </c>
    </row>
    <row r="21">
      <c r="A21" s="10" t="inlineStr">
        <is>
          <t>· 이자지급일: 각 이자기간 말일(영업일 조정). 후불</t>
        </is>
      </c>
    </row>
    <row r="22">
      <c r="A22" s="10" t="inlineStr">
        <is>
          <t>· 이자: 원금 × 연이율 × 일수 ÷ 365(윤년 366). 초일 산입·말일 불산입. 원 미만 절사(대주별·회차별)</t>
        </is>
      </c>
    </row>
    <row r="23">
      <c r="A23" s="10" t="inlineStr">
        <is>
          <t>· Tranche A-2 기준금리: 각 이자기간 초일(이자율결정일) 직전 3영업일 CD 91일물(금융투자협회 고시) 단순평균, 소수점 셋째 자리 반올림 → 'CD금리' 시트 노란 칸에 회차별 3일치 입력</t>
        </is>
      </c>
    </row>
    <row r="24">
      <c r="A24" s="10" t="inlineStr">
        <is>
          <t>· 이자적립금: 인출일 당일 Tranche별 '3개월분 이자 상당액'을 각 이자유보계좌에 적립(제8조). 본 파일은 최초 이자기간(인출일~첫 이자지급일) 실제 일수 기준으로 산정하고, 연이자×3/12 방식도 참고로 표시 [대리은행 확인 필요]</t>
        </is>
      </c>
    </row>
    <row r="25">
      <c r="A25" s="10" t="inlineStr">
        <is>
          <t>· 휴일: '휴일' 시트 목록(공휴일·대체공휴일·근로자의 날·연말 은행 휴무). 임시공휴일 지정 시 추가 입력</t>
        </is>
      </c>
    </row>
    <row r="26">
      <c r="A26" s="10" t="inlineStr">
        <is>
          <t>· 수익 확약이 아닌 계산 도구이며, 실제 청구액은 대리은행(우리은행) 이자계산서를 기준으로 확인</t>
        </is>
      </c>
    </row>
  </sheetData>
  <mergeCells count="8">
    <mergeCell ref="A25:C25"/>
    <mergeCell ref="A19:C19"/>
    <mergeCell ref="A23:C23"/>
    <mergeCell ref="A22:C22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0" customWidth="1" min="4" max="4"/>
    <col width="26" customWidth="1" min="5" max="5"/>
    <col width="7" customWidth="1" min="6" max="6"/>
    <col width="22" customWidth="1" min="7" max="7"/>
    <col width="20" customWidth="1" min="8" max="8"/>
    <col width="14" customWidth="1" min="9" max="9"/>
  </cols>
  <sheetData>
    <row r="1">
      <c r="A1" s="1" t="inlineStr">
        <is>
          <t>인출일 이자적립금 — Tranche별 이자유보계좌 (예금채권근질권 대상)</t>
        </is>
      </c>
    </row>
    <row r="2">
      <c r="A2" s="2" t="inlineStr">
        <is>
          <t>대출약정서 제8조: 인출일 당일 Tranche A·B 대출금의 각 3개월분 이자 상당액을 각 이자유보계좌에 적립. 예금채권근질권설정계약 별지2 근질권대상계좌.</t>
        </is>
      </c>
    </row>
    <row r="4" ht="34" customHeight="1">
      <c r="A4" s="3" t="inlineStr">
        <is>
          <t>구분</t>
        </is>
      </c>
      <c r="B4" s="3" t="inlineStr">
        <is>
          <t>이자유보계좌(우리은행)</t>
        </is>
      </c>
      <c r="C4" s="3" t="inlineStr">
        <is>
          <t>대출약정금</t>
        </is>
      </c>
      <c r="D4" s="3" t="inlineStr">
        <is>
          <t>적용금리</t>
        </is>
      </c>
      <c r="E4" s="3" t="inlineStr">
        <is>
          <t>산정기간</t>
        </is>
      </c>
      <c r="F4" s="3" t="inlineStr">
        <is>
          <t>일수</t>
        </is>
      </c>
      <c r="G4" s="3" t="inlineStr">
        <is>
          <t>이자적립금
(최초 이자기간 실일수, 적립 기준)</t>
        </is>
      </c>
      <c r="H4" s="3" t="inlineStr">
        <is>
          <t>참고: 연이자 × 3/12</t>
        </is>
      </c>
      <c r="I4" s="3" t="inlineStr">
        <is>
          <t>차이</t>
        </is>
      </c>
    </row>
    <row r="5">
      <c r="A5" s="4" t="inlineStr">
        <is>
          <t xml:space="preserve">  Tranche A-1</t>
        </is>
      </c>
      <c r="B5" s="11" t="n"/>
      <c r="C5" s="12">
        <f>SUMIF(대주목록!$B$4:$B$28,"A-1",대주목록!$D$4:$D$28)</f>
        <v/>
      </c>
      <c r="D5" s="13">
        <f>RateA1</f>
        <v/>
      </c>
      <c r="E5" s="11">
        <f>TEXT(이자기간!B5,"yyyy-mm-dd")&amp;" ~ "&amp;TEXT(이자기간!D5,"yyyy-mm-dd")</f>
        <v/>
      </c>
      <c r="F5" s="11">
        <f>이자기간!E5</f>
        <v/>
      </c>
      <c r="G5" s="12">
        <f>SUMIF(기관별이자!$B$5:$B$29,"A-1",기관별이자!$E$5:$E$29)</f>
        <v/>
      </c>
      <c r="H5" s="12">
        <f>ROUNDDOWN(C5*D5*3/12,0)</f>
        <v/>
      </c>
      <c r="I5" s="12">
        <f>G5-H5</f>
        <v/>
      </c>
    </row>
    <row r="6">
      <c r="A6" s="4" t="inlineStr">
        <is>
          <t xml:space="preserve">  Tranche A-2</t>
        </is>
      </c>
      <c r="B6" s="11" t="n"/>
      <c r="C6" s="12">
        <f>SUMIF(대주목록!$B$4:$B$28,"A-2",대주목록!$D$4:$D$28)</f>
        <v/>
      </c>
      <c r="D6" s="13">
        <f>이자기간!I5</f>
        <v/>
      </c>
      <c r="E6" s="11">
        <f>TEXT(이자기간!B5,"yyyy-mm-dd")&amp;" ~ "&amp;TEXT(이자기간!D5,"yyyy-mm-dd")</f>
        <v/>
      </c>
      <c r="F6" s="11">
        <f>이자기간!E5</f>
        <v/>
      </c>
      <c r="G6" s="12">
        <f>SUMIF(기관별이자!$B$5:$B$29,"A-2",기관별이자!$E$5:$E$29)</f>
        <v/>
      </c>
      <c r="H6" s="12">
        <f>ROUNDDOWN(C6*D6*3/12,0)</f>
        <v/>
      </c>
      <c r="I6" s="12">
        <f>G6-H6</f>
        <v/>
      </c>
    </row>
    <row r="7">
      <c r="A7" s="14" t="inlineStr">
        <is>
          <t>Tranche A 이자적립금</t>
        </is>
      </c>
      <c r="B7" s="15" t="inlineStr">
        <is>
          <t>1005-504-965088</t>
        </is>
      </c>
      <c r="C7" s="16">
        <f>C5+C6</f>
        <v/>
      </c>
      <c r="D7" s="17" t="n"/>
      <c r="E7" s="15" t="n"/>
      <c r="F7" s="15" t="n"/>
      <c r="G7" s="16">
        <f>G5+G6</f>
        <v/>
      </c>
      <c r="H7" s="16">
        <f>H5+H6</f>
        <v/>
      </c>
      <c r="I7" s="16">
        <f>G7-H7</f>
        <v/>
      </c>
    </row>
    <row r="8">
      <c r="A8" s="14" t="inlineStr">
        <is>
          <t>Tranche B 이자적립금</t>
        </is>
      </c>
      <c r="B8" s="15" t="inlineStr">
        <is>
          <t>1005-504-970089</t>
        </is>
      </c>
      <c r="C8" s="16">
        <f>SUMIF(대주목록!$B$4:$B$28,"B",대주목록!$D$4:$D$28)</f>
        <v/>
      </c>
      <c r="D8" s="17">
        <f>RateB</f>
        <v/>
      </c>
      <c r="E8" s="15">
        <f>E5</f>
        <v/>
      </c>
      <c r="F8" s="15">
        <f>F5</f>
        <v/>
      </c>
      <c r="G8" s="16">
        <f>SUMIF(기관별이자!$B$5:$B$29,"B",기관별이자!$E$5:$E$29)</f>
        <v/>
      </c>
      <c r="H8" s="16">
        <f>ROUNDDOWN(C8*D8*3/12,0)</f>
        <v/>
      </c>
      <c r="I8" s="16">
        <f>G8-H8</f>
        <v/>
      </c>
    </row>
    <row r="9">
      <c r="A9" s="18" t="inlineStr">
        <is>
          <t>합계 (인출일 적립 필요액)</t>
        </is>
      </c>
      <c r="B9" s="19" t="n"/>
      <c r="C9" s="20">
        <f>C7+C8</f>
        <v/>
      </c>
      <c r="D9" s="21" t="n"/>
      <c r="E9" s="19" t="n"/>
      <c r="F9" s="19" t="n"/>
      <c r="G9" s="20">
        <f>G7+G8</f>
        <v/>
      </c>
      <c r="H9" s="20">
        <f>H7+H8</f>
        <v/>
      </c>
      <c r="I9" s="20">
        <f>G9-H9</f>
        <v/>
      </c>
    </row>
    <row r="11">
      <c r="A11" s="2" t="inlineStr">
        <is>
          <t>※ 적립 기준(G열)은 최초 이자기간(인출일~첫 이자지급일)의 실제 일수로 대주별 이자를 계산해 원 미만을 절사한 뒤 합산한 금액입니다. 첫 이자지급일에 실제로 지급할 이자와 같습니다.</t>
        </is>
      </c>
    </row>
    <row r="12">
      <c r="A12" s="2" t="inlineStr">
        <is>
          <t>※ '3개월분 이자 상당액'의 산정 방식(실일수 / 연이자×3/12)은 약정서에 정해져 있지 않으므로, 적립 전 대리은행(우리은행)과 확인하세요 [확인 필요].</t>
        </is>
      </c>
    </row>
    <row r="13">
      <c r="A13" s="2" t="inlineStr">
        <is>
          <t>※ Tranche A-2는 'CD금리' 시트에 1회차 결정일(10/26·27·28) CD금리 3개를 입력하면 확정됩니다. 입력 전에는 기본가정의 임시값 [추정]이 적용됩니다.</t>
        </is>
      </c>
    </row>
    <row r="14">
      <c r="A14" s="2" t="inlineStr">
        <is>
          <t>※ 이자적립금은 대출금 중에서 적립할 수 있습니다(대출약정서 제2조 자금용도). 예금채권근질권 채권최고액(1순위 1,920억·2순위 456억)은 적립액과 무관합니다.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6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17" customWidth="1" min="12" max="12"/>
    <col width="16" customWidth="1" min="13" max="13"/>
    <col width="17" customWidth="1" min="14" max="14"/>
  </cols>
  <sheetData>
    <row r="1">
      <c r="A1" s="1" t="inlineStr">
        <is>
          <t>이자기간별 이자지급 스케줄 (인출일 기준 3개월 단위, 후불)</t>
        </is>
      </c>
    </row>
    <row r="2">
      <c r="A2" s="2" t="inlineStr">
        <is>
          <t>Tranche A-2 기준금리(H열)는 'CD금리' 시트에서 회차별 이자율결정일 직전 3영업일 CD금리 평균으로 자동 반영됩니다. 3일치가 다 입력되지 않은 회차는 직전 회차 금리(1회차는 기본가정 임시값)를 씁니다.</t>
        </is>
      </c>
    </row>
    <row r="4" ht="34" customHeight="1">
      <c r="A4" s="3" t="inlineStr">
        <is>
          <t>회차</t>
        </is>
      </c>
      <c r="B4" s="3" t="inlineStr">
        <is>
          <t>이자기간 시작일
(이자율결정일)</t>
        </is>
      </c>
      <c r="C4" s="3" t="inlineStr">
        <is>
          <t>응당일(명목)</t>
        </is>
      </c>
      <c r="D4" s="3" t="inlineStr">
        <is>
          <t>이자기간 말일
= 이자지급일</t>
        </is>
      </c>
      <c r="E4" s="3" t="inlineStr">
        <is>
          <t>일수</t>
        </is>
      </c>
      <c r="F4" s="3" t="inlineStr">
        <is>
          <t>윤년 일수</t>
        </is>
      </c>
      <c r="G4" s="3" t="inlineStr">
        <is>
          <t>평년 일수</t>
        </is>
      </c>
      <c r="H4" s="3" t="inlineStr">
        <is>
          <t>A-2 기준금리
(CD 91일)</t>
        </is>
      </c>
      <c r="I4" s="3" t="inlineStr">
        <is>
          <t>A-2 적용금리</t>
        </is>
      </c>
      <c r="J4" s="3" t="inlineStr">
        <is>
          <t>Tranche A-1 이자</t>
        </is>
      </c>
      <c r="K4" s="3" t="inlineStr">
        <is>
          <t>Tranche A-2 이자</t>
        </is>
      </c>
      <c r="L4" s="3" t="inlineStr">
        <is>
          <t>Tranche A 소계</t>
        </is>
      </c>
      <c r="M4" s="3" t="inlineStr">
        <is>
          <t>Tranche B 이자</t>
        </is>
      </c>
      <c r="N4" s="3" t="inlineStr">
        <is>
          <t>합계</t>
        </is>
      </c>
    </row>
    <row r="5">
      <c r="A5" s="11" t="n">
        <v>1</v>
      </c>
      <c r="B5" s="22">
        <f>DrawDate</f>
        <v/>
      </c>
      <c r="C5" s="22">
        <f>EDATE(DrawDate,PeriodMonths*A5)</f>
        <v/>
      </c>
      <c r="D5" s="22">
        <f>WORKDAY(C5-1,1,Holidays)</f>
        <v/>
      </c>
      <c r="E5" s="23">
        <f>D5-B5</f>
        <v/>
      </c>
      <c r="F5" s="23">
        <f>MAX(0,MIN(D5,LeapEnd+1)-MAX(B5,LeapStart))</f>
        <v/>
      </c>
      <c r="G5" s="23">
        <f>E5-F5</f>
        <v/>
      </c>
      <c r="H5" s="13">
        <f>CD금리!J5</f>
        <v/>
      </c>
      <c r="I5" s="13">
        <f>H5+SpreadA2</f>
        <v/>
      </c>
      <c r="J5" s="12">
        <f>SUMIF(기관별이자!$B$5:$B$29,"A-1",기관별이자!E$5:E$29)</f>
        <v/>
      </c>
      <c r="K5" s="12">
        <f>SUMIF(기관별이자!$B$5:$B$29,"A-2",기관별이자!E$5:E$29)</f>
        <v/>
      </c>
      <c r="L5" s="12">
        <f>J5+K5</f>
        <v/>
      </c>
      <c r="M5" s="12">
        <f>SUMIF(기관별이자!$B$5:$B$29,"B",기관별이자!E$5:E$29)</f>
        <v/>
      </c>
      <c r="N5" s="12">
        <f>L5+M5</f>
        <v/>
      </c>
    </row>
    <row r="6">
      <c r="A6" s="11" t="n">
        <v>2</v>
      </c>
      <c r="B6" s="22">
        <f>D5</f>
        <v/>
      </c>
      <c r="C6" s="22">
        <f>EDATE(DrawDate,PeriodMonths*A6)</f>
        <v/>
      </c>
      <c r="D6" s="22">
        <f>WORKDAY(C6-1,1,Holidays)</f>
        <v/>
      </c>
      <c r="E6" s="23">
        <f>D6-B6</f>
        <v/>
      </c>
      <c r="F6" s="23">
        <f>MAX(0,MIN(D6,LeapEnd+1)-MAX(B6,LeapStart))</f>
        <v/>
      </c>
      <c r="G6" s="23">
        <f>E6-F6</f>
        <v/>
      </c>
      <c r="H6" s="13">
        <f>CD금리!J6</f>
        <v/>
      </c>
      <c r="I6" s="13">
        <f>H6+SpreadA2</f>
        <v/>
      </c>
      <c r="J6" s="12">
        <f>SUMIF(기관별이자!$B$5:$B$29,"A-1",기관별이자!F$5:F$29)</f>
        <v/>
      </c>
      <c r="K6" s="12">
        <f>SUMIF(기관별이자!$B$5:$B$29,"A-2",기관별이자!F$5:F$29)</f>
        <v/>
      </c>
      <c r="L6" s="12">
        <f>J6+K6</f>
        <v/>
      </c>
      <c r="M6" s="12">
        <f>SUMIF(기관별이자!$B$5:$B$29,"B",기관별이자!F$5:F$29)</f>
        <v/>
      </c>
      <c r="N6" s="12">
        <f>L6+M6</f>
        <v/>
      </c>
    </row>
    <row r="7">
      <c r="A7" s="11" t="n">
        <v>3</v>
      </c>
      <c r="B7" s="22">
        <f>D6</f>
        <v/>
      </c>
      <c r="C7" s="22">
        <f>EDATE(DrawDate,PeriodMonths*A7)</f>
        <v/>
      </c>
      <c r="D7" s="22">
        <f>WORKDAY(C7-1,1,Holidays)</f>
        <v/>
      </c>
      <c r="E7" s="23">
        <f>D7-B7</f>
        <v/>
      </c>
      <c r="F7" s="23">
        <f>MAX(0,MIN(D7,LeapEnd+1)-MAX(B7,LeapStart))</f>
        <v/>
      </c>
      <c r="G7" s="23">
        <f>E7-F7</f>
        <v/>
      </c>
      <c r="H7" s="13">
        <f>CD금리!J7</f>
        <v/>
      </c>
      <c r="I7" s="13">
        <f>H7+SpreadA2</f>
        <v/>
      </c>
      <c r="J7" s="12">
        <f>SUMIF(기관별이자!$B$5:$B$29,"A-1",기관별이자!G$5:G$29)</f>
        <v/>
      </c>
      <c r="K7" s="12">
        <f>SUMIF(기관별이자!$B$5:$B$29,"A-2",기관별이자!G$5:G$29)</f>
        <v/>
      </c>
      <c r="L7" s="12">
        <f>J7+K7</f>
        <v/>
      </c>
      <c r="M7" s="12">
        <f>SUMIF(기관별이자!$B$5:$B$29,"B",기관별이자!G$5:G$29)</f>
        <v/>
      </c>
      <c r="N7" s="12">
        <f>L7+M7</f>
        <v/>
      </c>
    </row>
    <row r="8">
      <c r="A8" s="11" t="n">
        <v>4</v>
      </c>
      <c r="B8" s="22">
        <f>D7</f>
        <v/>
      </c>
      <c r="C8" s="22">
        <f>EDATE(DrawDate,PeriodMonths*A8)</f>
        <v/>
      </c>
      <c r="D8" s="22">
        <f>WORKDAY(C8-1,1,Holidays)</f>
        <v/>
      </c>
      <c r="E8" s="23">
        <f>D8-B8</f>
        <v/>
      </c>
      <c r="F8" s="23">
        <f>MAX(0,MIN(D8,LeapEnd+1)-MAX(B8,LeapStart))</f>
        <v/>
      </c>
      <c r="G8" s="23">
        <f>E8-F8</f>
        <v/>
      </c>
      <c r="H8" s="13">
        <f>CD금리!J8</f>
        <v/>
      </c>
      <c r="I8" s="13">
        <f>H8+SpreadA2</f>
        <v/>
      </c>
      <c r="J8" s="12">
        <f>SUMIF(기관별이자!$B$5:$B$29,"A-1",기관별이자!H$5:H$29)</f>
        <v/>
      </c>
      <c r="K8" s="12">
        <f>SUMIF(기관별이자!$B$5:$B$29,"A-2",기관별이자!H$5:H$29)</f>
        <v/>
      </c>
      <c r="L8" s="12">
        <f>J8+K8</f>
        <v/>
      </c>
      <c r="M8" s="12">
        <f>SUMIF(기관별이자!$B$5:$B$29,"B",기관별이자!H$5:H$29)</f>
        <v/>
      </c>
      <c r="N8" s="12">
        <f>L8+M8</f>
        <v/>
      </c>
    </row>
    <row r="9">
      <c r="A9" s="11" t="n">
        <v>5</v>
      </c>
      <c r="B9" s="22">
        <f>D8</f>
        <v/>
      </c>
      <c r="C9" s="22">
        <f>EDATE(DrawDate,PeriodMonths*A9)</f>
        <v/>
      </c>
      <c r="D9" s="22">
        <f>WORKDAY(C9-1,1,Holidays)</f>
        <v/>
      </c>
      <c r="E9" s="23">
        <f>D9-B9</f>
        <v/>
      </c>
      <c r="F9" s="23">
        <f>MAX(0,MIN(D9,LeapEnd+1)-MAX(B9,LeapStart))</f>
        <v/>
      </c>
      <c r="G9" s="23">
        <f>E9-F9</f>
        <v/>
      </c>
      <c r="H9" s="13">
        <f>CD금리!J9</f>
        <v/>
      </c>
      <c r="I9" s="13">
        <f>H9+SpreadA2</f>
        <v/>
      </c>
      <c r="J9" s="12">
        <f>SUMIF(기관별이자!$B$5:$B$29,"A-1",기관별이자!I$5:I$29)</f>
        <v/>
      </c>
      <c r="K9" s="12">
        <f>SUMIF(기관별이자!$B$5:$B$29,"A-2",기관별이자!I$5:I$29)</f>
        <v/>
      </c>
      <c r="L9" s="12">
        <f>J9+K9</f>
        <v/>
      </c>
      <c r="M9" s="12">
        <f>SUMIF(기관별이자!$B$5:$B$29,"B",기관별이자!I$5:I$29)</f>
        <v/>
      </c>
      <c r="N9" s="12">
        <f>L9+M9</f>
        <v/>
      </c>
    </row>
    <row r="10">
      <c r="A10" s="11" t="n">
        <v>6</v>
      </c>
      <c r="B10" s="22">
        <f>D9</f>
        <v/>
      </c>
      <c r="C10" s="22">
        <f>EDATE(DrawDate,PeriodMonths*A10)</f>
        <v/>
      </c>
      <c r="D10" s="22">
        <f>WORKDAY(C10-1,1,Holidays)</f>
        <v/>
      </c>
      <c r="E10" s="23">
        <f>D10-B10</f>
        <v/>
      </c>
      <c r="F10" s="23">
        <f>MAX(0,MIN(D10,LeapEnd+1)-MAX(B10,LeapStart))</f>
        <v/>
      </c>
      <c r="G10" s="23">
        <f>E10-F10</f>
        <v/>
      </c>
      <c r="H10" s="13">
        <f>CD금리!J10</f>
        <v/>
      </c>
      <c r="I10" s="13">
        <f>H10+SpreadA2</f>
        <v/>
      </c>
      <c r="J10" s="12">
        <f>SUMIF(기관별이자!$B$5:$B$29,"A-1",기관별이자!J$5:J$29)</f>
        <v/>
      </c>
      <c r="K10" s="12">
        <f>SUMIF(기관별이자!$B$5:$B$29,"A-2",기관별이자!J$5:J$29)</f>
        <v/>
      </c>
      <c r="L10" s="12">
        <f>J10+K10</f>
        <v/>
      </c>
      <c r="M10" s="12">
        <f>SUMIF(기관별이자!$B$5:$B$29,"B",기관별이자!J$5:J$29)</f>
        <v/>
      </c>
      <c r="N10" s="12">
        <f>L10+M10</f>
        <v/>
      </c>
    </row>
    <row r="11">
      <c r="A11" s="11" t="n">
        <v>7</v>
      </c>
      <c r="B11" s="22">
        <f>D10</f>
        <v/>
      </c>
      <c r="C11" s="22">
        <f>EDATE(DrawDate,PeriodMonths*A11)</f>
        <v/>
      </c>
      <c r="D11" s="22">
        <f>WORKDAY(C11-1,1,Holidays)</f>
        <v/>
      </c>
      <c r="E11" s="23">
        <f>D11-B11</f>
        <v/>
      </c>
      <c r="F11" s="23">
        <f>MAX(0,MIN(D11,LeapEnd+1)-MAX(B11,LeapStart))</f>
        <v/>
      </c>
      <c r="G11" s="23">
        <f>E11-F11</f>
        <v/>
      </c>
      <c r="H11" s="13">
        <f>CD금리!J11</f>
        <v/>
      </c>
      <c r="I11" s="13">
        <f>H11+SpreadA2</f>
        <v/>
      </c>
      <c r="J11" s="12">
        <f>SUMIF(기관별이자!$B$5:$B$29,"A-1",기관별이자!K$5:K$29)</f>
        <v/>
      </c>
      <c r="K11" s="12">
        <f>SUMIF(기관별이자!$B$5:$B$29,"A-2",기관별이자!K$5:K$29)</f>
        <v/>
      </c>
      <c r="L11" s="12">
        <f>J11+K11</f>
        <v/>
      </c>
      <c r="M11" s="12">
        <f>SUMIF(기관별이자!$B$5:$B$29,"B",기관별이자!K$5:K$29)</f>
        <v/>
      </c>
      <c r="N11" s="12">
        <f>L11+M11</f>
        <v/>
      </c>
    </row>
    <row r="12">
      <c r="A12" s="11" t="n">
        <v>8</v>
      </c>
      <c r="B12" s="22">
        <f>D11</f>
        <v/>
      </c>
      <c r="C12" s="22">
        <f>EDATE(DrawDate,PeriodMonths*A12)</f>
        <v/>
      </c>
      <c r="D12" s="22">
        <f>MaturityDate</f>
        <v/>
      </c>
      <c r="E12" s="23">
        <f>D12-B12</f>
        <v/>
      </c>
      <c r="F12" s="23">
        <f>MAX(0,MIN(D12,LeapEnd+1)-MAX(B12,LeapStart))</f>
        <v/>
      </c>
      <c r="G12" s="23">
        <f>E12-F12</f>
        <v/>
      </c>
      <c r="H12" s="13">
        <f>CD금리!J12</f>
        <v/>
      </c>
      <c r="I12" s="13">
        <f>H12+SpreadA2</f>
        <v/>
      </c>
      <c r="J12" s="12">
        <f>SUMIF(기관별이자!$B$5:$B$29,"A-1",기관별이자!L$5:L$29)</f>
        <v/>
      </c>
      <c r="K12" s="12">
        <f>SUMIF(기관별이자!$B$5:$B$29,"A-2",기관별이자!L$5:L$29)</f>
        <v/>
      </c>
      <c r="L12" s="12">
        <f>J12+K12</f>
        <v/>
      </c>
      <c r="M12" s="12">
        <f>SUMIF(기관별이자!$B$5:$B$29,"B",기관별이자!L$5:L$29)</f>
        <v/>
      </c>
      <c r="N12" s="12">
        <f>L12+M12</f>
        <v/>
      </c>
    </row>
    <row r="13">
      <c r="A13" s="19" t="inlineStr">
        <is>
          <t>합계</t>
        </is>
      </c>
      <c r="B13" s="19" t="n"/>
      <c r="C13" s="19" t="n"/>
      <c r="D13" s="19" t="n"/>
      <c r="E13" s="19">
        <f>SUM(E5:E12)</f>
        <v/>
      </c>
      <c r="F13" s="19" t="n"/>
      <c r="G13" s="19" t="n"/>
      <c r="H13" s="19" t="n"/>
      <c r="I13" s="19" t="n"/>
      <c r="J13" s="20">
        <f>SUM(J5:J12)</f>
        <v/>
      </c>
      <c r="K13" s="20">
        <f>SUM(K5:K12)</f>
        <v/>
      </c>
      <c r="L13" s="20">
        <f>SUM(L5:L12)</f>
        <v/>
      </c>
      <c r="M13" s="20">
        <f>SUM(M5:M12)</f>
        <v/>
      </c>
      <c r="N13" s="20">
        <f>SUM(N5:N12)</f>
        <v/>
      </c>
    </row>
    <row r="15">
      <c r="A15" s="2" t="inlineStr">
        <is>
          <t>※ 이자지급일이 휴일이면 다음 영업일로 미뤄지고, 다음 회차 이자기간은 그 날부터 시작합니다(일수에 반영). 원 미만 절사는 대주별·회차별로 적용한 뒤 합산했습니다.</t>
        </is>
      </c>
    </row>
    <row r="16">
      <c r="A16" s="2" t="inlineStr">
        <is>
          <t>※ 2028-04-29(토) → 5/1 근로자의 날(은행 휴무)·5/2 부처님오신날 → 5/3 지급. 5/1 은행 휴무 여부는 대리은행과 확인 필요.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5" customWidth="1" min="10" max="10"/>
    <col width="30" customWidth="1" min="11" max="11"/>
    <col width="15" customWidth="1" min="12" max="12"/>
  </cols>
  <sheetData>
    <row r="1">
      <c r="A1" s="1" t="inlineStr">
        <is>
          <t>Tranche A-2 기준금리 결정 — 이자율결정일 직전 3영업일 CD금리(91일물) 단순평균</t>
        </is>
      </c>
    </row>
    <row r="2">
      <c r="A2" s="2" t="inlineStr">
        <is>
          <t>대출약정서 제1조 '기준금리': 이자율결정일(각 이자기간 초일, 최초는 인출일) 직전 3영업일 동안 한국금융투자협회가 고시한 CD수익률의 단순평균(소수점 아래 셋째 자리에서 반올림). 결정일①~③은 '휴일' 시트를 반영해 자동 계산됩니다.</t>
        </is>
      </c>
    </row>
    <row r="3">
      <c r="A3" s="2" t="inlineStr">
        <is>
          <t>노란 칸에 해당 일자의 CD 91일물 고시금리를 입력하세요(예: 3.25% → 3.25% 또는 0.0325). 3일치가 모두 입력되면 '확정'으로 바뀝니다.</t>
        </is>
      </c>
    </row>
    <row r="4" ht="34" customHeight="1">
      <c r="A4" s="3" t="inlineStr">
        <is>
          <t>회차</t>
        </is>
      </c>
      <c r="B4" s="3" t="inlineStr">
        <is>
          <t>이자율결정일
(이자기간 초일)</t>
        </is>
      </c>
      <c r="C4" s="3" t="inlineStr">
        <is>
          <t>결정일 ①</t>
        </is>
      </c>
      <c r="D4" s="3" t="inlineStr">
        <is>
          <t>결정일 ②</t>
        </is>
      </c>
      <c r="E4" s="3" t="inlineStr">
        <is>
          <t>결정일 ③</t>
        </is>
      </c>
      <c r="F4" s="3" t="inlineStr">
        <is>
          <t>CD금리 ①</t>
        </is>
      </c>
      <c r="G4" s="3" t="inlineStr">
        <is>
          <t>CD금리 ②</t>
        </is>
      </c>
      <c r="H4" s="3" t="inlineStr">
        <is>
          <t>CD금리 ③</t>
        </is>
      </c>
      <c r="I4" s="3" t="inlineStr">
        <is>
          <t>단순평균
(반올림 전)</t>
        </is>
      </c>
      <c r="J4" s="3" t="inlineStr">
        <is>
          <t>적용 기준금리
(셋째 자리 반올림)</t>
        </is>
      </c>
      <c r="K4" s="3" t="inlineStr">
        <is>
          <t>상태</t>
        </is>
      </c>
      <c r="L4" s="3" t="inlineStr">
        <is>
          <t>A-2 적용금리
(기준금리+1.43%)</t>
        </is>
      </c>
    </row>
    <row r="5">
      <c r="A5" s="11" t="n">
        <v>1</v>
      </c>
      <c r="B5" s="22">
        <f>이자기간!B5</f>
        <v/>
      </c>
      <c r="C5" s="22">
        <f>WORKDAY(B5,-3,Holidays)</f>
        <v/>
      </c>
      <c r="D5" s="22">
        <f>WORKDAY(B5,-2,Holidays)</f>
        <v/>
      </c>
      <c r="E5" s="22">
        <f>WORKDAY(B5,-1,Holidays)</f>
        <v/>
      </c>
      <c r="F5" s="8" t="n"/>
      <c r="G5" s="8" t="n"/>
      <c r="H5" s="8" t="n"/>
      <c r="I5" s="24">
        <f>IF(COUNT(F5:H5)=0,"",AVERAGE(F5:H5))</f>
        <v/>
      </c>
      <c r="J5" s="25">
        <f>IF(COUNT(F5:H5)=3,ROUND(AVERAGE(F5:H5),4),CDDefault)</f>
        <v/>
      </c>
      <c r="K5" s="4">
        <f>IF(COUNT(F5:H5)=3,"확정(3영업일 평균)",IF(COUNT(F5:H5)=0,"미입력 → "&amp;"기본가정 임시값"&amp;" 적용","입력 부족("&amp;COUNT(F5:H5)&amp;"/3) → "&amp;"기본가정 임시값"&amp;" 적용"))</f>
        <v/>
      </c>
      <c r="L5" s="13">
        <f>J5+SpreadA2</f>
        <v/>
      </c>
    </row>
    <row r="6">
      <c r="A6" s="11" t="n">
        <v>2</v>
      </c>
      <c r="B6" s="22">
        <f>이자기간!B6</f>
        <v/>
      </c>
      <c r="C6" s="22">
        <f>WORKDAY(B6,-3,Holidays)</f>
        <v/>
      </c>
      <c r="D6" s="22">
        <f>WORKDAY(B6,-2,Holidays)</f>
        <v/>
      </c>
      <c r="E6" s="22">
        <f>WORKDAY(B6,-1,Holidays)</f>
        <v/>
      </c>
      <c r="F6" s="8" t="n"/>
      <c r="G6" s="8" t="n"/>
      <c r="H6" s="8" t="n"/>
      <c r="I6" s="24">
        <f>IF(COUNT(F6:H6)=0,"",AVERAGE(F6:H6))</f>
        <v/>
      </c>
      <c r="J6" s="25">
        <f>IF(COUNT(F6:H6)=3,ROUND(AVERAGE(F6:H6),4),J5)</f>
        <v/>
      </c>
      <c r="K6" s="4">
        <f>IF(COUNT(F6:H6)=3,"확정(3영업일 평균)",IF(COUNT(F6:H6)=0,"미입력 → "&amp;"직전 회차 금리"&amp;" 적용","입력 부족("&amp;COUNT(F6:H6)&amp;"/3) → "&amp;"직전 회차 금리"&amp;" 적용"))</f>
        <v/>
      </c>
      <c r="L6" s="13">
        <f>J6+SpreadA2</f>
        <v/>
      </c>
    </row>
    <row r="7">
      <c r="A7" s="11" t="n">
        <v>3</v>
      </c>
      <c r="B7" s="22">
        <f>이자기간!B7</f>
        <v/>
      </c>
      <c r="C7" s="22">
        <f>WORKDAY(B7,-3,Holidays)</f>
        <v/>
      </c>
      <c r="D7" s="22">
        <f>WORKDAY(B7,-2,Holidays)</f>
        <v/>
      </c>
      <c r="E7" s="22">
        <f>WORKDAY(B7,-1,Holidays)</f>
        <v/>
      </c>
      <c r="F7" s="8" t="n"/>
      <c r="G7" s="8" t="n"/>
      <c r="H7" s="8" t="n"/>
      <c r="I7" s="24">
        <f>IF(COUNT(F7:H7)=0,"",AVERAGE(F7:H7))</f>
        <v/>
      </c>
      <c r="J7" s="25">
        <f>IF(COUNT(F7:H7)=3,ROUND(AVERAGE(F7:H7),4),J6)</f>
        <v/>
      </c>
      <c r="K7" s="4">
        <f>IF(COUNT(F7:H7)=3,"확정(3영업일 평균)",IF(COUNT(F7:H7)=0,"미입력 → "&amp;"직전 회차 금리"&amp;" 적용","입력 부족("&amp;COUNT(F7:H7)&amp;"/3) → "&amp;"직전 회차 금리"&amp;" 적용"))</f>
        <v/>
      </c>
      <c r="L7" s="13">
        <f>J7+SpreadA2</f>
        <v/>
      </c>
    </row>
    <row r="8">
      <c r="A8" s="11" t="n">
        <v>4</v>
      </c>
      <c r="B8" s="22">
        <f>이자기간!B8</f>
        <v/>
      </c>
      <c r="C8" s="22">
        <f>WORKDAY(B8,-3,Holidays)</f>
        <v/>
      </c>
      <c r="D8" s="22">
        <f>WORKDAY(B8,-2,Holidays)</f>
        <v/>
      </c>
      <c r="E8" s="22">
        <f>WORKDAY(B8,-1,Holidays)</f>
        <v/>
      </c>
      <c r="F8" s="8" t="n"/>
      <c r="G8" s="8" t="n"/>
      <c r="H8" s="8" t="n"/>
      <c r="I8" s="24">
        <f>IF(COUNT(F8:H8)=0,"",AVERAGE(F8:H8))</f>
        <v/>
      </c>
      <c r="J8" s="25">
        <f>IF(COUNT(F8:H8)=3,ROUND(AVERAGE(F8:H8),4),J7)</f>
        <v/>
      </c>
      <c r="K8" s="4">
        <f>IF(COUNT(F8:H8)=3,"확정(3영업일 평균)",IF(COUNT(F8:H8)=0,"미입력 → "&amp;"직전 회차 금리"&amp;" 적용","입력 부족("&amp;COUNT(F8:H8)&amp;"/3) → "&amp;"직전 회차 금리"&amp;" 적용"))</f>
        <v/>
      </c>
      <c r="L8" s="13">
        <f>J8+SpreadA2</f>
        <v/>
      </c>
    </row>
    <row r="9">
      <c r="A9" s="11" t="n">
        <v>5</v>
      </c>
      <c r="B9" s="22">
        <f>이자기간!B9</f>
        <v/>
      </c>
      <c r="C9" s="22">
        <f>WORKDAY(B9,-3,Holidays)</f>
        <v/>
      </c>
      <c r="D9" s="22">
        <f>WORKDAY(B9,-2,Holidays)</f>
        <v/>
      </c>
      <c r="E9" s="22">
        <f>WORKDAY(B9,-1,Holidays)</f>
        <v/>
      </c>
      <c r="F9" s="8" t="n"/>
      <c r="G9" s="8" t="n"/>
      <c r="H9" s="8" t="n"/>
      <c r="I9" s="24">
        <f>IF(COUNT(F9:H9)=0,"",AVERAGE(F9:H9))</f>
        <v/>
      </c>
      <c r="J9" s="25">
        <f>IF(COUNT(F9:H9)=3,ROUND(AVERAGE(F9:H9),4),J8)</f>
        <v/>
      </c>
      <c r="K9" s="4">
        <f>IF(COUNT(F9:H9)=3,"확정(3영업일 평균)",IF(COUNT(F9:H9)=0,"미입력 → "&amp;"직전 회차 금리"&amp;" 적용","입력 부족("&amp;COUNT(F9:H9)&amp;"/3) → "&amp;"직전 회차 금리"&amp;" 적용"))</f>
        <v/>
      </c>
      <c r="L9" s="13">
        <f>J9+SpreadA2</f>
        <v/>
      </c>
    </row>
    <row r="10">
      <c r="A10" s="11" t="n">
        <v>6</v>
      </c>
      <c r="B10" s="22">
        <f>이자기간!B10</f>
        <v/>
      </c>
      <c r="C10" s="22">
        <f>WORKDAY(B10,-3,Holidays)</f>
        <v/>
      </c>
      <c r="D10" s="22">
        <f>WORKDAY(B10,-2,Holidays)</f>
        <v/>
      </c>
      <c r="E10" s="22">
        <f>WORKDAY(B10,-1,Holidays)</f>
        <v/>
      </c>
      <c r="F10" s="8" t="n"/>
      <c r="G10" s="8" t="n"/>
      <c r="H10" s="8" t="n"/>
      <c r="I10" s="24">
        <f>IF(COUNT(F10:H10)=0,"",AVERAGE(F10:H10))</f>
        <v/>
      </c>
      <c r="J10" s="25">
        <f>IF(COUNT(F10:H10)=3,ROUND(AVERAGE(F10:H10),4),J9)</f>
        <v/>
      </c>
      <c r="K10" s="4">
        <f>IF(COUNT(F10:H10)=3,"확정(3영업일 평균)",IF(COUNT(F10:H10)=0,"미입력 → "&amp;"직전 회차 금리"&amp;" 적용","입력 부족("&amp;COUNT(F10:H10)&amp;"/3) → "&amp;"직전 회차 금리"&amp;" 적용"))</f>
        <v/>
      </c>
      <c r="L10" s="13">
        <f>J10+SpreadA2</f>
        <v/>
      </c>
    </row>
    <row r="11">
      <c r="A11" s="11" t="n">
        <v>7</v>
      </c>
      <c r="B11" s="22">
        <f>이자기간!B11</f>
        <v/>
      </c>
      <c r="C11" s="22">
        <f>WORKDAY(B11,-3,Holidays)</f>
        <v/>
      </c>
      <c r="D11" s="22">
        <f>WORKDAY(B11,-2,Holidays)</f>
        <v/>
      </c>
      <c r="E11" s="22">
        <f>WORKDAY(B11,-1,Holidays)</f>
        <v/>
      </c>
      <c r="F11" s="8" t="n"/>
      <c r="G11" s="8" t="n"/>
      <c r="H11" s="8" t="n"/>
      <c r="I11" s="24">
        <f>IF(COUNT(F11:H11)=0,"",AVERAGE(F11:H11))</f>
        <v/>
      </c>
      <c r="J11" s="25">
        <f>IF(COUNT(F11:H11)=3,ROUND(AVERAGE(F11:H11),4),J10)</f>
        <v/>
      </c>
      <c r="K11" s="4">
        <f>IF(COUNT(F11:H11)=3,"확정(3영업일 평균)",IF(COUNT(F11:H11)=0,"미입력 → "&amp;"직전 회차 금리"&amp;" 적용","입력 부족("&amp;COUNT(F11:H11)&amp;"/3) → "&amp;"직전 회차 금리"&amp;" 적용"))</f>
        <v/>
      </c>
      <c r="L11" s="13">
        <f>J11+SpreadA2</f>
        <v/>
      </c>
    </row>
    <row r="12">
      <c r="A12" s="11" t="n">
        <v>8</v>
      </c>
      <c r="B12" s="22">
        <f>이자기간!B12</f>
        <v/>
      </c>
      <c r="C12" s="22">
        <f>WORKDAY(B12,-3,Holidays)</f>
        <v/>
      </c>
      <c r="D12" s="22">
        <f>WORKDAY(B12,-2,Holidays)</f>
        <v/>
      </c>
      <c r="E12" s="22">
        <f>WORKDAY(B12,-1,Holidays)</f>
        <v/>
      </c>
      <c r="F12" s="8" t="n"/>
      <c r="G12" s="8" t="n"/>
      <c r="H12" s="8" t="n"/>
      <c r="I12" s="24">
        <f>IF(COUNT(F12:H12)=0,"",AVERAGE(F12:H12))</f>
        <v/>
      </c>
      <c r="J12" s="25">
        <f>IF(COUNT(F12:H12)=3,ROUND(AVERAGE(F12:H12),4),J11)</f>
        <v/>
      </c>
      <c r="K12" s="4">
        <f>IF(COUNT(F12:H12)=3,"확정(3영업일 평균)",IF(COUNT(F12:H12)=0,"미입력 → "&amp;"직전 회차 금리"&amp;" 적용","입력 부족("&amp;COUNT(F12:H12)&amp;"/3) → "&amp;"직전 회차 금리"&amp;" 적용"))</f>
        <v/>
      </c>
      <c r="L12" s="13">
        <f>J12+SpreadA2</f>
        <v/>
      </c>
    </row>
    <row r="14">
      <c r="A14" s="2" t="inlineStr">
        <is>
          <t>※ 1회차(인출일 2026-10-29): 10/26(월)·10/27(화)·10/28(수) CD금리 평균. 약정 체결일(10/27)과 무관하며, 인출일이 바뀌면 결정일도 자동으로 바뀝니다.</t>
        </is>
      </c>
    </row>
    <row r="15">
      <c r="A15" s="2" t="inlineStr">
        <is>
          <t>※ 2회차부터는 직전 이자지급일(영업일 조정 후)이 이자율결정일입니다. 2028-01-31 회차는 설 연휴(1/25~27)를 건너 1/21·1/24·1/28, 2028-05-03 회차는 4/26~4/28입니다(휴일 추정 기준).</t>
        </is>
      </c>
    </row>
    <row r="16">
      <c r="A16" s="2" t="inlineStr">
        <is>
          <t>※ CD금리가 고시되지 않는 날(예: 근로자의 날)의 처리와 반올림 방식은 대리은행(우리은행) 이자계산서와 대조해 확인하세요 [확인 필요].</t>
        </is>
      </c>
    </row>
  </sheetData>
  <dataValidations count="1">
    <dataValidation sqref="F5:H12" showDropDown="0" showInputMessage="0" showErrorMessage="1" allowBlank="1" errorTitle="CD금리 입력" error="0%~20% 사이 값을 입력하세요(예: 3.25%)." type="decimal" operator="between">
      <formula1>0</formula1>
      <formula2>0.2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17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</cols>
  <sheetData>
    <row r="1">
      <c r="A1" s="1" t="inlineStr">
        <is>
          <t>대주별 회차별 이자 (원 미만 절사)</t>
        </is>
      </c>
    </row>
    <row r="2">
      <c r="A2" s="2" t="inlineStr">
        <is>
          <t>각 칸 = ROUNDDOWN(약정금 × 적용금리 × (평년일수/365 + 윤년일수/366), 0)</t>
        </is>
      </c>
    </row>
    <row r="3">
      <c r="A3" s="3" t="inlineStr">
        <is>
          <t>순번</t>
        </is>
      </c>
      <c r="B3" s="3" t="inlineStr">
        <is>
          <t>Tranche</t>
        </is>
      </c>
      <c r="C3" s="3" t="inlineStr">
        <is>
          <t>대주명</t>
        </is>
      </c>
      <c r="D3" s="3" t="inlineStr">
        <is>
          <t>대출약정금</t>
        </is>
      </c>
      <c r="E3" s="3" t="inlineStr">
        <is>
          <t>1회차</t>
        </is>
      </c>
      <c r="F3" s="3" t="inlineStr">
        <is>
          <t>2회차</t>
        </is>
      </c>
      <c r="G3" s="3" t="inlineStr">
        <is>
          <t>3회차</t>
        </is>
      </c>
      <c r="H3" s="3" t="inlineStr">
        <is>
          <t>4회차</t>
        </is>
      </c>
      <c r="I3" s="3" t="inlineStr">
        <is>
          <t>5회차</t>
        </is>
      </c>
      <c r="J3" s="3" t="inlineStr">
        <is>
          <t>6회차</t>
        </is>
      </c>
      <c r="K3" s="3" t="inlineStr">
        <is>
          <t>7회차</t>
        </is>
      </c>
      <c r="L3" s="3" t="inlineStr">
        <is>
          <t>8회차</t>
        </is>
      </c>
      <c r="M3" s="3" t="inlineStr">
        <is>
          <t>합계</t>
        </is>
      </c>
    </row>
    <row r="4">
      <c r="D4" s="15" t="inlineStr">
        <is>
          <t>이자지급일 →</t>
        </is>
      </c>
      <c r="E4" s="26">
        <f>이자기간!D5</f>
        <v/>
      </c>
      <c r="F4" s="26">
        <f>이자기간!D6</f>
        <v/>
      </c>
      <c r="G4" s="26">
        <f>이자기간!D7</f>
        <v/>
      </c>
      <c r="H4" s="26">
        <f>이자기간!D8</f>
        <v/>
      </c>
      <c r="I4" s="26">
        <f>이자기간!D9</f>
        <v/>
      </c>
      <c r="J4" s="26">
        <f>이자기간!D10</f>
        <v/>
      </c>
      <c r="K4" s="26">
        <f>이자기간!D11</f>
        <v/>
      </c>
      <c r="L4" s="26">
        <f>이자기간!D12</f>
        <v/>
      </c>
    </row>
    <row r="5">
      <c r="A5" s="11" t="n">
        <v>1</v>
      </c>
      <c r="B5" s="11">
        <f>대주목록!B4</f>
        <v/>
      </c>
      <c r="C5" s="4">
        <f>대주목록!C4</f>
        <v/>
      </c>
      <c r="D5" s="12">
        <f>대주목록!D4</f>
        <v/>
      </c>
      <c r="E5" s="12">
        <f>ROUNDDOWN($D5*IF($B5="A-1",RateA1,IF($B5="A-2",이자기간!$I$5,RateB))*(이자기간!$G$5/Days365+이자기간!$F$5/Days366),0)</f>
        <v/>
      </c>
      <c r="F5" s="12">
        <f>ROUNDDOWN($D5*IF($B5="A-1",RateA1,IF($B5="A-2",이자기간!$I$6,RateB))*(이자기간!$G$6/Days365+이자기간!$F$6/Days366),0)</f>
        <v/>
      </c>
      <c r="G5" s="12">
        <f>ROUNDDOWN($D5*IF($B5="A-1",RateA1,IF($B5="A-2",이자기간!$I$7,RateB))*(이자기간!$G$7/Days365+이자기간!$F$7/Days366),0)</f>
        <v/>
      </c>
      <c r="H5" s="12">
        <f>ROUNDDOWN($D5*IF($B5="A-1",RateA1,IF($B5="A-2",이자기간!$I$8,RateB))*(이자기간!$G$8/Days365+이자기간!$F$8/Days366),0)</f>
        <v/>
      </c>
      <c r="I5" s="12">
        <f>ROUNDDOWN($D5*IF($B5="A-1",RateA1,IF($B5="A-2",이자기간!$I$9,RateB))*(이자기간!$G$9/Days365+이자기간!$F$9/Days366),0)</f>
        <v/>
      </c>
      <c r="J5" s="12">
        <f>ROUNDDOWN($D5*IF($B5="A-1",RateA1,IF($B5="A-2",이자기간!$I$10,RateB))*(이자기간!$G$10/Days365+이자기간!$F$10/Days366),0)</f>
        <v/>
      </c>
      <c r="K5" s="12">
        <f>ROUNDDOWN($D5*IF($B5="A-1",RateA1,IF($B5="A-2",이자기간!$I$11,RateB))*(이자기간!$G$11/Days365+이자기간!$F$11/Days366),0)</f>
        <v/>
      </c>
      <c r="L5" s="12">
        <f>ROUNDDOWN($D5*IF($B5="A-1",RateA1,IF($B5="A-2",이자기간!$I$12,RateB))*(이자기간!$G$12/Days365+이자기간!$F$12/Days366),0)</f>
        <v/>
      </c>
      <c r="M5" s="12">
        <f>SUM(E5:L5)</f>
        <v/>
      </c>
    </row>
    <row r="6">
      <c r="A6" s="11" t="n">
        <v>2</v>
      </c>
      <c r="B6" s="11">
        <f>대주목록!B5</f>
        <v/>
      </c>
      <c r="C6" s="4">
        <f>대주목록!C5</f>
        <v/>
      </c>
      <c r="D6" s="12">
        <f>대주목록!D5</f>
        <v/>
      </c>
      <c r="E6" s="12">
        <f>ROUNDDOWN($D6*IF($B6="A-1",RateA1,IF($B6="A-2",이자기간!$I$5,RateB))*(이자기간!$G$5/Days365+이자기간!$F$5/Days366),0)</f>
        <v/>
      </c>
      <c r="F6" s="12">
        <f>ROUNDDOWN($D6*IF($B6="A-1",RateA1,IF($B6="A-2",이자기간!$I$6,RateB))*(이자기간!$G$6/Days365+이자기간!$F$6/Days366),0)</f>
        <v/>
      </c>
      <c r="G6" s="12">
        <f>ROUNDDOWN($D6*IF($B6="A-1",RateA1,IF($B6="A-2",이자기간!$I$7,RateB))*(이자기간!$G$7/Days365+이자기간!$F$7/Days366),0)</f>
        <v/>
      </c>
      <c r="H6" s="12">
        <f>ROUNDDOWN($D6*IF($B6="A-1",RateA1,IF($B6="A-2",이자기간!$I$8,RateB))*(이자기간!$G$8/Days365+이자기간!$F$8/Days366),0)</f>
        <v/>
      </c>
      <c r="I6" s="12">
        <f>ROUNDDOWN($D6*IF($B6="A-1",RateA1,IF($B6="A-2",이자기간!$I$9,RateB))*(이자기간!$G$9/Days365+이자기간!$F$9/Days366),0)</f>
        <v/>
      </c>
      <c r="J6" s="12">
        <f>ROUNDDOWN($D6*IF($B6="A-1",RateA1,IF($B6="A-2",이자기간!$I$10,RateB))*(이자기간!$G$10/Days365+이자기간!$F$10/Days366),0)</f>
        <v/>
      </c>
      <c r="K6" s="12">
        <f>ROUNDDOWN($D6*IF($B6="A-1",RateA1,IF($B6="A-2",이자기간!$I$11,RateB))*(이자기간!$G$11/Days365+이자기간!$F$11/Days366),0)</f>
        <v/>
      </c>
      <c r="L6" s="12">
        <f>ROUNDDOWN($D6*IF($B6="A-1",RateA1,IF($B6="A-2",이자기간!$I$12,RateB))*(이자기간!$G$12/Days365+이자기간!$F$12/Days366),0)</f>
        <v/>
      </c>
      <c r="M6" s="12">
        <f>SUM(E6:L6)</f>
        <v/>
      </c>
    </row>
    <row r="7">
      <c r="A7" s="11" t="n">
        <v>3</v>
      </c>
      <c r="B7" s="11">
        <f>대주목록!B6</f>
        <v/>
      </c>
      <c r="C7" s="4">
        <f>대주목록!C6</f>
        <v/>
      </c>
      <c r="D7" s="12">
        <f>대주목록!D6</f>
        <v/>
      </c>
      <c r="E7" s="12">
        <f>ROUNDDOWN($D7*IF($B7="A-1",RateA1,IF($B7="A-2",이자기간!$I$5,RateB))*(이자기간!$G$5/Days365+이자기간!$F$5/Days366),0)</f>
        <v/>
      </c>
      <c r="F7" s="12">
        <f>ROUNDDOWN($D7*IF($B7="A-1",RateA1,IF($B7="A-2",이자기간!$I$6,RateB))*(이자기간!$G$6/Days365+이자기간!$F$6/Days366),0)</f>
        <v/>
      </c>
      <c r="G7" s="12">
        <f>ROUNDDOWN($D7*IF($B7="A-1",RateA1,IF($B7="A-2",이자기간!$I$7,RateB))*(이자기간!$G$7/Days365+이자기간!$F$7/Days366),0)</f>
        <v/>
      </c>
      <c r="H7" s="12">
        <f>ROUNDDOWN($D7*IF($B7="A-1",RateA1,IF($B7="A-2",이자기간!$I$8,RateB))*(이자기간!$G$8/Days365+이자기간!$F$8/Days366),0)</f>
        <v/>
      </c>
      <c r="I7" s="12">
        <f>ROUNDDOWN($D7*IF($B7="A-1",RateA1,IF($B7="A-2",이자기간!$I$9,RateB))*(이자기간!$G$9/Days365+이자기간!$F$9/Days366),0)</f>
        <v/>
      </c>
      <c r="J7" s="12">
        <f>ROUNDDOWN($D7*IF($B7="A-1",RateA1,IF($B7="A-2",이자기간!$I$10,RateB))*(이자기간!$G$10/Days365+이자기간!$F$10/Days366),0)</f>
        <v/>
      </c>
      <c r="K7" s="12">
        <f>ROUNDDOWN($D7*IF($B7="A-1",RateA1,IF($B7="A-2",이자기간!$I$11,RateB))*(이자기간!$G$11/Days365+이자기간!$F$11/Days366),0)</f>
        <v/>
      </c>
      <c r="L7" s="12">
        <f>ROUNDDOWN($D7*IF($B7="A-1",RateA1,IF($B7="A-2",이자기간!$I$12,RateB))*(이자기간!$G$12/Days365+이자기간!$F$12/Days366),0)</f>
        <v/>
      </c>
      <c r="M7" s="12">
        <f>SUM(E7:L7)</f>
        <v/>
      </c>
    </row>
    <row r="8">
      <c r="A8" s="11" t="n">
        <v>4</v>
      </c>
      <c r="B8" s="11">
        <f>대주목록!B7</f>
        <v/>
      </c>
      <c r="C8" s="4">
        <f>대주목록!C7</f>
        <v/>
      </c>
      <c r="D8" s="12">
        <f>대주목록!D7</f>
        <v/>
      </c>
      <c r="E8" s="12">
        <f>ROUNDDOWN($D8*IF($B8="A-1",RateA1,IF($B8="A-2",이자기간!$I$5,RateB))*(이자기간!$G$5/Days365+이자기간!$F$5/Days366),0)</f>
        <v/>
      </c>
      <c r="F8" s="12">
        <f>ROUNDDOWN($D8*IF($B8="A-1",RateA1,IF($B8="A-2",이자기간!$I$6,RateB))*(이자기간!$G$6/Days365+이자기간!$F$6/Days366),0)</f>
        <v/>
      </c>
      <c r="G8" s="12">
        <f>ROUNDDOWN($D8*IF($B8="A-1",RateA1,IF($B8="A-2",이자기간!$I$7,RateB))*(이자기간!$G$7/Days365+이자기간!$F$7/Days366),0)</f>
        <v/>
      </c>
      <c r="H8" s="12">
        <f>ROUNDDOWN($D8*IF($B8="A-1",RateA1,IF($B8="A-2",이자기간!$I$8,RateB))*(이자기간!$G$8/Days365+이자기간!$F$8/Days366),0)</f>
        <v/>
      </c>
      <c r="I8" s="12">
        <f>ROUNDDOWN($D8*IF($B8="A-1",RateA1,IF($B8="A-2",이자기간!$I$9,RateB))*(이자기간!$G$9/Days365+이자기간!$F$9/Days366),0)</f>
        <v/>
      </c>
      <c r="J8" s="12">
        <f>ROUNDDOWN($D8*IF($B8="A-1",RateA1,IF($B8="A-2",이자기간!$I$10,RateB))*(이자기간!$G$10/Days365+이자기간!$F$10/Days366),0)</f>
        <v/>
      </c>
      <c r="K8" s="12">
        <f>ROUNDDOWN($D8*IF($B8="A-1",RateA1,IF($B8="A-2",이자기간!$I$11,RateB))*(이자기간!$G$11/Days365+이자기간!$F$11/Days366),0)</f>
        <v/>
      </c>
      <c r="L8" s="12">
        <f>ROUNDDOWN($D8*IF($B8="A-1",RateA1,IF($B8="A-2",이자기간!$I$12,RateB))*(이자기간!$G$12/Days365+이자기간!$F$12/Days366),0)</f>
        <v/>
      </c>
      <c r="M8" s="12">
        <f>SUM(E8:L8)</f>
        <v/>
      </c>
    </row>
    <row r="9">
      <c r="A9" s="11" t="n">
        <v>5</v>
      </c>
      <c r="B9" s="11">
        <f>대주목록!B8</f>
        <v/>
      </c>
      <c r="C9" s="4">
        <f>대주목록!C8</f>
        <v/>
      </c>
      <c r="D9" s="12">
        <f>대주목록!D8</f>
        <v/>
      </c>
      <c r="E9" s="12">
        <f>ROUNDDOWN($D9*IF($B9="A-1",RateA1,IF($B9="A-2",이자기간!$I$5,RateB))*(이자기간!$G$5/Days365+이자기간!$F$5/Days366),0)</f>
        <v/>
      </c>
      <c r="F9" s="12">
        <f>ROUNDDOWN($D9*IF($B9="A-1",RateA1,IF($B9="A-2",이자기간!$I$6,RateB))*(이자기간!$G$6/Days365+이자기간!$F$6/Days366),0)</f>
        <v/>
      </c>
      <c r="G9" s="12">
        <f>ROUNDDOWN($D9*IF($B9="A-1",RateA1,IF($B9="A-2",이자기간!$I$7,RateB))*(이자기간!$G$7/Days365+이자기간!$F$7/Days366),0)</f>
        <v/>
      </c>
      <c r="H9" s="12">
        <f>ROUNDDOWN($D9*IF($B9="A-1",RateA1,IF($B9="A-2",이자기간!$I$8,RateB))*(이자기간!$G$8/Days365+이자기간!$F$8/Days366),0)</f>
        <v/>
      </c>
      <c r="I9" s="12">
        <f>ROUNDDOWN($D9*IF($B9="A-1",RateA1,IF($B9="A-2",이자기간!$I$9,RateB))*(이자기간!$G$9/Days365+이자기간!$F$9/Days366),0)</f>
        <v/>
      </c>
      <c r="J9" s="12">
        <f>ROUNDDOWN($D9*IF($B9="A-1",RateA1,IF($B9="A-2",이자기간!$I$10,RateB))*(이자기간!$G$10/Days365+이자기간!$F$10/Days366),0)</f>
        <v/>
      </c>
      <c r="K9" s="12">
        <f>ROUNDDOWN($D9*IF($B9="A-1",RateA1,IF($B9="A-2",이자기간!$I$11,RateB))*(이자기간!$G$11/Days365+이자기간!$F$11/Days366),0)</f>
        <v/>
      </c>
      <c r="L9" s="12">
        <f>ROUNDDOWN($D9*IF($B9="A-1",RateA1,IF($B9="A-2",이자기간!$I$12,RateB))*(이자기간!$G$12/Days365+이자기간!$F$12/Days366),0)</f>
        <v/>
      </c>
      <c r="M9" s="12">
        <f>SUM(E9:L9)</f>
        <v/>
      </c>
    </row>
    <row r="10">
      <c r="A10" s="11" t="n">
        <v>6</v>
      </c>
      <c r="B10" s="11">
        <f>대주목록!B9</f>
        <v/>
      </c>
      <c r="C10" s="4">
        <f>대주목록!C9</f>
        <v/>
      </c>
      <c r="D10" s="12">
        <f>대주목록!D9</f>
        <v/>
      </c>
      <c r="E10" s="12">
        <f>ROUNDDOWN($D10*IF($B10="A-1",RateA1,IF($B10="A-2",이자기간!$I$5,RateB))*(이자기간!$G$5/Days365+이자기간!$F$5/Days366),0)</f>
        <v/>
      </c>
      <c r="F10" s="12">
        <f>ROUNDDOWN($D10*IF($B10="A-1",RateA1,IF($B10="A-2",이자기간!$I$6,RateB))*(이자기간!$G$6/Days365+이자기간!$F$6/Days366),0)</f>
        <v/>
      </c>
      <c r="G10" s="12">
        <f>ROUNDDOWN($D10*IF($B10="A-1",RateA1,IF($B10="A-2",이자기간!$I$7,RateB))*(이자기간!$G$7/Days365+이자기간!$F$7/Days366),0)</f>
        <v/>
      </c>
      <c r="H10" s="12">
        <f>ROUNDDOWN($D10*IF($B10="A-1",RateA1,IF($B10="A-2",이자기간!$I$8,RateB))*(이자기간!$G$8/Days365+이자기간!$F$8/Days366),0)</f>
        <v/>
      </c>
      <c r="I10" s="12">
        <f>ROUNDDOWN($D10*IF($B10="A-1",RateA1,IF($B10="A-2",이자기간!$I$9,RateB))*(이자기간!$G$9/Days365+이자기간!$F$9/Days366),0)</f>
        <v/>
      </c>
      <c r="J10" s="12">
        <f>ROUNDDOWN($D10*IF($B10="A-1",RateA1,IF($B10="A-2",이자기간!$I$10,RateB))*(이자기간!$G$10/Days365+이자기간!$F$10/Days366),0)</f>
        <v/>
      </c>
      <c r="K10" s="12">
        <f>ROUNDDOWN($D10*IF($B10="A-1",RateA1,IF($B10="A-2",이자기간!$I$11,RateB))*(이자기간!$G$11/Days365+이자기간!$F$11/Days366),0)</f>
        <v/>
      </c>
      <c r="L10" s="12">
        <f>ROUNDDOWN($D10*IF($B10="A-1",RateA1,IF($B10="A-2",이자기간!$I$12,RateB))*(이자기간!$G$12/Days365+이자기간!$F$12/Days366),0)</f>
        <v/>
      </c>
      <c r="M10" s="12">
        <f>SUM(E10:L10)</f>
        <v/>
      </c>
    </row>
    <row r="11">
      <c r="A11" s="11" t="n">
        <v>7</v>
      </c>
      <c r="B11" s="11">
        <f>대주목록!B10</f>
        <v/>
      </c>
      <c r="C11" s="4">
        <f>대주목록!C10</f>
        <v/>
      </c>
      <c r="D11" s="12">
        <f>대주목록!D10</f>
        <v/>
      </c>
      <c r="E11" s="12">
        <f>ROUNDDOWN($D11*IF($B11="A-1",RateA1,IF($B11="A-2",이자기간!$I$5,RateB))*(이자기간!$G$5/Days365+이자기간!$F$5/Days366),0)</f>
        <v/>
      </c>
      <c r="F11" s="12">
        <f>ROUNDDOWN($D11*IF($B11="A-1",RateA1,IF($B11="A-2",이자기간!$I$6,RateB))*(이자기간!$G$6/Days365+이자기간!$F$6/Days366),0)</f>
        <v/>
      </c>
      <c r="G11" s="12">
        <f>ROUNDDOWN($D11*IF($B11="A-1",RateA1,IF($B11="A-2",이자기간!$I$7,RateB))*(이자기간!$G$7/Days365+이자기간!$F$7/Days366),0)</f>
        <v/>
      </c>
      <c r="H11" s="12">
        <f>ROUNDDOWN($D11*IF($B11="A-1",RateA1,IF($B11="A-2",이자기간!$I$8,RateB))*(이자기간!$G$8/Days365+이자기간!$F$8/Days366),0)</f>
        <v/>
      </c>
      <c r="I11" s="12">
        <f>ROUNDDOWN($D11*IF($B11="A-1",RateA1,IF($B11="A-2",이자기간!$I$9,RateB))*(이자기간!$G$9/Days365+이자기간!$F$9/Days366),0)</f>
        <v/>
      </c>
      <c r="J11" s="12">
        <f>ROUNDDOWN($D11*IF($B11="A-1",RateA1,IF($B11="A-2",이자기간!$I$10,RateB))*(이자기간!$G$10/Days365+이자기간!$F$10/Days366),0)</f>
        <v/>
      </c>
      <c r="K11" s="12">
        <f>ROUNDDOWN($D11*IF($B11="A-1",RateA1,IF($B11="A-2",이자기간!$I$11,RateB))*(이자기간!$G$11/Days365+이자기간!$F$11/Days366),0)</f>
        <v/>
      </c>
      <c r="L11" s="12">
        <f>ROUNDDOWN($D11*IF($B11="A-1",RateA1,IF($B11="A-2",이자기간!$I$12,RateB))*(이자기간!$G$12/Days365+이자기간!$F$12/Days366),0)</f>
        <v/>
      </c>
      <c r="M11" s="12">
        <f>SUM(E11:L11)</f>
        <v/>
      </c>
    </row>
    <row r="12">
      <c r="A12" s="11" t="n">
        <v>8</v>
      </c>
      <c r="B12" s="11">
        <f>대주목록!B11</f>
        <v/>
      </c>
      <c r="C12" s="4">
        <f>대주목록!C11</f>
        <v/>
      </c>
      <c r="D12" s="12">
        <f>대주목록!D11</f>
        <v/>
      </c>
      <c r="E12" s="12">
        <f>ROUNDDOWN($D12*IF($B12="A-1",RateA1,IF($B12="A-2",이자기간!$I$5,RateB))*(이자기간!$G$5/Days365+이자기간!$F$5/Days366),0)</f>
        <v/>
      </c>
      <c r="F12" s="12">
        <f>ROUNDDOWN($D12*IF($B12="A-1",RateA1,IF($B12="A-2",이자기간!$I$6,RateB))*(이자기간!$G$6/Days365+이자기간!$F$6/Days366),0)</f>
        <v/>
      </c>
      <c r="G12" s="12">
        <f>ROUNDDOWN($D12*IF($B12="A-1",RateA1,IF($B12="A-2",이자기간!$I$7,RateB))*(이자기간!$G$7/Days365+이자기간!$F$7/Days366),0)</f>
        <v/>
      </c>
      <c r="H12" s="12">
        <f>ROUNDDOWN($D12*IF($B12="A-1",RateA1,IF($B12="A-2",이자기간!$I$8,RateB))*(이자기간!$G$8/Days365+이자기간!$F$8/Days366),0)</f>
        <v/>
      </c>
      <c r="I12" s="12">
        <f>ROUNDDOWN($D12*IF($B12="A-1",RateA1,IF($B12="A-2",이자기간!$I$9,RateB))*(이자기간!$G$9/Days365+이자기간!$F$9/Days366),0)</f>
        <v/>
      </c>
      <c r="J12" s="12">
        <f>ROUNDDOWN($D12*IF($B12="A-1",RateA1,IF($B12="A-2",이자기간!$I$10,RateB))*(이자기간!$G$10/Days365+이자기간!$F$10/Days366),0)</f>
        <v/>
      </c>
      <c r="K12" s="12">
        <f>ROUNDDOWN($D12*IF($B12="A-1",RateA1,IF($B12="A-2",이자기간!$I$11,RateB))*(이자기간!$G$11/Days365+이자기간!$F$11/Days366),0)</f>
        <v/>
      </c>
      <c r="L12" s="12">
        <f>ROUNDDOWN($D12*IF($B12="A-1",RateA1,IF($B12="A-2",이자기간!$I$12,RateB))*(이자기간!$G$12/Days365+이자기간!$F$12/Days366),0)</f>
        <v/>
      </c>
      <c r="M12" s="12">
        <f>SUM(E12:L12)</f>
        <v/>
      </c>
    </row>
    <row r="13">
      <c r="A13" s="11" t="n">
        <v>9</v>
      </c>
      <c r="B13" s="11">
        <f>대주목록!B12</f>
        <v/>
      </c>
      <c r="C13" s="4">
        <f>대주목록!C12</f>
        <v/>
      </c>
      <c r="D13" s="12">
        <f>대주목록!D12</f>
        <v/>
      </c>
      <c r="E13" s="12">
        <f>ROUNDDOWN($D13*IF($B13="A-1",RateA1,IF($B13="A-2",이자기간!$I$5,RateB))*(이자기간!$G$5/Days365+이자기간!$F$5/Days366),0)</f>
        <v/>
      </c>
      <c r="F13" s="12">
        <f>ROUNDDOWN($D13*IF($B13="A-1",RateA1,IF($B13="A-2",이자기간!$I$6,RateB))*(이자기간!$G$6/Days365+이자기간!$F$6/Days366),0)</f>
        <v/>
      </c>
      <c r="G13" s="12">
        <f>ROUNDDOWN($D13*IF($B13="A-1",RateA1,IF($B13="A-2",이자기간!$I$7,RateB))*(이자기간!$G$7/Days365+이자기간!$F$7/Days366),0)</f>
        <v/>
      </c>
      <c r="H13" s="12">
        <f>ROUNDDOWN($D13*IF($B13="A-1",RateA1,IF($B13="A-2",이자기간!$I$8,RateB))*(이자기간!$G$8/Days365+이자기간!$F$8/Days366),0)</f>
        <v/>
      </c>
      <c r="I13" s="12">
        <f>ROUNDDOWN($D13*IF($B13="A-1",RateA1,IF($B13="A-2",이자기간!$I$9,RateB))*(이자기간!$G$9/Days365+이자기간!$F$9/Days366),0)</f>
        <v/>
      </c>
      <c r="J13" s="12">
        <f>ROUNDDOWN($D13*IF($B13="A-1",RateA1,IF($B13="A-2",이자기간!$I$10,RateB))*(이자기간!$G$10/Days365+이자기간!$F$10/Days366),0)</f>
        <v/>
      </c>
      <c r="K13" s="12">
        <f>ROUNDDOWN($D13*IF($B13="A-1",RateA1,IF($B13="A-2",이자기간!$I$11,RateB))*(이자기간!$G$11/Days365+이자기간!$F$11/Days366),0)</f>
        <v/>
      </c>
      <c r="L13" s="12">
        <f>ROUNDDOWN($D13*IF($B13="A-1",RateA1,IF($B13="A-2",이자기간!$I$12,RateB))*(이자기간!$G$12/Days365+이자기간!$F$12/Days366),0)</f>
        <v/>
      </c>
      <c r="M13" s="12">
        <f>SUM(E13:L13)</f>
        <v/>
      </c>
    </row>
    <row r="14">
      <c r="A14" s="11" t="n">
        <v>10</v>
      </c>
      <c r="B14" s="11">
        <f>대주목록!B13</f>
        <v/>
      </c>
      <c r="C14" s="4">
        <f>대주목록!C13</f>
        <v/>
      </c>
      <c r="D14" s="12">
        <f>대주목록!D13</f>
        <v/>
      </c>
      <c r="E14" s="12">
        <f>ROUNDDOWN($D14*IF($B14="A-1",RateA1,IF($B14="A-2",이자기간!$I$5,RateB))*(이자기간!$G$5/Days365+이자기간!$F$5/Days366),0)</f>
        <v/>
      </c>
      <c r="F14" s="12">
        <f>ROUNDDOWN($D14*IF($B14="A-1",RateA1,IF($B14="A-2",이자기간!$I$6,RateB))*(이자기간!$G$6/Days365+이자기간!$F$6/Days366),0)</f>
        <v/>
      </c>
      <c r="G14" s="12">
        <f>ROUNDDOWN($D14*IF($B14="A-1",RateA1,IF($B14="A-2",이자기간!$I$7,RateB))*(이자기간!$G$7/Days365+이자기간!$F$7/Days366),0)</f>
        <v/>
      </c>
      <c r="H14" s="12">
        <f>ROUNDDOWN($D14*IF($B14="A-1",RateA1,IF($B14="A-2",이자기간!$I$8,RateB))*(이자기간!$G$8/Days365+이자기간!$F$8/Days366),0)</f>
        <v/>
      </c>
      <c r="I14" s="12">
        <f>ROUNDDOWN($D14*IF($B14="A-1",RateA1,IF($B14="A-2",이자기간!$I$9,RateB))*(이자기간!$G$9/Days365+이자기간!$F$9/Days366),0)</f>
        <v/>
      </c>
      <c r="J14" s="12">
        <f>ROUNDDOWN($D14*IF($B14="A-1",RateA1,IF($B14="A-2",이자기간!$I$10,RateB))*(이자기간!$G$10/Days365+이자기간!$F$10/Days366),0)</f>
        <v/>
      </c>
      <c r="K14" s="12">
        <f>ROUNDDOWN($D14*IF($B14="A-1",RateA1,IF($B14="A-2",이자기간!$I$11,RateB))*(이자기간!$G$11/Days365+이자기간!$F$11/Days366),0)</f>
        <v/>
      </c>
      <c r="L14" s="12">
        <f>ROUNDDOWN($D14*IF($B14="A-1",RateA1,IF($B14="A-2",이자기간!$I$12,RateB))*(이자기간!$G$12/Days365+이자기간!$F$12/Days366),0)</f>
        <v/>
      </c>
      <c r="M14" s="12">
        <f>SUM(E14:L14)</f>
        <v/>
      </c>
    </row>
    <row r="15">
      <c r="A15" s="11" t="n">
        <v>11</v>
      </c>
      <c r="B15" s="11">
        <f>대주목록!B14</f>
        <v/>
      </c>
      <c r="C15" s="4">
        <f>대주목록!C14</f>
        <v/>
      </c>
      <c r="D15" s="12">
        <f>대주목록!D14</f>
        <v/>
      </c>
      <c r="E15" s="12">
        <f>ROUNDDOWN($D15*IF($B15="A-1",RateA1,IF($B15="A-2",이자기간!$I$5,RateB))*(이자기간!$G$5/Days365+이자기간!$F$5/Days366),0)</f>
        <v/>
      </c>
      <c r="F15" s="12">
        <f>ROUNDDOWN($D15*IF($B15="A-1",RateA1,IF($B15="A-2",이자기간!$I$6,RateB))*(이자기간!$G$6/Days365+이자기간!$F$6/Days366),0)</f>
        <v/>
      </c>
      <c r="G15" s="12">
        <f>ROUNDDOWN($D15*IF($B15="A-1",RateA1,IF($B15="A-2",이자기간!$I$7,RateB))*(이자기간!$G$7/Days365+이자기간!$F$7/Days366),0)</f>
        <v/>
      </c>
      <c r="H15" s="12">
        <f>ROUNDDOWN($D15*IF($B15="A-1",RateA1,IF($B15="A-2",이자기간!$I$8,RateB))*(이자기간!$G$8/Days365+이자기간!$F$8/Days366),0)</f>
        <v/>
      </c>
      <c r="I15" s="12">
        <f>ROUNDDOWN($D15*IF($B15="A-1",RateA1,IF($B15="A-2",이자기간!$I$9,RateB))*(이자기간!$G$9/Days365+이자기간!$F$9/Days366),0)</f>
        <v/>
      </c>
      <c r="J15" s="12">
        <f>ROUNDDOWN($D15*IF($B15="A-1",RateA1,IF($B15="A-2",이자기간!$I$10,RateB))*(이자기간!$G$10/Days365+이자기간!$F$10/Days366),0)</f>
        <v/>
      </c>
      <c r="K15" s="12">
        <f>ROUNDDOWN($D15*IF($B15="A-1",RateA1,IF($B15="A-2",이자기간!$I$11,RateB))*(이자기간!$G$11/Days365+이자기간!$F$11/Days366),0)</f>
        <v/>
      </c>
      <c r="L15" s="12">
        <f>ROUNDDOWN($D15*IF($B15="A-1",RateA1,IF($B15="A-2",이자기간!$I$12,RateB))*(이자기간!$G$12/Days365+이자기간!$F$12/Days366),0)</f>
        <v/>
      </c>
      <c r="M15" s="12">
        <f>SUM(E15:L15)</f>
        <v/>
      </c>
    </row>
    <row r="16">
      <c r="A16" s="11" t="n">
        <v>12</v>
      </c>
      <c r="B16" s="11">
        <f>대주목록!B15</f>
        <v/>
      </c>
      <c r="C16" s="4">
        <f>대주목록!C15</f>
        <v/>
      </c>
      <c r="D16" s="12">
        <f>대주목록!D15</f>
        <v/>
      </c>
      <c r="E16" s="12">
        <f>ROUNDDOWN($D16*IF($B16="A-1",RateA1,IF($B16="A-2",이자기간!$I$5,RateB))*(이자기간!$G$5/Days365+이자기간!$F$5/Days366),0)</f>
        <v/>
      </c>
      <c r="F16" s="12">
        <f>ROUNDDOWN($D16*IF($B16="A-1",RateA1,IF($B16="A-2",이자기간!$I$6,RateB))*(이자기간!$G$6/Days365+이자기간!$F$6/Days366),0)</f>
        <v/>
      </c>
      <c r="G16" s="12">
        <f>ROUNDDOWN($D16*IF($B16="A-1",RateA1,IF($B16="A-2",이자기간!$I$7,RateB))*(이자기간!$G$7/Days365+이자기간!$F$7/Days366),0)</f>
        <v/>
      </c>
      <c r="H16" s="12">
        <f>ROUNDDOWN($D16*IF($B16="A-1",RateA1,IF($B16="A-2",이자기간!$I$8,RateB))*(이자기간!$G$8/Days365+이자기간!$F$8/Days366),0)</f>
        <v/>
      </c>
      <c r="I16" s="12">
        <f>ROUNDDOWN($D16*IF($B16="A-1",RateA1,IF($B16="A-2",이자기간!$I$9,RateB))*(이자기간!$G$9/Days365+이자기간!$F$9/Days366),0)</f>
        <v/>
      </c>
      <c r="J16" s="12">
        <f>ROUNDDOWN($D16*IF($B16="A-1",RateA1,IF($B16="A-2",이자기간!$I$10,RateB))*(이자기간!$G$10/Days365+이자기간!$F$10/Days366),0)</f>
        <v/>
      </c>
      <c r="K16" s="12">
        <f>ROUNDDOWN($D16*IF($B16="A-1",RateA1,IF($B16="A-2",이자기간!$I$11,RateB))*(이자기간!$G$11/Days365+이자기간!$F$11/Days366),0)</f>
        <v/>
      </c>
      <c r="L16" s="12">
        <f>ROUNDDOWN($D16*IF($B16="A-1",RateA1,IF($B16="A-2",이자기간!$I$12,RateB))*(이자기간!$G$12/Days365+이자기간!$F$12/Days366),0)</f>
        <v/>
      </c>
      <c r="M16" s="12">
        <f>SUM(E16:L16)</f>
        <v/>
      </c>
    </row>
    <row r="17">
      <c r="A17" s="11" t="n">
        <v>13</v>
      </c>
      <c r="B17" s="11">
        <f>대주목록!B16</f>
        <v/>
      </c>
      <c r="C17" s="4">
        <f>대주목록!C16</f>
        <v/>
      </c>
      <c r="D17" s="12">
        <f>대주목록!D16</f>
        <v/>
      </c>
      <c r="E17" s="12">
        <f>ROUNDDOWN($D17*IF($B17="A-1",RateA1,IF($B17="A-2",이자기간!$I$5,RateB))*(이자기간!$G$5/Days365+이자기간!$F$5/Days366),0)</f>
        <v/>
      </c>
      <c r="F17" s="12">
        <f>ROUNDDOWN($D17*IF($B17="A-1",RateA1,IF($B17="A-2",이자기간!$I$6,RateB))*(이자기간!$G$6/Days365+이자기간!$F$6/Days366),0)</f>
        <v/>
      </c>
      <c r="G17" s="12">
        <f>ROUNDDOWN($D17*IF($B17="A-1",RateA1,IF($B17="A-2",이자기간!$I$7,RateB))*(이자기간!$G$7/Days365+이자기간!$F$7/Days366),0)</f>
        <v/>
      </c>
      <c r="H17" s="12">
        <f>ROUNDDOWN($D17*IF($B17="A-1",RateA1,IF($B17="A-2",이자기간!$I$8,RateB))*(이자기간!$G$8/Days365+이자기간!$F$8/Days366),0)</f>
        <v/>
      </c>
      <c r="I17" s="12">
        <f>ROUNDDOWN($D17*IF($B17="A-1",RateA1,IF($B17="A-2",이자기간!$I$9,RateB))*(이자기간!$G$9/Days365+이자기간!$F$9/Days366),0)</f>
        <v/>
      </c>
      <c r="J17" s="12">
        <f>ROUNDDOWN($D17*IF($B17="A-1",RateA1,IF($B17="A-2",이자기간!$I$10,RateB))*(이자기간!$G$10/Days365+이자기간!$F$10/Days366),0)</f>
        <v/>
      </c>
      <c r="K17" s="12">
        <f>ROUNDDOWN($D17*IF($B17="A-1",RateA1,IF($B17="A-2",이자기간!$I$11,RateB))*(이자기간!$G$11/Days365+이자기간!$F$11/Days366),0)</f>
        <v/>
      </c>
      <c r="L17" s="12">
        <f>ROUNDDOWN($D17*IF($B17="A-1",RateA1,IF($B17="A-2",이자기간!$I$12,RateB))*(이자기간!$G$12/Days365+이자기간!$F$12/Days366),0)</f>
        <v/>
      </c>
      <c r="M17" s="12">
        <f>SUM(E17:L17)</f>
        <v/>
      </c>
    </row>
    <row r="18">
      <c r="A18" s="11" t="n">
        <v>14</v>
      </c>
      <c r="B18" s="11">
        <f>대주목록!B17</f>
        <v/>
      </c>
      <c r="C18" s="4">
        <f>대주목록!C17</f>
        <v/>
      </c>
      <c r="D18" s="12">
        <f>대주목록!D17</f>
        <v/>
      </c>
      <c r="E18" s="12">
        <f>ROUNDDOWN($D18*IF($B18="A-1",RateA1,IF($B18="A-2",이자기간!$I$5,RateB))*(이자기간!$G$5/Days365+이자기간!$F$5/Days366),0)</f>
        <v/>
      </c>
      <c r="F18" s="12">
        <f>ROUNDDOWN($D18*IF($B18="A-1",RateA1,IF($B18="A-2",이자기간!$I$6,RateB))*(이자기간!$G$6/Days365+이자기간!$F$6/Days366),0)</f>
        <v/>
      </c>
      <c r="G18" s="12">
        <f>ROUNDDOWN($D18*IF($B18="A-1",RateA1,IF($B18="A-2",이자기간!$I$7,RateB))*(이자기간!$G$7/Days365+이자기간!$F$7/Days366),0)</f>
        <v/>
      </c>
      <c r="H18" s="12">
        <f>ROUNDDOWN($D18*IF($B18="A-1",RateA1,IF($B18="A-2",이자기간!$I$8,RateB))*(이자기간!$G$8/Days365+이자기간!$F$8/Days366),0)</f>
        <v/>
      </c>
      <c r="I18" s="12">
        <f>ROUNDDOWN($D18*IF($B18="A-1",RateA1,IF($B18="A-2",이자기간!$I$9,RateB))*(이자기간!$G$9/Days365+이자기간!$F$9/Days366),0)</f>
        <v/>
      </c>
      <c r="J18" s="12">
        <f>ROUNDDOWN($D18*IF($B18="A-1",RateA1,IF($B18="A-2",이자기간!$I$10,RateB))*(이자기간!$G$10/Days365+이자기간!$F$10/Days366),0)</f>
        <v/>
      </c>
      <c r="K18" s="12">
        <f>ROUNDDOWN($D18*IF($B18="A-1",RateA1,IF($B18="A-2",이자기간!$I$11,RateB))*(이자기간!$G$11/Days365+이자기간!$F$11/Days366),0)</f>
        <v/>
      </c>
      <c r="L18" s="12">
        <f>ROUNDDOWN($D18*IF($B18="A-1",RateA1,IF($B18="A-2",이자기간!$I$12,RateB))*(이자기간!$G$12/Days365+이자기간!$F$12/Days366),0)</f>
        <v/>
      </c>
      <c r="M18" s="12">
        <f>SUM(E18:L18)</f>
        <v/>
      </c>
    </row>
    <row r="19">
      <c r="A19" s="11" t="n">
        <v>15</v>
      </c>
      <c r="B19" s="11">
        <f>대주목록!B18</f>
        <v/>
      </c>
      <c r="C19" s="4">
        <f>대주목록!C18</f>
        <v/>
      </c>
      <c r="D19" s="12">
        <f>대주목록!D18</f>
        <v/>
      </c>
      <c r="E19" s="12">
        <f>ROUNDDOWN($D19*IF($B19="A-1",RateA1,IF($B19="A-2",이자기간!$I$5,RateB))*(이자기간!$G$5/Days365+이자기간!$F$5/Days366),0)</f>
        <v/>
      </c>
      <c r="F19" s="12">
        <f>ROUNDDOWN($D19*IF($B19="A-1",RateA1,IF($B19="A-2",이자기간!$I$6,RateB))*(이자기간!$G$6/Days365+이자기간!$F$6/Days366),0)</f>
        <v/>
      </c>
      <c r="G19" s="12">
        <f>ROUNDDOWN($D19*IF($B19="A-1",RateA1,IF($B19="A-2",이자기간!$I$7,RateB))*(이자기간!$G$7/Days365+이자기간!$F$7/Days366),0)</f>
        <v/>
      </c>
      <c r="H19" s="12">
        <f>ROUNDDOWN($D19*IF($B19="A-1",RateA1,IF($B19="A-2",이자기간!$I$8,RateB))*(이자기간!$G$8/Days365+이자기간!$F$8/Days366),0)</f>
        <v/>
      </c>
      <c r="I19" s="12">
        <f>ROUNDDOWN($D19*IF($B19="A-1",RateA1,IF($B19="A-2",이자기간!$I$9,RateB))*(이자기간!$G$9/Days365+이자기간!$F$9/Days366),0)</f>
        <v/>
      </c>
      <c r="J19" s="12">
        <f>ROUNDDOWN($D19*IF($B19="A-1",RateA1,IF($B19="A-2",이자기간!$I$10,RateB))*(이자기간!$G$10/Days365+이자기간!$F$10/Days366),0)</f>
        <v/>
      </c>
      <c r="K19" s="12">
        <f>ROUNDDOWN($D19*IF($B19="A-1",RateA1,IF($B19="A-2",이자기간!$I$11,RateB))*(이자기간!$G$11/Days365+이자기간!$F$11/Days366),0)</f>
        <v/>
      </c>
      <c r="L19" s="12">
        <f>ROUNDDOWN($D19*IF($B19="A-1",RateA1,IF($B19="A-2",이자기간!$I$12,RateB))*(이자기간!$G$12/Days365+이자기간!$F$12/Days366),0)</f>
        <v/>
      </c>
      <c r="M19" s="12">
        <f>SUM(E19:L19)</f>
        <v/>
      </c>
    </row>
    <row r="20">
      <c r="A20" s="11" t="n">
        <v>16</v>
      </c>
      <c r="B20" s="11">
        <f>대주목록!B19</f>
        <v/>
      </c>
      <c r="C20" s="4">
        <f>대주목록!C19</f>
        <v/>
      </c>
      <c r="D20" s="12">
        <f>대주목록!D19</f>
        <v/>
      </c>
      <c r="E20" s="12">
        <f>ROUNDDOWN($D20*IF($B20="A-1",RateA1,IF($B20="A-2",이자기간!$I$5,RateB))*(이자기간!$G$5/Days365+이자기간!$F$5/Days366),0)</f>
        <v/>
      </c>
      <c r="F20" s="12">
        <f>ROUNDDOWN($D20*IF($B20="A-1",RateA1,IF($B20="A-2",이자기간!$I$6,RateB))*(이자기간!$G$6/Days365+이자기간!$F$6/Days366),0)</f>
        <v/>
      </c>
      <c r="G20" s="12">
        <f>ROUNDDOWN($D20*IF($B20="A-1",RateA1,IF($B20="A-2",이자기간!$I$7,RateB))*(이자기간!$G$7/Days365+이자기간!$F$7/Days366),0)</f>
        <v/>
      </c>
      <c r="H20" s="12">
        <f>ROUNDDOWN($D20*IF($B20="A-1",RateA1,IF($B20="A-2",이자기간!$I$8,RateB))*(이자기간!$G$8/Days365+이자기간!$F$8/Days366),0)</f>
        <v/>
      </c>
      <c r="I20" s="12">
        <f>ROUNDDOWN($D20*IF($B20="A-1",RateA1,IF($B20="A-2",이자기간!$I$9,RateB))*(이자기간!$G$9/Days365+이자기간!$F$9/Days366),0)</f>
        <v/>
      </c>
      <c r="J20" s="12">
        <f>ROUNDDOWN($D20*IF($B20="A-1",RateA1,IF($B20="A-2",이자기간!$I$10,RateB))*(이자기간!$G$10/Days365+이자기간!$F$10/Days366),0)</f>
        <v/>
      </c>
      <c r="K20" s="12">
        <f>ROUNDDOWN($D20*IF($B20="A-1",RateA1,IF($B20="A-2",이자기간!$I$11,RateB))*(이자기간!$G$11/Days365+이자기간!$F$11/Days366),0)</f>
        <v/>
      </c>
      <c r="L20" s="12">
        <f>ROUNDDOWN($D20*IF($B20="A-1",RateA1,IF($B20="A-2",이자기간!$I$12,RateB))*(이자기간!$G$12/Days365+이자기간!$F$12/Days366),0)</f>
        <v/>
      </c>
      <c r="M20" s="12">
        <f>SUM(E20:L20)</f>
        <v/>
      </c>
    </row>
    <row r="21">
      <c r="A21" s="11" t="n">
        <v>17</v>
      </c>
      <c r="B21" s="11">
        <f>대주목록!B20</f>
        <v/>
      </c>
      <c r="C21" s="4">
        <f>대주목록!C20</f>
        <v/>
      </c>
      <c r="D21" s="12">
        <f>대주목록!D20</f>
        <v/>
      </c>
      <c r="E21" s="12">
        <f>ROUNDDOWN($D21*IF($B21="A-1",RateA1,IF($B21="A-2",이자기간!$I$5,RateB))*(이자기간!$G$5/Days365+이자기간!$F$5/Days366),0)</f>
        <v/>
      </c>
      <c r="F21" s="12">
        <f>ROUNDDOWN($D21*IF($B21="A-1",RateA1,IF($B21="A-2",이자기간!$I$6,RateB))*(이자기간!$G$6/Days365+이자기간!$F$6/Days366),0)</f>
        <v/>
      </c>
      <c r="G21" s="12">
        <f>ROUNDDOWN($D21*IF($B21="A-1",RateA1,IF($B21="A-2",이자기간!$I$7,RateB))*(이자기간!$G$7/Days365+이자기간!$F$7/Days366),0)</f>
        <v/>
      </c>
      <c r="H21" s="12">
        <f>ROUNDDOWN($D21*IF($B21="A-1",RateA1,IF($B21="A-2",이자기간!$I$8,RateB))*(이자기간!$G$8/Days365+이자기간!$F$8/Days366),0)</f>
        <v/>
      </c>
      <c r="I21" s="12">
        <f>ROUNDDOWN($D21*IF($B21="A-1",RateA1,IF($B21="A-2",이자기간!$I$9,RateB))*(이자기간!$G$9/Days365+이자기간!$F$9/Days366),0)</f>
        <v/>
      </c>
      <c r="J21" s="12">
        <f>ROUNDDOWN($D21*IF($B21="A-1",RateA1,IF($B21="A-2",이자기간!$I$10,RateB))*(이자기간!$G$10/Days365+이자기간!$F$10/Days366),0)</f>
        <v/>
      </c>
      <c r="K21" s="12">
        <f>ROUNDDOWN($D21*IF($B21="A-1",RateA1,IF($B21="A-2",이자기간!$I$11,RateB))*(이자기간!$G$11/Days365+이자기간!$F$11/Days366),0)</f>
        <v/>
      </c>
      <c r="L21" s="12">
        <f>ROUNDDOWN($D21*IF($B21="A-1",RateA1,IF($B21="A-2",이자기간!$I$12,RateB))*(이자기간!$G$12/Days365+이자기간!$F$12/Days366),0)</f>
        <v/>
      </c>
      <c r="M21" s="12">
        <f>SUM(E21:L21)</f>
        <v/>
      </c>
    </row>
    <row r="22">
      <c r="A22" s="11" t="n">
        <v>18</v>
      </c>
      <c r="B22" s="11">
        <f>대주목록!B21</f>
        <v/>
      </c>
      <c r="C22" s="4">
        <f>대주목록!C21</f>
        <v/>
      </c>
      <c r="D22" s="12">
        <f>대주목록!D21</f>
        <v/>
      </c>
      <c r="E22" s="12">
        <f>ROUNDDOWN($D22*IF($B22="A-1",RateA1,IF($B22="A-2",이자기간!$I$5,RateB))*(이자기간!$G$5/Days365+이자기간!$F$5/Days366),0)</f>
        <v/>
      </c>
      <c r="F22" s="12">
        <f>ROUNDDOWN($D22*IF($B22="A-1",RateA1,IF($B22="A-2",이자기간!$I$6,RateB))*(이자기간!$G$6/Days365+이자기간!$F$6/Days366),0)</f>
        <v/>
      </c>
      <c r="G22" s="12">
        <f>ROUNDDOWN($D22*IF($B22="A-1",RateA1,IF($B22="A-2",이자기간!$I$7,RateB))*(이자기간!$G$7/Days365+이자기간!$F$7/Days366),0)</f>
        <v/>
      </c>
      <c r="H22" s="12">
        <f>ROUNDDOWN($D22*IF($B22="A-1",RateA1,IF($B22="A-2",이자기간!$I$8,RateB))*(이자기간!$G$8/Days365+이자기간!$F$8/Days366),0)</f>
        <v/>
      </c>
      <c r="I22" s="12">
        <f>ROUNDDOWN($D22*IF($B22="A-1",RateA1,IF($B22="A-2",이자기간!$I$9,RateB))*(이자기간!$G$9/Days365+이자기간!$F$9/Days366),0)</f>
        <v/>
      </c>
      <c r="J22" s="12">
        <f>ROUNDDOWN($D22*IF($B22="A-1",RateA1,IF($B22="A-2",이자기간!$I$10,RateB))*(이자기간!$G$10/Days365+이자기간!$F$10/Days366),0)</f>
        <v/>
      </c>
      <c r="K22" s="12">
        <f>ROUNDDOWN($D22*IF($B22="A-1",RateA1,IF($B22="A-2",이자기간!$I$11,RateB))*(이자기간!$G$11/Days365+이자기간!$F$11/Days366),0)</f>
        <v/>
      </c>
      <c r="L22" s="12">
        <f>ROUNDDOWN($D22*IF($B22="A-1",RateA1,IF($B22="A-2",이자기간!$I$12,RateB))*(이자기간!$G$12/Days365+이자기간!$F$12/Days366),0)</f>
        <v/>
      </c>
      <c r="M22" s="12">
        <f>SUM(E22:L22)</f>
        <v/>
      </c>
    </row>
    <row r="23">
      <c r="A23" s="11" t="n">
        <v>19</v>
      </c>
      <c r="B23" s="11">
        <f>대주목록!B22</f>
        <v/>
      </c>
      <c r="C23" s="4">
        <f>대주목록!C22</f>
        <v/>
      </c>
      <c r="D23" s="12">
        <f>대주목록!D22</f>
        <v/>
      </c>
      <c r="E23" s="12">
        <f>ROUNDDOWN($D23*IF($B23="A-1",RateA1,IF($B23="A-2",이자기간!$I$5,RateB))*(이자기간!$G$5/Days365+이자기간!$F$5/Days366),0)</f>
        <v/>
      </c>
      <c r="F23" s="12">
        <f>ROUNDDOWN($D23*IF($B23="A-1",RateA1,IF($B23="A-2",이자기간!$I$6,RateB))*(이자기간!$G$6/Days365+이자기간!$F$6/Days366),0)</f>
        <v/>
      </c>
      <c r="G23" s="12">
        <f>ROUNDDOWN($D23*IF($B23="A-1",RateA1,IF($B23="A-2",이자기간!$I$7,RateB))*(이자기간!$G$7/Days365+이자기간!$F$7/Days366),0)</f>
        <v/>
      </c>
      <c r="H23" s="12">
        <f>ROUNDDOWN($D23*IF($B23="A-1",RateA1,IF($B23="A-2",이자기간!$I$8,RateB))*(이자기간!$G$8/Days365+이자기간!$F$8/Days366),0)</f>
        <v/>
      </c>
      <c r="I23" s="12">
        <f>ROUNDDOWN($D23*IF($B23="A-1",RateA1,IF($B23="A-2",이자기간!$I$9,RateB))*(이자기간!$G$9/Days365+이자기간!$F$9/Days366),0)</f>
        <v/>
      </c>
      <c r="J23" s="12">
        <f>ROUNDDOWN($D23*IF($B23="A-1",RateA1,IF($B23="A-2",이자기간!$I$10,RateB))*(이자기간!$G$10/Days365+이자기간!$F$10/Days366),0)</f>
        <v/>
      </c>
      <c r="K23" s="12">
        <f>ROUNDDOWN($D23*IF($B23="A-1",RateA1,IF($B23="A-2",이자기간!$I$11,RateB))*(이자기간!$G$11/Days365+이자기간!$F$11/Days366),0)</f>
        <v/>
      </c>
      <c r="L23" s="12">
        <f>ROUNDDOWN($D23*IF($B23="A-1",RateA1,IF($B23="A-2",이자기간!$I$12,RateB))*(이자기간!$G$12/Days365+이자기간!$F$12/Days366),0)</f>
        <v/>
      </c>
      <c r="M23" s="12">
        <f>SUM(E23:L23)</f>
        <v/>
      </c>
    </row>
    <row r="24">
      <c r="A24" s="11" t="n">
        <v>20</v>
      </c>
      <c r="B24" s="11">
        <f>대주목록!B23</f>
        <v/>
      </c>
      <c r="C24" s="4">
        <f>대주목록!C23</f>
        <v/>
      </c>
      <c r="D24" s="12">
        <f>대주목록!D23</f>
        <v/>
      </c>
      <c r="E24" s="12">
        <f>ROUNDDOWN($D24*IF($B24="A-1",RateA1,IF($B24="A-2",이자기간!$I$5,RateB))*(이자기간!$G$5/Days365+이자기간!$F$5/Days366),0)</f>
        <v/>
      </c>
      <c r="F24" s="12">
        <f>ROUNDDOWN($D24*IF($B24="A-1",RateA1,IF($B24="A-2",이자기간!$I$6,RateB))*(이자기간!$G$6/Days365+이자기간!$F$6/Days366),0)</f>
        <v/>
      </c>
      <c r="G24" s="12">
        <f>ROUNDDOWN($D24*IF($B24="A-1",RateA1,IF($B24="A-2",이자기간!$I$7,RateB))*(이자기간!$G$7/Days365+이자기간!$F$7/Days366),0)</f>
        <v/>
      </c>
      <c r="H24" s="12">
        <f>ROUNDDOWN($D24*IF($B24="A-1",RateA1,IF($B24="A-2",이자기간!$I$8,RateB))*(이자기간!$G$8/Days365+이자기간!$F$8/Days366),0)</f>
        <v/>
      </c>
      <c r="I24" s="12">
        <f>ROUNDDOWN($D24*IF($B24="A-1",RateA1,IF($B24="A-2",이자기간!$I$9,RateB))*(이자기간!$G$9/Days365+이자기간!$F$9/Days366),0)</f>
        <v/>
      </c>
      <c r="J24" s="12">
        <f>ROUNDDOWN($D24*IF($B24="A-1",RateA1,IF($B24="A-2",이자기간!$I$10,RateB))*(이자기간!$G$10/Days365+이자기간!$F$10/Days366),0)</f>
        <v/>
      </c>
      <c r="K24" s="12">
        <f>ROUNDDOWN($D24*IF($B24="A-1",RateA1,IF($B24="A-2",이자기간!$I$11,RateB))*(이자기간!$G$11/Days365+이자기간!$F$11/Days366),0)</f>
        <v/>
      </c>
      <c r="L24" s="12">
        <f>ROUNDDOWN($D24*IF($B24="A-1",RateA1,IF($B24="A-2",이자기간!$I$12,RateB))*(이자기간!$G$12/Days365+이자기간!$F$12/Days366),0)</f>
        <v/>
      </c>
      <c r="M24" s="12">
        <f>SUM(E24:L24)</f>
        <v/>
      </c>
    </row>
    <row r="25">
      <c r="A25" s="11" t="n">
        <v>21</v>
      </c>
      <c r="B25" s="11">
        <f>대주목록!B24</f>
        <v/>
      </c>
      <c r="C25" s="4">
        <f>대주목록!C24</f>
        <v/>
      </c>
      <c r="D25" s="12">
        <f>대주목록!D24</f>
        <v/>
      </c>
      <c r="E25" s="12">
        <f>ROUNDDOWN($D25*IF($B25="A-1",RateA1,IF($B25="A-2",이자기간!$I$5,RateB))*(이자기간!$G$5/Days365+이자기간!$F$5/Days366),0)</f>
        <v/>
      </c>
      <c r="F25" s="12">
        <f>ROUNDDOWN($D25*IF($B25="A-1",RateA1,IF($B25="A-2",이자기간!$I$6,RateB))*(이자기간!$G$6/Days365+이자기간!$F$6/Days366),0)</f>
        <v/>
      </c>
      <c r="G25" s="12">
        <f>ROUNDDOWN($D25*IF($B25="A-1",RateA1,IF($B25="A-2",이자기간!$I$7,RateB))*(이자기간!$G$7/Days365+이자기간!$F$7/Days366),0)</f>
        <v/>
      </c>
      <c r="H25" s="12">
        <f>ROUNDDOWN($D25*IF($B25="A-1",RateA1,IF($B25="A-2",이자기간!$I$8,RateB))*(이자기간!$G$8/Days365+이자기간!$F$8/Days366),0)</f>
        <v/>
      </c>
      <c r="I25" s="12">
        <f>ROUNDDOWN($D25*IF($B25="A-1",RateA1,IF($B25="A-2",이자기간!$I$9,RateB))*(이자기간!$G$9/Days365+이자기간!$F$9/Days366),0)</f>
        <v/>
      </c>
      <c r="J25" s="12">
        <f>ROUNDDOWN($D25*IF($B25="A-1",RateA1,IF($B25="A-2",이자기간!$I$10,RateB))*(이자기간!$G$10/Days365+이자기간!$F$10/Days366),0)</f>
        <v/>
      </c>
      <c r="K25" s="12">
        <f>ROUNDDOWN($D25*IF($B25="A-1",RateA1,IF($B25="A-2",이자기간!$I$11,RateB))*(이자기간!$G$11/Days365+이자기간!$F$11/Days366),0)</f>
        <v/>
      </c>
      <c r="L25" s="12">
        <f>ROUNDDOWN($D25*IF($B25="A-1",RateA1,IF($B25="A-2",이자기간!$I$12,RateB))*(이자기간!$G$12/Days365+이자기간!$F$12/Days366),0)</f>
        <v/>
      </c>
      <c r="M25" s="12">
        <f>SUM(E25:L25)</f>
        <v/>
      </c>
    </row>
    <row r="26">
      <c r="A26" s="11" t="n">
        <v>22</v>
      </c>
      <c r="B26" s="11">
        <f>대주목록!B25</f>
        <v/>
      </c>
      <c r="C26" s="4">
        <f>대주목록!C25</f>
        <v/>
      </c>
      <c r="D26" s="12">
        <f>대주목록!D25</f>
        <v/>
      </c>
      <c r="E26" s="12">
        <f>ROUNDDOWN($D26*IF($B26="A-1",RateA1,IF($B26="A-2",이자기간!$I$5,RateB))*(이자기간!$G$5/Days365+이자기간!$F$5/Days366),0)</f>
        <v/>
      </c>
      <c r="F26" s="12">
        <f>ROUNDDOWN($D26*IF($B26="A-1",RateA1,IF($B26="A-2",이자기간!$I$6,RateB))*(이자기간!$G$6/Days365+이자기간!$F$6/Days366),0)</f>
        <v/>
      </c>
      <c r="G26" s="12">
        <f>ROUNDDOWN($D26*IF($B26="A-1",RateA1,IF($B26="A-2",이자기간!$I$7,RateB))*(이자기간!$G$7/Days365+이자기간!$F$7/Days366),0)</f>
        <v/>
      </c>
      <c r="H26" s="12">
        <f>ROUNDDOWN($D26*IF($B26="A-1",RateA1,IF($B26="A-2",이자기간!$I$8,RateB))*(이자기간!$G$8/Days365+이자기간!$F$8/Days366),0)</f>
        <v/>
      </c>
      <c r="I26" s="12">
        <f>ROUNDDOWN($D26*IF($B26="A-1",RateA1,IF($B26="A-2",이자기간!$I$9,RateB))*(이자기간!$G$9/Days365+이자기간!$F$9/Days366),0)</f>
        <v/>
      </c>
      <c r="J26" s="12">
        <f>ROUNDDOWN($D26*IF($B26="A-1",RateA1,IF($B26="A-2",이자기간!$I$10,RateB))*(이자기간!$G$10/Days365+이자기간!$F$10/Days366),0)</f>
        <v/>
      </c>
      <c r="K26" s="12">
        <f>ROUNDDOWN($D26*IF($B26="A-1",RateA1,IF($B26="A-2",이자기간!$I$11,RateB))*(이자기간!$G$11/Days365+이자기간!$F$11/Days366),0)</f>
        <v/>
      </c>
      <c r="L26" s="12">
        <f>ROUNDDOWN($D26*IF($B26="A-1",RateA1,IF($B26="A-2",이자기간!$I$12,RateB))*(이자기간!$G$12/Days365+이자기간!$F$12/Days366),0)</f>
        <v/>
      </c>
      <c r="M26" s="12">
        <f>SUM(E26:L26)</f>
        <v/>
      </c>
    </row>
    <row r="27">
      <c r="A27" s="11" t="n">
        <v>23</v>
      </c>
      <c r="B27" s="11">
        <f>대주목록!B26</f>
        <v/>
      </c>
      <c r="C27" s="4">
        <f>대주목록!C26</f>
        <v/>
      </c>
      <c r="D27" s="12">
        <f>대주목록!D26</f>
        <v/>
      </c>
      <c r="E27" s="12">
        <f>ROUNDDOWN($D27*IF($B27="A-1",RateA1,IF($B27="A-2",이자기간!$I$5,RateB))*(이자기간!$G$5/Days365+이자기간!$F$5/Days366),0)</f>
        <v/>
      </c>
      <c r="F27" s="12">
        <f>ROUNDDOWN($D27*IF($B27="A-1",RateA1,IF($B27="A-2",이자기간!$I$6,RateB))*(이자기간!$G$6/Days365+이자기간!$F$6/Days366),0)</f>
        <v/>
      </c>
      <c r="G27" s="12">
        <f>ROUNDDOWN($D27*IF($B27="A-1",RateA1,IF($B27="A-2",이자기간!$I$7,RateB))*(이자기간!$G$7/Days365+이자기간!$F$7/Days366),0)</f>
        <v/>
      </c>
      <c r="H27" s="12">
        <f>ROUNDDOWN($D27*IF($B27="A-1",RateA1,IF($B27="A-2",이자기간!$I$8,RateB))*(이자기간!$G$8/Days365+이자기간!$F$8/Days366),0)</f>
        <v/>
      </c>
      <c r="I27" s="12">
        <f>ROUNDDOWN($D27*IF($B27="A-1",RateA1,IF($B27="A-2",이자기간!$I$9,RateB))*(이자기간!$G$9/Days365+이자기간!$F$9/Days366),0)</f>
        <v/>
      </c>
      <c r="J27" s="12">
        <f>ROUNDDOWN($D27*IF($B27="A-1",RateA1,IF($B27="A-2",이자기간!$I$10,RateB))*(이자기간!$G$10/Days365+이자기간!$F$10/Days366),0)</f>
        <v/>
      </c>
      <c r="K27" s="12">
        <f>ROUNDDOWN($D27*IF($B27="A-1",RateA1,IF($B27="A-2",이자기간!$I$11,RateB))*(이자기간!$G$11/Days365+이자기간!$F$11/Days366),0)</f>
        <v/>
      </c>
      <c r="L27" s="12">
        <f>ROUNDDOWN($D27*IF($B27="A-1",RateA1,IF($B27="A-2",이자기간!$I$12,RateB))*(이자기간!$G$12/Days365+이자기간!$F$12/Days366),0)</f>
        <v/>
      </c>
      <c r="M27" s="12">
        <f>SUM(E27:L27)</f>
        <v/>
      </c>
    </row>
    <row r="28">
      <c r="A28" s="11" t="n">
        <v>24</v>
      </c>
      <c r="B28" s="11">
        <f>대주목록!B27</f>
        <v/>
      </c>
      <c r="C28" s="4">
        <f>대주목록!C27</f>
        <v/>
      </c>
      <c r="D28" s="12">
        <f>대주목록!D27</f>
        <v/>
      </c>
      <c r="E28" s="12">
        <f>ROUNDDOWN($D28*IF($B28="A-1",RateA1,IF($B28="A-2",이자기간!$I$5,RateB))*(이자기간!$G$5/Days365+이자기간!$F$5/Days366),0)</f>
        <v/>
      </c>
      <c r="F28" s="12">
        <f>ROUNDDOWN($D28*IF($B28="A-1",RateA1,IF($B28="A-2",이자기간!$I$6,RateB))*(이자기간!$G$6/Days365+이자기간!$F$6/Days366),0)</f>
        <v/>
      </c>
      <c r="G28" s="12">
        <f>ROUNDDOWN($D28*IF($B28="A-1",RateA1,IF($B28="A-2",이자기간!$I$7,RateB))*(이자기간!$G$7/Days365+이자기간!$F$7/Days366),0)</f>
        <v/>
      </c>
      <c r="H28" s="12">
        <f>ROUNDDOWN($D28*IF($B28="A-1",RateA1,IF($B28="A-2",이자기간!$I$8,RateB))*(이자기간!$G$8/Days365+이자기간!$F$8/Days366),0)</f>
        <v/>
      </c>
      <c r="I28" s="12">
        <f>ROUNDDOWN($D28*IF($B28="A-1",RateA1,IF($B28="A-2",이자기간!$I$9,RateB))*(이자기간!$G$9/Days365+이자기간!$F$9/Days366),0)</f>
        <v/>
      </c>
      <c r="J28" s="12">
        <f>ROUNDDOWN($D28*IF($B28="A-1",RateA1,IF($B28="A-2",이자기간!$I$10,RateB))*(이자기간!$G$10/Days365+이자기간!$F$10/Days366),0)</f>
        <v/>
      </c>
      <c r="K28" s="12">
        <f>ROUNDDOWN($D28*IF($B28="A-1",RateA1,IF($B28="A-2",이자기간!$I$11,RateB))*(이자기간!$G$11/Days365+이자기간!$F$11/Days366),0)</f>
        <v/>
      </c>
      <c r="L28" s="12">
        <f>ROUNDDOWN($D28*IF($B28="A-1",RateA1,IF($B28="A-2",이자기간!$I$12,RateB))*(이자기간!$G$12/Days365+이자기간!$F$12/Days366),0)</f>
        <v/>
      </c>
      <c r="M28" s="12">
        <f>SUM(E28:L28)</f>
        <v/>
      </c>
    </row>
    <row r="29">
      <c r="A29" s="11" t="n">
        <v>25</v>
      </c>
      <c r="B29" s="11">
        <f>대주목록!B28</f>
        <v/>
      </c>
      <c r="C29" s="4">
        <f>대주목록!C28</f>
        <v/>
      </c>
      <c r="D29" s="12">
        <f>대주목록!D28</f>
        <v/>
      </c>
      <c r="E29" s="12">
        <f>ROUNDDOWN($D29*IF($B29="A-1",RateA1,IF($B29="A-2",이자기간!$I$5,RateB))*(이자기간!$G$5/Days365+이자기간!$F$5/Days366),0)</f>
        <v/>
      </c>
      <c r="F29" s="12">
        <f>ROUNDDOWN($D29*IF($B29="A-1",RateA1,IF($B29="A-2",이자기간!$I$6,RateB))*(이자기간!$G$6/Days365+이자기간!$F$6/Days366),0)</f>
        <v/>
      </c>
      <c r="G29" s="12">
        <f>ROUNDDOWN($D29*IF($B29="A-1",RateA1,IF($B29="A-2",이자기간!$I$7,RateB))*(이자기간!$G$7/Days365+이자기간!$F$7/Days366),0)</f>
        <v/>
      </c>
      <c r="H29" s="12">
        <f>ROUNDDOWN($D29*IF($B29="A-1",RateA1,IF($B29="A-2",이자기간!$I$8,RateB))*(이자기간!$G$8/Days365+이자기간!$F$8/Days366),0)</f>
        <v/>
      </c>
      <c r="I29" s="12">
        <f>ROUNDDOWN($D29*IF($B29="A-1",RateA1,IF($B29="A-2",이자기간!$I$9,RateB))*(이자기간!$G$9/Days365+이자기간!$F$9/Days366),0)</f>
        <v/>
      </c>
      <c r="J29" s="12">
        <f>ROUNDDOWN($D29*IF($B29="A-1",RateA1,IF($B29="A-2",이자기간!$I$10,RateB))*(이자기간!$G$10/Days365+이자기간!$F$10/Days366),0)</f>
        <v/>
      </c>
      <c r="K29" s="12">
        <f>ROUNDDOWN($D29*IF($B29="A-1",RateA1,IF($B29="A-2",이자기간!$I$11,RateB))*(이자기간!$G$11/Days365+이자기간!$F$11/Days366),0)</f>
        <v/>
      </c>
      <c r="L29" s="12">
        <f>ROUNDDOWN($D29*IF($B29="A-1",RateA1,IF($B29="A-2",이자기간!$I$12,RateB))*(이자기간!$G$12/Days365+이자기간!$F$12/Days366),0)</f>
        <v/>
      </c>
      <c r="M29" s="12">
        <f>SUM(E29:L29)</f>
        <v/>
      </c>
    </row>
    <row r="30">
      <c r="A30" s="19" t="n"/>
      <c r="B30" s="19" t="n"/>
      <c r="C30" s="19" t="inlineStr">
        <is>
          <t>Tranche A-1 소계</t>
        </is>
      </c>
      <c r="D30" s="20">
        <f>SUMIF($B$5:$B$29,"A-1",D$5:D$29)</f>
        <v/>
      </c>
      <c r="E30" s="20">
        <f>SUMIF($B$5:$B$29,"A-1",E$5:E$29)</f>
        <v/>
      </c>
      <c r="F30" s="20">
        <f>SUMIF($B$5:$B$29,"A-1",F$5:F$29)</f>
        <v/>
      </c>
      <c r="G30" s="20">
        <f>SUMIF($B$5:$B$29,"A-1",G$5:G$29)</f>
        <v/>
      </c>
      <c r="H30" s="20">
        <f>SUMIF($B$5:$B$29,"A-1",H$5:H$29)</f>
        <v/>
      </c>
      <c r="I30" s="20">
        <f>SUMIF($B$5:$B$29,"A-1",I$5:I$29)</f>
        <v/>
      </c>
      <c r="J30" s="20">
        <f>SUMIF($B$5:$B$29,"A-1",J$5:J$29)</f>
        <v/>
      </c>
      <c r="K30" s="20">
        <f>SUMIF($B$5:$B$29,"A-1",K$5:K$29)</f>
        <v/>
      </c>
      <c r="L30" s="20">
        <f>SUMIF($B$5:$B$29,"A-1",L$5:L$29)</f>
        <v/>
      </c>
      <c r="M30" s="20">
        <f>SUMIF($B$5:$B$29,"A-1",M$5:M$29)</f>
        <v/>
      </c>
    </row>
    <row r="31">
      <c r="A31" s="19" t="n"/>
      <c r="B31" s="19" t="n"/>
      <c r="C31" s="19" t="inlineStr">
        <is>
          <t>Tranche A-2 소계</t>
        </is>
      </c>
      <c r="D31" s="20">
        <f>SUMIF($B$5:$B$29,"A-2",D$5:D$29)</f>
        <v/>
      </c>
      <c r="E31" s="20">
        <f>SUMIF($B$5:$B$29,"A-2",E$5:E$29)</f>
        <v/>
      </c>
      <c r="F31" s="20">
        <f>SUMIF($B$5:$B$29,"A-2",F$5:F$29)</f>
        <v/>
      </c>
      <c r="G31" s="20">
        <f>SUMIF($B$5:$B$29,"A-2",G$5:G$29)</f>
        <v/>
      </c>
      <c r="H31" s="20">
        <f>SUMIF($B$5:$B$29,"A-2",H$5:H$29)</f>
        <v/>
      </c>
      <c r="I31" s="20">
        <f>SUMIF($B$5:$B$29,"A-2",I$5:I$29)</f>
        <v/>
      </c>
      <c r="J31" s="20">
        <f>SUMIF($B$5:$B$29,"A-2",J$5:J$29)</f>
        <v/>
      </c>
      <c r="K31" s="20">
        <f>SUMIF($B$5:$B$29,"A-2",K$5:K$29)</f>
        <v/>
      </c>
      <c r="L31" s="20">
        <f>SUMIF($B$5:$B$29,"A-2",L$5:L$29)</f>
        <v/>
      </c>
      <c r="M31" s="20">
        <f>SUMIF($B$5:$B$29,"A-2",M$5:M$29)</f>
        <v/>
      </c>
    </row>
    <row r="32">
      <c r="A32" s="19" t="n"/>
      <c r="B32" s="19" t="n"/>
      <c r="C32" s="19" t="inlineStr">
        <is>
          <t>Tranche B 소계</t>
        </is>
      </c>
      <c r="D32" s="20">
        <f>SUMIF($B$5:$B$29,"B",D$5:D$29)</f>
        <v/>
      </c>
      <c r="E32" s="20">
        <f>SUMIF($B$5:$B$29,"B",E$5:E$29)</f>
        <v/>
      </c>
      <c r="F32" s="20">
        <f>SUMIF($B$5:$B$29,"B",F$5:F$29)</f>
        <v/>
      </c>
      <c r="G32" s="20">
        <f>SUMIF($B$5:$B$29,"B",G$5:G$29)</f>
        <v/>
      </c>
      <c r="H32" s="20">
        <f>SUMIF($B$5:$B$29,"B",H$5:H$29)</f>
        <v/>
      </c>
      <c r="I32" s="20">
        <f>SUMIF($B$5:$B$29,"B",I$5:I$29)</f>
        <v/>
      </c>
      <c r="J32" s="20">
        <f>SUMIF($B$5:$B$29,"B",J$5:J$29)</f>
        <v/>
      </c>
      <c r="K32" s="20">
        <f>SUMIF($B$5:$B$29,"B",K$5:K$29)</f>
        <v/>
      </c>
      <c r="L32" s="20">
        <f>SUMIF($B$5:$B$29,"B",L$5:L$29)</f>
        <v/>
      </c>
      <c r="M32" s="20">
        <f>SUMIF($B$5:$B$29,"B",M$5:M$29)</f>
        <v/>
      </c>
    </row>
    <row r="33">
      <c r="A33" s="19" t="n"/>
      <c r="B33" s="19" t="n"/>
      <c r="C33" s="19" t="inlineStr">
        <is>
          <t>합계</t>
        </is>
      </c>
      <c r="D33" s="20">
        <f>SUM(D5:D29)</f>
        <v/>
      </c>
      <c r="E33" s="20">
        <f>SUM(E5:E29)</f>
        <v/>
      </c>
      <c r="F33" s="20">
        <f>SUM(F5:F29)</f>
        <v/>
      </c>
      <c r="G33" s="20">
        <f>SUM(G5:G29)</f>
        <v/>
      </c>
      <c r="H33" s="20">
        <f>SUM(H5:H29)</f>
        <v/>
      </c>
      <c r="I33" s="20">
        <f>SUM(I5:I29)</f>
        <v/>
      </c>
      <c r="J33" s="20">
        <f>SUM(J5:J29)</f>
        <v/>
      </c>
      <c r="K33" s="20">
        <f>SUM(K5:K29)</f>
        <v/>
      </c>
      <c r="L33" s="20">
        <f>SUM(L5:L29)</f>
        <v/>
      </c>
      <c r="M33" s="20">
        <f>SUM(M5:M29)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4" customWidth="1" min="4" max="4"/>
    <col width="17" customWidth="1" min="5" max="5"/>
    <col width="9" customWidth="1" min="6" max="6"/>
    <col width="16" customWidth="1" min="7" max="7"/>
    <col width="9" customWidth="1" min="8" max="8"/>
    <col width="15" customWidth="1" min="9" max="9"/>
    <col width="12" customWidth="1" min="10" max="10"/>
    <col width="20" customWidth="1" min="11" max="11"/>
    <col width="22" customWidth="1" min="12" max="12"/>
    <col width="9" customWidth="1" min="13" max="13"/>
    <col width="22" customWidth="1" min="14" max="14"/>
    <col width="26" customWidth="1" min="15" max="15"/>
    <col width="32" customWidth="1" min="16" max="16"/>
    <col width="52" customWidth="1" min="17" max="17"/>
  </cols>
  <sheetData>
    <row r="1">
      <c r="A1" s="1" t="inlineStr">
        <is>
          <t>기표일(인출일) 지급 기관별 수수료</t>
        </is>
      </c>
    </row>
    <row r="2">
      <c r="A2" s="2" t="inlineStr">
        <is>
          <t>근거: 개별 수수료약정서(모두 '대출금의 인출일에 지급', '부가가치세 없음' 기재). 수취계좌는 '통지처_계좌' 시트 입력값을 자동 표시합니다.</t>
        </is>
      </c>
    </row>
    <row r="4">
      <c r="A4" s="3" t="inlineStr">
        <is>
          <t>순번</t>
        </is>
      </c>
      <c r="B4" s="3" t="inlineStr">
        <is>
          <t>Tranche</t>
        </is>
      </c>
      <c r="C4" s="3" t="inlineStr">
        <is>
          <t>대주명</t>
        </is>
      </c>
      <c r="D4" s="3" t="inlineStr">
        <is>
          <t>수수료 구분</t>
        </is>
      </c>
      <c r="E4" s="3" t="inlineStr">
        <is>
          <t>대출약정금</t>
        </is>
      </c>
      <c r="F4" s="3" t="inlineStr">
        <is>
          <t>요율</t>
        </is>
      </c>
      <c r="G4" s="3" t="inlineStr">
        <is>
          <t>수수료 금액(원)</t>
        </is>
      </c>
      <c r="H4" s="3" t="inlineStr">
        <is>
          <t>부가가치세</t>
        </is>
      </c>
      <c r="I4" s="3" t="inlineStr">
        <is>
          <t>지급일</t>
        </is>
      </c>
      <c r="J4" s="3" t="inlineStr">
        <is>
          <t>수취은행</t>
        </is>
      </c>
      <c r="K4" s="3" t="inlineStr">
        <is>
          <t>계좌번호</t>
        </is>
      </c>
      <c r="L4" s="3" t="inlineStr">
        <is>
          <t>예금주</t>
        </is>
      </c>
      <c r="M4" s="3" t="inlineStr">
        <is>
          <t>통장사본</t>
        </is>
      </c>
      <c r="N4" s="3" t="inlineStr">
        <is>
          <t>담당자</t>
        </is>
      </c>
      <c r="O4" s="3" t="inlineStr">
        <is>
          <t>전화</t>
        </is>
      </c>
      <c r="P4" s="3" t="inlineStr">
        <is>
          <t>전자우편</t>
        </is>
      </c>
      <c r="Q4" s="3" t="inlineStr">
        <is>
          <t>근거 약정서</t>
        </is>
      </c>
    </row>
    <row r="5">
      <c r="A5" s="11" t="n">
        <v>1</v>
      </c>
      <c r="B5" s="11" t="inlineStr">
        <is>
          <t>A-1</t>
        </is>
      </c>
      <c r="C5" s="4" t="inlineStr">
        <is>
          <t>롯데캐피탈 주식회사</t>
        </is>
      </c>
      <c r="D5" s="11" t="inlineStr">
        <is>
          <t>대출참여수수료</t>
        </is>
      </c>
      <c r="E5" s="12">
        <f>대주목록!D4</f>
        <v/>
      </c>
      <c r="F5" s="27" t="n">
        <v>0.018</v>
      </c>
      <c r="G5" s="28">
        <f>ROUND(E5*F5,0)</f>
        <v/>
      </c>
      <c r="H5" s="11" t="inlineStr">
        <is>
          <t>없음</t>
        </is>
      </c>
      <c r="I5" s="22">
        <f>DrawDate</f>
        <v/>
      </c>
      <c r="J5" s="29">
        <f>IF(통지처_계좌!J6="","",통지처_계좌!J6)</f>
        <v/>
      </c>
      <c r="K5" s="29">
        <f>IF(통지처_계좌!K6="","",통지처_계좌!K6)</f>
        <v/>
      </c>
      <c r="L5" s="29">
        <f>IF(통지처_계좌!L6="","",통지처_계좌!L6)</f>
        <v/>
      </c>
      <c r="M5" s="11">
        <f>IF(통지처_계좌!M6="","미수령","수령")</f>
        <v/>
      </c>
      <c r="N5" s="4">
        <f>통지처_계좌!E6</f>
        <v/>
      </c>
      <c r="O5" s="4">
        <f>통지처_계좌!F6&amp;IF(통지처_계좌!G6="","",", "&amp;통지처_계좌!G6)</f>
        <v/>
      </c>
      <c r="P5" s="4">
        <f>통지처_계좌!I6</f>
        <v/>
      </c>
      <c r="Q5" s="4" t="inlineStr">
        <is>
          <t>대출참여수수료약정서(Tr A-1 롯데캐피탈)(25905685.v3)</t>
        </is>
      </c>
    </row>
    <row r="6">
      <c r="A6" s="11" t="n">
        <v>2</v>
      </c>
      <c r="B6" s="11" t="inlineStr">
        <is>
          <t>A-1</t>
        </is>
      </c>
      <c r="C6" s="4" t="inlineStr">
        <is>
          <t>주식회사 우리카드</t>
        </is>
      </c>
      <c r="D6" s="11" t="inlineStr">
        <is>
          <t>대출참여수수료</t>
        </is>
      </c>
      <c r="E6" s="12">
        <f>대주목록!D5</f>
        <v/>
      </c>
      <c r="F6" s="27" t="n">
        <v>0.012</v>
      </c>
      <c r="G6" s="28">
        <f>ROUND(E6*F6,0)</f>
        <v/>
      </c>
      <c r="H6" s="11" t="inlineStr">
        <is>
          <t>없음</t>
        </is>
      </c>
      <c r="I6" s="22">
        <f>DrawDate</f>
        <v/>
      </c>
      <c r="J6" s="29">
        <f>IF(통지처_계좌!J7="","",통지처_계좌!J7)</f>
        <v/>
      </c>
      <c r="K6" s="29">
        <f>IF(통지처_계좌!K7="","",통지처_계좌!K7)</f>
        <v/>
      </c>
      <c r="L6" s="29">
        <f>IF(통지처_계좌!L7="","",통지처_계좌!L7)</f>
        <v/>
      </c>
      <c r="M6" s="11">
        <f>IF(통지처_계좌!M7="","미수령","수령")</f>
        <v/>
      </c>
      <c r="N6" s="4">
        <f>통지처_계좌!E7</f>
        <v/>
      </c>
      <c r="O6" s="4">
        <f>통지처_계좌!F7&amp;IF(통지처_계좌!G7="","",", "&amp;통지처_계좌!G7)</f>
        <v/>
      </c>
      <c r="P6" s="4">
        <f>통지처_계좌!I7</f>
        <v/>
      </c>
      <c r="Q6" s="4" t="inlineStr">
        <is>
          <t>대출참여수수료약정서(Tr A-1 우리카드)(25905689.v3)</t>
        </is>
      </c>
    </row>
    <row r="7">
      <c r="A7" s="11" t="n">
        <v>3</v>
      </c>
      <c r="B7" s="11" t="inlineStr">
        <is>
          <t>A-1</t>
        </is>
      </c>
      <c r="C7" s="4" t="inlineStr">
        <is>
          <t>신용협동조합중앙회</t>
        </is>
      </c>
      <c r="D7" s="11" t="inlineStr">
        <is>
          <t>대출참여수수료</t>
        </is>
      </c>
      <c r="E7" s="12">
        <f>대주목록!D6</f>
        <v/>
      </c>
      <c r="F7" s="27" t="n">
        <v>0.01</v>
      </c>
      <c r="G7" s="28">
        <f>ROUND(E7*F7,0)</f>
        <v/>
      </c>
      <c r="H7" s="11" t="inlineStr">
        <is>
          <t>없음</t>
        </is>
      </c>
      <c r="I7" s="22">
        <f>DrawDate</f>
        <v/>
      </c>
      <c r="J7" s="29">
        <f>IF(통지처_계좌!J8="","",통지처_계좌!J8)</f>
        <v/>
      </c>
      <c r="K7" s="29">
        <f>IF(통지처_계좌!K8="","",통지처_계좌!K8)</f>
        <v/>
      </c>
      <c r="L7" s="29">
        <f>IF(통지처_계좌!L8="","",통지처_계좌!L8)</f>
        <v/>
      </c>
      <c r="M7" s="11">
        <f>IF(통지처_계좌!M8="","미수령","수령")</f>
        <v/>
      </c>
      <c r="N7" s="4">
        <f>통지처_계좌!E8</f>
        <v/>
      </c>
      <c r="O7" s="4">
        <f>통지처_계좌!F8&amp;IF(통지처_계좌!G8="","",", "&amp;통지처_계좌!G8)</f>
        <v/>
      </c>
      <c r="P7" s="4">
        <f>통지처_계좌!I8</f>
        <v/>
      </c>
      <c r="Q7" s="4" t="inlineStr">
        <is>
          <t>대출참여수수료약정서(Tr A-1 신협대주단)(25905687.v4) 제2조 표</t>
        </is>
      </c>
    </row>
    <row r="8">
      <c r="A8" s="11" t="n">
        <v>4</v>
      </c>
      <c r="B8" s="11" t="inlineStr">
        <is>
          <t>A-1</t>
        </is>
      </c>
      <c r="C8" s="4" t="inlineStr">
        <is>
          <t>서로신용협동조합</t>
        </is>
      </c>
      <c r="D8" s="11" t="inlineStr">
        <is>
          <t>대출참여수수료</t>
        </is>
      </c>
      <c r="E8" s="12">
        <f>대주목록!D7</f>
        <v/>
      </c>
      <c r="F8" s="27" t="n">
        <v>0.01</v>
      </c>
      <c r="G8" s="28">
        <f>ROUND(E8*F8,0)</f>
        <v/>
      </c>
      <c r="H8" s="11" t="inlineStr">
        <is>
          <t>없음</t>
        </is>
      </c>
      <c r="I8" s="22">
        <f>DrawDate</f>
        <v/>
      </c>
      <c r="J8" s="29">
        <f>IF(통지처_계좌!J9="","",통지처_계좌!J9)</f>
        <v/>
      </c>
      <c r="K8" s="29">
        <f>IF(통지처_계좌!K9="","",통지처_계좌!K9)</f>
        <v/>
      </c>
      <c r="L8" s="29">
        <f>IF(통지처_계좌!L9="","",통지처_계좌!L9)</f>
        <v/>
      </c>
      <c r="M8" s="11">
        <f>IF(통지처_계좌!M9="","미수령","수령")</f>
        <v/>
      </c>
      <c r="N8" s="4">
        <f>통지처_계좌!E9</f>
        <v/>
      </c>
      <c r="O8" s="4">
        <f>통지처_계좌!F9&amp;IF(통지처_계좌!G9="","",", "&amp;통지처_계좌!G9)</f>
        <v/>
      </c>
      <c r="P8" s="4">
        <f>통지처_계좌!I9</f>
        <v/>
      </c>
      <c r="Q8" s="4" t="inlineStr">
        <is>
          <t>대출참여수수료약정서(Tr A-1 신협대주단)(25905687.v4) 제2조 표</t>
        </is>
      </c>
    </row>
    <row r="9">
      <c r="A9" s="11" t="n">
        <v>5</v>
      </c>
      <c r="B9" s="11" t="inlineStr">
        <is>
          <t>A-1</t>
        </is>
      </c>
      <c r="C9" s="4" t="inlineStr">
        <is>
          <t>수지신용협동조합</t>
        </is>
      </c>
      <c r="D9" s="11" t="inlineStr">
        <is>
          <t>대출참여수수료</t>
        </is>
      </c>
      <c r="E9" s="12">
        <f>대주목록!D8</f>
        <v/>
      </c>
      <c r="F9" s="27" t="n">
        <v>0.01</v>
      </c>
      <c r="G9" s="28">
        <f>ROUND(E9*F9,0)</f>
        <v/>
      </c>
      <c r="H9" s="11" t="inlineStr">
        <is>
          <t>없음</t>
        </is>
      </c>
      <c r="I9" s="22">
        <f>DrawDate</f>
        <v/>
      </c>
      <c r="J9" s="29">
        <f>IF(통지처_계좌!J10="","",통지처_계좌!J10)</f>
        <v/>
      </c>
      <c r="K9" s="29">
        <f>IF(통지처_계좌!K10="","",통지처_계좌!K10)</f>
        <v/>
      </c>
      <c r="L9" s="29">
        <f>IF(통지처_계좌!L10="","",통지처_계좌!L10)</f>
        <v/>
      </c>
      <c r="M9" s="11">
        <f>IF(통지처_계좌!M10="","미수령","수령")</f>
        <v/>
      </c>
      <c r="N9" s="4">
        <f>통지처_계좌!E10</f>
        <v/>
      </c>
      <c r="O9" s="4">
        <f>통지처_계좌!F10&amp;IF(통지처_계좌!G10="","",", "&amp;통지처_계좌!G10)</f>
        <v/>
      </c>
      <c r="P9" s="4">
        <f>통지처_계좌!I10</f>
        <v/>
      </c>
      <c r="Q9" s="4" t="inlineStr">
        <is>
          <t>대출참여수수료약정서(Tr A-1 신협대주단)(25905687.v4) 제2조 표</t>
        </is>
      </c>
    </row>
    <row r="10">
      <c r="A10" s="11" t="n">
        <v>6</v>
      </c>
      <c r="B10" s="11" t="inlineStr">
        <is>
          <t>A-1</t>
        </is>
      </c>
      <c r="C10" s="4" t="inlineStr">
        <is>
          <t>정선신용협동조합</t>
        </is>
      </c>
      <c r="D10" s="11" t="inlineStr">
        <is>
          <t>대출참여수수료</t>
        </is>
      </c>
      <c r="E10" s="12">
        <f>대주목록!D9</f>
        <v/>
      </c>
      <c r="F10" s="27" t="n">
        <v>0.01</v>
      </c>
      <c r="G10" s="28">
        <f>ROUND(E10*F10,0)</f>
        <v/>
      </c>
      <c r="H10" s="11" t="inlineStr">
        <is>
          <t>없음</t>
        </is>
      </c>
      <c r="I10" s="22">
        <f>DrawDate</f>
        <v/>
      </c>
      <c r="J10" s="29">
        <f>IF(통지처_계좌!J11="","",통지처_계좌!J11)</f>
        <v/>
      </c>
      <c r="K10" s="29">
        <f>IF(통지처_계좌!K11="","",통지처_계좌!K11)</f>
        <v/>
      </c>
      <c r="L10" s="29">
        <f>IF(통지처_계좌!L11="","",통지처_계좌!L11)</f>
        <v/>
      </c>
      <c r="M10" s="11">
        <f>IF(통지처_계좌!M11="","미수령","수령")</f>
        <v/>
      </c>
      <c r="N10" s="4">
        <f>통지처_계좌!E11</f>
        <v/>
      </c>
      <c r="O10" s="4">
        <f>통지처_계좌!F11&amp;IF(통지처_계좌!G11="","",", "&amp;통지처_계좌!G11)</f>
        <v/>
      </c>
      <c r="P10" s="4">
        <f>통지처_계좌!I11</f>
        <v/>
      </c>
      <c r="Q10" s="4" t="inlineStr">
        <is>
          <t>대출참여수수료약정서(Tr A-1 신협대주단)(25905687.v4) 제2조 표</t>
        </is>
      </c>
    </row>
    <row r="11">
      <c r="A11" s="11" t="n">
        <v>7</v>
      </c>
      <c r="B11" s="11" t="inlineStr">
        <is>
          <t>A-1</t>
        </is>
      </c>
      <c r="C11" s="4" t="inlineStr">
        <is>
          <t>연희신용협동조합</t>
        </is>
      </c>
      <c r="D11" s="11" t="inlineStr">
        <is>
          <t>대출참여수수료</t>
        </is>
      </c>
      <c r="E11" s="12">
        <f>대주목록!D10</f>
        <v/>
      </c>
      <c r="F11" s="27" t="n">
        <v>0.01</v>
      </c>
      <c r="G11" s="28">
        <f>ROUND(E11*F11,0)</f>
        <v/>
      </c>
      <c r="H11" s="11" t="inlineStr">
        <is>
          <t>없음</t>
        </is>
      </c>
      <c r="I11" s="22">
        <f>DrawDate</f>
        <v/>
      </c>
      <c r="J11" s="29">
        <f>IF(통지처_계좌!J12="","",통지처_계좌!J12)</f>
        <v/>
      </c>
      <c r="K11" s="29">
        <f>IF(통지처_계좌!K12="","",통지처_계좌!K12)</f>
        <v/>
      </c>
      <c r="L11" s="29">
        <f>IF(통지처_계좌!L12="","",통지처_계좌!L12)</f>
        <v/>
      </c>
      <c r="M11" s="11">
        <f>IF(통지처_계좌!M12="","미수령","수령")</f>
        <v/>
      </c>
      <c r="N11" s="4">
        <f>통지처_계좌!E12</f>
        <v/>
      </c>
      <c r="O11" s="4">
        <f>통지처_계좌!F12&amp;IF(통지처_계좌!G12="","",", "&amp;통지처_계좌!G12)</f>
        <v/>
      </c>
      <c r="P11" s="4">
        <f>통지처_계좌!I12</f>
        <v/>
      </c>
      <c r="Q11" s="4" t="inlineStr">
        <is>
          <t>대출참여수수료약정서(Tr A-1 신협대주단)(25905687.v4) 제2조 표</t>
        </is>
      </c>
    </row>
    <row r="12">
      <c r="A12" s="11" t="n">
        <v>8</v>
      </c>
      <c r="B12" s="11" t="inlineStr">
        <is>
          <t>A-1</t>
        </is>
      </c>
      <c r="C12" s="4" t="inlineStr">
        <is>
          <t>금모래신용협동조합</t>
        </is>
      </c>
      <c r="D12" s="11" t="inlineStr">
        <is>
          <t>대출참여수수료</t>
        </is>
      </c>
      <c r="E12" s="12">
        <f>대주목록!D11</f>
        <v/>
      </c>
      <c r="F12" s="27" t="n">
        <v>0.01</v>
      </c>
      <c r="G12" s="28">
        <f>ROUND(E12*F12,0)</f>
        <v/>
      </c>
      <c r="H12" s="11" t="inlineStr">
        <is>
          <t>없음</t>
        </is>
      </c>
      <c r="I12" s="22">
        <f>DrawDate</f>
        <v/>
      </c>
      <c r="J12" s="29">
        <f>IF(통지처_계좌!J13="","",통지처_계좌!J13)</f>
        <v/>
      </c>
      <c r="K12" s="29">
        <f>IF(통지처_계좌!K13="","",통지처_계좌!K13)</f>
        <v/>
      </c>
      <c r="L12" s="29">
        <f>IF(통지처_계좌!L13="","",통지처_계좌!L13)</f>
        <v/>
      </c>
      <c r="M12" s="11">
        <f>IF(통지처_계좌!M13="","미수령","수령")</f>
        <v/>
      </c>
      <c r="N12" s="4">
        <f>통지처_계좌!E13</f>
        <v/>
      </c>
      <c r="O12" s="4">
        <f>통지처_계좌!F13&amp;IF(통지처_계좌!G13="","",", "&amp;통지처_계좌!G13)</f>
        <v/>
      </c>
      <c r="P12" s="4">
        <f>통지처_계좌!I13</f>
        <v/>
      </c>
      <c r="Q12" s="4" t="inlineStr">
        <is>
          <t>대출참여수수료약정서(Tr A-1 신협대주단)(25905687.v4) 제2조 표</t>
        </is>
      </c>
    </row>
    <row r="13">
      <c r="A13" s="11" t="n">
        <v>9</v>
      </c>
      <c r="B13" s="11" t="inlineStr">
        <is>
          <t>A-1</t>
        </is>
      </c>
      <c r="C13" s="4" t="inlineStr">
        <is>
          <t>남인천신용협동조합</t>
        </is>
      </c>
      <c r="D13" s="11" t="inlineStr">
        <is>
          <t>대출참여수수료</t>
        </is>
      </c>
      <c r="E13" s="12">
        <f>대주목록!D12</f>
        <v/>
      </c>
      <c r="F13" s="27" t="n">
        <v>0.01</v>
      </c>
      <c r="G13" s="28">
        <f>ROUND(E13*F13,0)</f>
        <v/>
      </c>
      <c r="H13" s="11" t="inlineStr">
        <is>
          <t>없음</t>
        </is>
      </c>
      <c r="I13" s="22">
        <f>DrawDate</f>
        <v/>
      </c>
      <c r="J13" s="29">
        <f>IF(통지처_계좌!J14="","",통지처_계좌!J14)</f>
        <v/>
      </c>
      <c r="K13" s="29">
        <f>IF(통지처_계좌!K14="","",통지처_계좌!K14)</f>
        <v/>
      </c>
      <c r="L13" s="29">
        <f>IF(통지처_계좌!L14="","",통지처_계좌!L14)</f>
        <v/>
      </c>
      <c r="M13" s="11">
        <f>IF(통지처_계좌!M14="","미수령","수령")</f>
        <v/>
      </c>
      <c r="N13" s="4">
        <f>통지처_계좌!E14</f>
        <v/>
      </c>
      <c r="O13" s="4">
        <f>통지처_계좌!F14&amp;IF(통지처_계좌!G14="","",", "&amp;통지처_계좌!G14)</f>
        <v/>
      </c>
      <c r="P13" s="4">
        <f>통지처_계좌!I14</f>
        <v/>
      </c>
      <c r="Q13" s="4" t="inlineStr">
        <is>
          <t>대출참여수수료약정서(Tr A-1 신협대주단)(25905687.v4) 제2조 표</t>
        </is>
      </c>
    </row>
    <row r="14">
      <c r="A14" s="11" t="n">
        <v>10</v>
      </c>
      <c r="B14" s="11" t="inlineStr">
        <is>
          <t>A-1</t>
        </is>
      </c>
      <c r="C14" s="4" t="inlineStr">
        <is>
          <t>미호신용협동조합</t>
        </is>
      </c>
      <c r="D14" s="11" t="inlineStr">
        <is>
          <t>대출참여수수료</t>
        </is>
      </c>
      <c r="E14" s="12">
        <f>대주목록!D13</f>
        <v/>
      </c>
      <c r="F14" s="27" t="n">
        <v>0.01</v>
      </c>
      <c r="G14" s="28">
        <f>ROUND(E14*F14,0)</f>
        <v/>
      </c>
      <c r="H14" s="11" t="inlineStr">
        <is>
          <t>없음</t>
        </is>
      </c>
      <c r="I14" s="22">
        <f>DrawDate</f>
        <v/>
      </c>
      <c r="J14" s="29">
        <f>IF(통지처_계좌!J15="","",통지처_계좌!J15)</f>
        <v/>
      </c>
      <c r="K14" s="29">
        <f>IF(통지처_계좌!K15="","",통지처_계좌!K15)</f>
        <v/>
      </c>
      <c r="L14" s="29">
        <f>IF(통지처_계좌!L15="","",통지처_계좌!L15)</f>
        <v/>
      </c>
      <c r="M14" s="11">
        <f>IF(통지처_계좌!M15="","미수령","수령")</f>
        <v/>
      </c>
      <c r="N14" s="4">
        <f>통지처_계좌!E15</f>
        <v/>
      </c>
      <c r="O14" s="4">
        <f>통지처_계좌!F15&amp;IF(통지처_계좌!G15="","",", "&amp;통지처_계좌!G15)</f>
        <v/>
      </c>
      <c r="P14" s="4">
        <f>통지처_계좌!I15</f>
        <v/>
      </c>
      <c r="Q14" s="4" t="inlineStr">
        <is>
          <t>대출참여수수료약정서(Tr A-1 신협대주단)(25905687.v4) 제2조 표</t>
        </is>
      </c>
    </row>
    <row r="15">
      <c r="A15" s="11" t="n">
        <v>11</v>
      </c>
      <c r="B15" s="11" t="inlineStr">
        <is>
          <t>A-1</t>
        </is>
      </c>
      <c r="C15" s="4" t="inlineStr">
        <is>
          <t>대구대서신용협동조합</t>
        </is>
      </c>
      <c r="D15" s="11" t="inlineStr">
        <is>
          <t>대출참여수수료</t>
        </is>
      </c>
      <c r="E15" s="12">
        <f>대주목록!D14</f>
        <v/>
      </c>
      <c r="F15" s="27" t="n">
        <v>0.01</v>
      </c>
      <c r="G15" s="28">
        <f>ROUND(E15*F15,0)</f>
        <v/>
      </c>
      <c r="H15" s="11" t="inlineStr">
        <is>
          <t>없음</t>
        </is>
      </c>
      <c r="I15" s="22">
        <f>DrawDate</f>
        <v/>
      </c>
      <c r="J15" s="29">
        <f>IF(통지처_계좌!J16="","",통지처_계좌!J16)</f>
        <v/>
      </c>
      <c r="K15" s="29">
        <f>IF(통지처_계좌!K16="","",통지처_계좌!K16)</f>
        <v/>
      </c>
      <c r="L15" s="29">
        <f>IF(통지처_계좌!L16="","",통지처_계좌!L16)</f>
        <v/>
      </c>
      <c r="M15" s="11">
        <f>IF(통지처_계좌!M16="","미수령","수령")</f>
        <v/>
      </c>
      <c r="N15" s="4">
        <f>통지처_계좌!E16</f>
        <v/>
      </c>
      <c r="O15" s="4">
        <f>통지처_계좌!F16&amp;IF(통지처_계좌!G16="","",", "&amp;통지처_계좌!G16)</f>
        <v/>
      </c>
      <c r="P15" s="4">
        <f>통지처_계좌!I16</f>
        <v/>
      </c>
      <c r="Q15" s="4" t="inlineStr">
        <is>
          <t>대출참여수수료약정서(Tr A-1 신협대주단)(25905687.v4) 제2조 표</t>
        </is>
      </c>
    </row>
    <row r="16">
      <c r="A16" s="11" t="n">
        <v>12</v>
      </c>
      <c r="B16" s="11" t="inlineStr">
        <is>
          <t>A-1</t>
        </is>
      </c>
      <c r="C16" s="4" t="inlineStr">
        <is>
          <t>한빛신용협동조합</t>
        </is>
      </c>
      <c r="D16" s="11" t="inlineStr">
        <is>
          <t>대출참여수수료</t>
        </is>
      </c>
      <c r="E16" s="12">
        <f>대주목록!D15</f>
        <v/>
      </c>
      <c r="F16" s="27" t="n">
        <v>0.01</v>
      </c>
      <c r="G16" s="28">
        <f>ROUND(E16*F16,0)</f>
        <v/>
      </c>
      <c r="H16" s="11" t="inlineStr">
        <is>
          <t>없음</t>
        </is>
      </c>
      <c r="I16" s="22">
        <f>DrawDate</f>
        <v/>
      </c>
      <c r="J16" s="29">
        <f>IF(통지처_계좌!J17="","",통지처_계좌!J17)</f>
        <v/>
      </c>
      <c r="K16" s="29">
        <f>IF(통지처_계좌!K17="","",통지처_계좌!K17)</f>
        <v/>
      </c>
      <c r="L16" s="29">
        <f>IF(통지처_계좌!L17="","",통지처_계좌!L17)</f>
        <v/>
      </c>
      <c r="M16" s="11">
        <f>IF(통지처_계좌!M17="","미수령","수령")</f>
        <v/>
      </c>
      <c r="N16" s="4">
        <f>통지처_계좌!E17</f>
        <v/>
      </c>
      <c r="O16" s="4">
        <f>통지처_계좌!F17&amp;IF(통지처_계좌!G17="","",", "&amp;통지처_계좌!G17)</f>
        <v/>
      </c>
      <c r="P16" s="4">
        <f>통지처_계좌!I17</f>
        <v/>
      </c>
      <c r="Q16" s="4" t="inlineStr">
        <is>
          <t>대출참여수수료약정서(Tr A-1 신협대주단)(25905687.v4) 제2조 표</t>
        </is>
      </c>
    </row>
    <row r="17">
      <c r="A17" s="11" t="n">
        <v>13</v>
      </c>
      <c r="B17" s="11" t="inlineStr">
        <is>
          <t>A-1</t>
        </is>
      </c>
      <c r="C17" s="4" t="inlineStr">
        <is>
          <t>양동행복 신용협동조합</t>
        </is>
      </c>
      <c r="D17" s="11" t="inlineStr">
        <is>
          <t>대출참여수수료</t>
        </is>
      </c>
      <c r="E17" s="12">
        <f>대주목록!D16</f>
        <v/>
      </c>
      <c r="F17" s="27" t="n">
        <v>0.01</v>
      </c>
      <c r="G17" s="28">
        <f>ROUND(E17*F17,0)</f>
        <v/>
      </c>
      <c r="H17" s="11" t="inlineStr">
        <is>
          <t>없음</t>
        </is>
      </c>
      <c r="I17" s="22">
        <f>DrawDate</f>
        <v/>
      </c>
      <c r="J17" s="29">
        <f>IF(통지처_계좌!J18="","",통지처_계좌!J18)</f>
        <v/>
      </c>
      <c r="K17" s="29">
        <f>IF(통지처_계좌!K18="","",통지처_계좌!K18)</f>
        <v/>
      </c>
      <c r="L17" s="29">
        <f>IF(통지처_계좌!L18="","",통지처_계좌!L18)</f>
        <v/>
      </c>
      <c r="M17" s="11">
        <f>IF(통지처_계좌!M18="","미수령","수령")</f>
        <v/>
      </c>
      <c r="N17" s="4">
        <f>통지처_계좌!E18</f>
        <v/>
      </c>
      <c r="O17" s="4">
        <f>통지처_계좌!F18&amp;IF(통지처_계좌!G18="","",", "&amp;통지처_계좌!G18)</f>
        <v/>
      </c>
      <c r="P17" s="4">
        <f>통지처_계좌!I18</f>
        <v/>
      </c>
      <c r="Q17" s="4" t="inlineStr">
        <is>
          <t>대출참여수수료약정서(Tr A-1 신협대주단)(25905687.v4) 제2조 표</t>
        </is>
      </c>
    </row>
    <row r="18">
      <c r="A18" s="11" t="n">
        <v>14</v>
      </c>
      <c r="B18" s="11" t="inlineStr">
        <is>
          <t>A-1</t>
        </is>
      </c>
      <c r="C18" s="4" t="inlineStr">
        <is>
          <t>서귀포동부신용협동조합</t>
        </is>
      </c>
      <c r="D18" s="11" t="inlineStr">
        <is>
          <t>대출참여수수료</t>
        </is>
      </c>
      <c r="E18" s="12">
        <f>대주목록!D17</f>
        <v/>
      </c>
      <c r="F18" s="27" t="n">
        <v>0.01</v>
      </c>
      <c r="G18" s="28">
        <f>ROUND(E18*F18,0)</f>
        <v/>
      </c>
      <c r="H18" s="11" t="inlineStr">
        <is>
          <t>없음</t>
        </is>
      </c>
      <c r="I18" s="22">
        <f>DrawDate</f>
        <v/>
      </c>
      <c r="J18" s="29">
        <f>IF(통지처_계좌!J19="","",통지처_계좌!J19)</f>
        <v/>
      </c>
      <c r="K18" s="29">
        <f>IF(통지처_계좌!K19="","",통지처_계좌!K19)</f>
        <v/>
      </c>
      <c r="L18" s="29">
        <f>IF(통지처_계좌!L19="","",통지처_계좌!L19)</f>
        <v/>
      </c>
      <c r="M18" s="11">
        <f>IF(통지처_계좌!M19="","미수령","수령")</f>
        <v/>
      </c>
      <c r="N18" s="4">
        <f>통지처_계좌!E19</f>
        <v/>
      </c>
      <c r="O18" s="4">
        <f>통지처_계좌!F19&amp;IF(통지처_계좌!G19="","",", "&amp;통지처_계좌!G19)</f>
        <v/>
      </c>
      <c r="P18" s="4">
        <f>통지처_계좌!I19</f>
        <v/>
      </c>
      <c r="Q18" s="4" t="inlineStr">
        <is>
          <t>대출참여수수료약정서(Tr A-1 신협대주단)(25905687.v4) 제2조 표</t>
        </is>
      </c>
    </row>
    <row r="19">
      <c r="A19" s="11" t="n">
        <v>15</v>
      </c>
      <c r="B19" s="11" t="inlineStr">
        <is>
          <t>A-1</t>
        </is>
      </c>
      <c r="C19" s="4" t="inlineStr">
        <is>
          <t>광주어룡신용협동조합</t>
        </is>
      </c>
      <c r="D19" s="11" t="inlineStr">
        <is>
          <t>대출참여수수료</t>
        </is>
      </c>
      <c r="E19" s="12">
        <f>대주목록!D18</f>
        <v/>
      </c>
      <c r="F19" s="27" t="n">
        <v>0.01</v>
      </c>
      <c r="G19" s="28">
        <f>ROUND(E19*F19,0)</f>
        <v/>
      </c>
      <c r="H19" s="11" t="inlineStr">
        <is>
          <t>없음</t>
        </is>
      </c>
      <c r="I19" s="22">
        <f>DrawDate</f>
        <v/>
      </c>
      <c r="J19" s="29">
        <f>IF(통지처_계좌!J20="","",통지처_계좌!J20)</f>
        <v/>
      </c>
      <c r="K19" s="29">
        <f>IF(통지처_계좌!K20="","",통지처_계좌!K20)</f>
        <v/>
      </c>
      <c r="L19" s="29">
        <f>IF(통지처_계좌!L20="","",통지처_계좌!L20)</f>
        <v/>
      </c>
      <c r="M19" s="11">
        <f>IF(통지처_계좌!M20="","미수령","수령")</f>
        <v/>
      </c>
      <c r="N19" s="4">
        <f>통지처_계좌!E20</f>
        <v/>
      </c>
      <c r="O19" s="4">
        <f>통지처_계좌!F20&amp;IF(통지처_계좌!G20="","",", "&amp;통지처_계좌!G20)</f>
        <v/>
      </c>
      <c r="P19" s="4">
        <f>통지처_계좌!I20</f>
        <v/>
      </c>
      <c r="Q19" s="4" t="inlineStr">
        <is>
          <t>대출참여수수료약정서(Tr A-1 신협대주단)(25905687.v4) 제2조 표</t>
        </is>
      </c>
    </row>
    <row r="20">
      <c r="A20" s="11" t="n">
        <v>16</v>
      </c>
      <c r="B20" s="11" t="inlineStr">
        <is>
          <t>A-1</t>
        </is>
      </c>
      <c r="C20" s="4" t="inlineStr">
        <is>
          <t>광주미래신용협동조합</t>
        </is>
      </c>
      <c r="D20" s="11" t="inlineStr">
        <is>
          <t>대출참여수수료</t>
        </is>
      </c>
      <c r="E20" s="12">
        <f>대주목록!D19</f>
        <v/>
      </c>
      <c r="F20" s="27" t="n">
        <v>0.01</v>
      </c>
      <c r="G20" s="28">
        <f>ROUND(E20*F20,0)</f>
        <v/>
      </c>
      <c r="H20" s="11" t="inlineStr">
        <is>
          <t>없음</t>
        </is>
      </c>
      <c r="I20" s="22">
        <f>DrawDate</f>
        <v/>
      </c>
      <c r="J20" s="29">
        <f>IF(통지처_계좌!J21="","",통지처_계좌!J21)</f>
        <v/>
      </c>
      <c r="K20" s="29">
        <f>IF(통지처_계좌!K21="","",통지처_계좌!K21)</f>
        <v/>
      </c>
      <c r="L20" s="29">
        <f>IF(통지처_계좌!L21="","",통지처_계좌!L21)</f>
        <v/>
      </c>
      <c r="M20" s="11">
        <f>IF(통지처_계좌!M21="","미수령","수령")</f>
        <v/>
      </c>
      <c r="N20" s="4">
        <f>통지처_계좌!E21</f>
        <v/>
      </c>
      <c r="O20" s="4">
        <f>통지처_계좌!F21&amp;IF(통지처_계좌!G21="","",", "&amp;통지처_계좌!G21)</f>
        <v/>
      </c>
      <c r="P20" s="4">
        <f>통지처_계좌!I21</f>
        <v/>
      </c>
      <c r="Q20" s="4" t="inlineStr">
        <is>
          <t>대출참여수수료약정서(Tr A-1 신협대주단)(25905687.v4) 제2조 표</t>
        </is>
      </c>
    </row>
    <row r="21">
      <c r="A21" s="11" t="n">
        <v>17</v>
      </c>
      <c r="B21" s="11" t="inlineStr">
        <is>
          <t>A-1</t>
        </is>
      </c>
      <c r="C21" s="4" t="inlineStr">
        <is>
          <t>새안양 신용협동조합</t>
        </is>
      </c>
      <c r="D21" s="11" t="inlineStr">
        <is>
          <t>대출참여수수료</t>
        </is>
      </c>
      <c r="E21" s="12">
        <f>대주목록!D20</f>
        <v/>
      </c>
      <c r="F21" s="27" t="n">
        <v>0.01</v>
      </c>
      <c r="G21" s="28">
        <f>ROUND(E21*F21,0)</f>
        <v/>
      </c>
      <c r="H21" s="11" t="inlineStr">
        <is>
          <t>없음</t>
        </is>
      </c>
      <c r="I21" s="22">
        <f>DrawDate</f>
        <v/>
      </c>
      <c r="J21" s="29">
        <f>IF(통지처_계좌!J22="","",통지처_계좌!J22)</f>
        <v/>
      </c>
      <c r="K21" s="29">
        <f>IF(통지처_계좌!K22="","",통지처_계좌!K22)</f>
        <v/>
      </c>
      <c r="L21" s="29">
        <f>IF(통지처_계좌!L22="","",통지처_계좌!L22)</f>
        <v/>
      </c>
      <c r="M21" s="11">
        <f>IF(통지처_계좌!M22="","미수령","수령")</f>
        <v/>
      </c>
      <c r="N21" s="4">
        <f>통지처_계좌!E22</f>
        <v/>
      </c>
      <c r="O21" s="4">
        <f>통지처_계좌!F22&amp;IF(통지처_계좌!G22="","",", "&amp;통지처_계좌!G22)</f>
        <v/>
      </c>
      <c r="P21" s="4">
        <f>통지처_계좌!I22</f>
        <v/>
      </c>
      <c r="Q21" s="4" t="inlineStr">
        <is>
          <t>대출참여수수료약정서(Tr A-1 신협대주단)(25905687.v4) 제2조 표</t>
        </is>
      </c>
    </row>
    <row r="22">
      <c r="A22" s="11" t="n">
        <v>18</v>
      </c>
      <c r="B22" s="11" t="inlineStr">
        <is>
          <t>A-1</t>
        </is>
      </c>
      <c r="C22" s="4" t="inlineStr">
        <is>
          <t>남수원 신용협동조합</t>
        </is>
      </c>
      <c r="D22" s="11" t="inlineStr">
        <is>
          <t>대출참여수수료</t>
        </is>
      </c>
      <c r="E22" s="12">
        <f>대주목록!D21</f>
        <v/>
      </c>
      <c r="F22" s="27" t="n">
        <v>0.01</v>
      </c>
      <c r="G22" s="28">
        <f>ROUND(E22*F22,0)</f>
        <v/>
      </c>
      <c r="H22" s="11" t="inlineStr">
        <is>
          <t>없음</t>
        </is>
      </c>
      <c r="I22" s="22">
        <f>DrawDate</f>
        <v/>
      </c>
      <c r="J22" s="29">
        <f>IF(통지처_계좌!J23="","",통지처_계좌!J23)</f>
        <v/>
      </c>
      <c r="K22" s="29">
        <f>IF(통지처_계좌!K23="","",통지처_계좌!K23)</f>
        <v/>
      </c>
      <c r="L22" s="29">
        <f>IF(통지처_계좌!L23="","",통지처_계좌!L23)</f>
        <v/>
      </c>
      <c r="M22" s="11">
        <f>IF(통지처_계좌!M23="","미수령","수령")</f>
        <v/>
      </c>
      <c r="N22" s="4">
        <f>통지처_계좌!E23</f>
        <v/>
      </c>
      <c r="O22" s="4">
        <f>통지처_계좌!F23&amp;IF(통지처_계좌!G23="","",", "&amp;통지처_계좌!G23)</f>
        <v/>
      </c>
      <c r="P22" s="4">
        <f>통지처_계좌!I23</f>
        <v/>
      </c>
      <c r="Q22" s="4" t="inlineStr">
        <is>
          <t>대출참여수수료약정서(Tr A-1 신협대주단)(25905687.v4) 제2조 표</t>
        </is>
      </c>
    </row>
    <row r="23">
      <c r="A23" s="11" t="n">
        <v>19</v>
      </c>
      <c r="B23" s="11" t="inlineStr">
        <is>
          <t>A-1</t>
        </is>
      </c>
      <c r="C23" s="4" t="inlineStr">
        <is>
          <t>북인천신용협동조합</t>
        </is>
      </c>
      <c r="D23" s="11" t="inlineStr">
        <is>
          <t>대출참여수수료</t>
        </is>
      </c>
      <c r="E23" s="12">
        <f>대주목록!D22</f>
        <v/>
      </c>
      <c r="F23" s="27" t="n">
        <v>0.01</v>
      </c>
      <c r="G23" s="28">
        <f>ROUND(E23*F23,0)</f>
        <v/>
      </c>
      <c r="H23" s="11" t="inlineStr">
        <is>
          <t>없음</t>
        </is>
      </c>
      <c r="I23" s="22">
        <f>DrawDate</f>
        <v/>
      </c>
      <c r="J23" s="29">
        <f>IF(통지처_계좌!J24="","",통지처_계좌!J24)</f>
        <v/>
      </c>
      <c r="K23" s="29">
        <f>IF(통지처_계좌!K24="","",통지처_계좌!K24)</f>
        <v/>
      </c>
      <c r="L23" s="29">
        <f>IF(통지처_계좌!L24="","",통지처_계좌!L24)</f>
        <v/>
      </c>
      <c r="M23" s="11">
        <f>IF(통지처_계좌!M24="","미수령","수령")</f>
        <v/>
      </c>
      <c r="N23" s="4">
        <f>통지처_계좌!E24</f>
        <v/>
      </c>
      <c r="O23" s="4">
        <f>통지처_계좌!F24&amp;IF(통지처_계좌!G24="","",", "&amp;통지처_계좌!G24)</f>
        <v/>
      </c>
      <c r="P23" s="4">
        <f>통지처_계좌!I24</f>
        <v/>
      </c>
      <c r="Q23" s="4" t="inlineStr">
        <is>
          <t>대출참여수수료약정서(Tr A-1 신협대주단)(25905687.v4) 제2조 표</t>
        </is>
      </c>
    </row>
    <row r="24">
      <c r="A24" s="11" t="n">
        <v>20</v>
      </c>
      <c r="B24" s="11" t="inlineStr">
        <is>
          <t>A-1</t>
        </is>
      </c>
      <c r="C24" s="4" t="inlineStr">
        <is>
          <t>수협은행</t>
        </is>
      </c>
      <c r="D24" s="11" t="inlineStr">
        <is>
          <t>대출참여수수료</t>
        </is>
      </c>
      <c r="E24" s="12">
        <f>대주목록!D23</f>
        <v/>
      </c>
      <c r="F24" s="27" t="n">
        <v>0.01</v>
      </c>
      <c r="G24" s="28">
        <f>ROUND(E24*F24,0)</f>
        <v/>
      </c>
      <c r="H24" s="11" t="inlineStr">
        <is>
          <t>없음</t>
        </is>
      </c>
      <c r="I24" s="22">
        <f>DrawDate</f>
        <v/>
      </c>
      <c r="J24" s="29">
        <f>IF(통지처_계좌!J25="","",통지처_계좌!J25)</f>
        <v/>
      </c>
      <c r="K24" s="29">
        <f>IF(통지처_계좌!K25="","",통지처_계좌!K25)</f>
        <v/>
      </c>
      <c r="L24" s="29">
        <f>IF(통지처_계좌!L25="","",통지처_계좌!L25)</f>
        <v/>
      </c>
      <c r="M24" s="11">
        <f>IF(통지처_계좌!M25="","미수령","수령")</f>
        <v/>
      </c>
      <c r="N24" s="4">
        <f>통지처_계좌!E25</f>
        <v/>
      </c>
      <c r="O24" s="4">
        <f>통지처_계좌!F25&amp;IF(통지처_계좌!G25="","",", "&amp;통지처_계좌!G25)</f>
        <v/>
      </c>
      <c r="P24" s="4">
        <f>통지처_계좌!I25</f>
        <v/>
      </c>
      <c r="Q24" s="4" t="inlineStr">
        <is>
          <t>대출참여수수료약정서(Tr A-1 수협은행)(25905686.v3)</t>
        </is>
      </c>
    </row>
    <row r="25">
      <c r="A25" s="11" t="n">
        <v>21</v>
      </c>
      <c r="B25" s="11" t="inlineStr">
        <is>
          <t>A-1</t>
        </is>
      </c>
      <c r="C25" s="4" t="inlineStr">
        <is>
          <t>주식회사 에스비아이저축은행</t>
        </is>
      </c>
      <c r="D25" s="11" t="inlineStr">
        <is>
          <t>대출주선수수료</t>
        </is>
      </c>
      <c r="E25" s="12">
        <f>대주목록!D24</f>
        <v/>
      </c>
      <c r="F25" s="24">
        <f>G25/E25</f>
        <v/>
      </c>
      <c r="G25" s="28" t="n">
        <v>100000000</v>
      </c>
      <c r="H25" s="11" t="inlineStr">
        <is>
          <t>없음</t>
        </is>
      </c>
      <c r="I25" s="22">
        <f>DrawDate</f>
        <v/>
      </c>
      <c r="J25" s="29">
        <f>IF(통지처_계좌!J26="","",통지처_계좌!J26)</f>
        <v/>
      </c>
      <c r="K25" s="29">
        <f>IF(통지처_계좌!K26="","",통지처_계좌!K26)</f>
        <v/>
      </c>
      <c r="L25" s="29">
        <f>IF(통지처_계좌!L26="","",통지처_계좌!L26)</f>
        <v/>
      </c>
      <c r="M25" s="11">
        <f>IF(통지처_계좌!M26="","미수령","수령")</f>
        <v/>
      </c>
      <c r="N25" s="4">
        <f>통지처_계좌!E26</f>
        <v/>
      </c>
      <c r="O25" s="4">
        <f>통지처_계좌!F26&amp;IF(통지처_계좌!G26="","",", "&amp;통지처_계좌!G26)</f>
        <v/>
      </c>
      <c r="P25" s="4">
        <f>통지처_계좌!I26</f>
        <v/>
      </c>
      <c r="Q25" s="4" t="inlineStr">
        <is>
          <t>대출주선수수료약정서(Tr A-1 에스비아이저축은행)(25905688.v3)</t>
        </is>
      </c>
    </row>
    <row r="26">
      <c r="A26" s="11" t="n">
        <v>22</v>
      </c>
      <c r="B26" s="11" t="inlineStr">
        <is>
          <t>A-2</t>
        </is>
      </c>
      <c r="C26" s="4" t="inlineStr">
        <is>
          <t>주식회사 우리은행</t>
        </is>
      </c>
      <c r="D26" s="11" t="inlineStr">
        <is>
          <t>대출주선수수료</t>
        </is>
      </c>
      <c r="E26" s="12">
        <f>대주목록!D25</f>
        <v/>
      </c>
      <c r="F26" s="24">
        <f>G26/E26</f>
        <v/>
      </c>
      <c r="G26" s="28" t="n">
        <v>830000000</v>
      </c>
      <c r="H26" s="11" t="inlineStr">
        <is>
          <t>없음</t>
        </is>
      </c>
      <c r="I26" s="22">
        <f>DrawDate</f>
        <v/>
      </c>
      <c r="J26" s="29">
        <f>IF(통지처_계좌!J27="","",통지처_계좌!J27)</f>
        <v/>
      </c>
      <c r="K26" s="29">
        <f>IF(통지처_계좌!K27="","",통지처_계좌!K27)</f>
        <v/>
      </c>
      <c r="L26" s="29">
        <f>IF(통지처_계좌!L27="","",통지처_계좌!L27)</f>
        <v/>
      </c>
      <c r="M26" s="11">
        <f>IF(통지처_계좌!M27="","미수령","수령")</f>
        <v/>
      </c>
      <c r="N26" s="4">
        <f>통지처_계좌!E27</f>
        <v/>
      </c>
      <c r="O26" s="4">
        <f>통지처_계좌!F27&amp;IF(통지처_계좌!G27="","",", "&amp;통지처_계좌!G27)</f>
        <v/>
      </c>
      <c r="P26" s="4">
        <f>통지처_계좌!I27</f>
        <v/>
      </c>
      <c r="Q26" s="4" t="inlineStr">
        <is>
          <t>대출주선수수료약정서(Tr A-2 우리은행)(25906867.v4)</t>
        </is>
      </c>
    </row>
    <row r="27">
      <c r="A27" s="11" t="n">
        <v>23</v>
      </c>
      <c r="B27" s="11" t="inlineStr">
        <is>
          <t>A-2</t>
        </is>
      </c>
      <c r="C27" s="4" t="inlineStr">
        <is>
          <t>주식회사 우리은행</t>
        </is>
      </c>
      <c r="D27" s="11" t="inlineStr">
        <is>
          <t>대출참여수수료</t>
        </is>
      </c>
      <c r="E27" s="12">
        <f>대주목록!D25</f>
        <v/>
      </c>
      <c r="F27" s="27" t="n">
        <v>0.008</v>
      </c>
      <c r="G27" s="28">
        <f>ROUND(E27*F27,0)</f>
        <v/>
      </c>
      <c r="H27" s="11" t="inlineStr">
        <is>
          <t>없음</t>
        </is>
      </c>
      <c r="I27" s="22">
        <f>DrawDate</f>
        <v/>
      </c>
      <c r="J27" s="29">
        <f>IF(통지처_계좌!J27="","",통지처_계좌!J27)</f>
        <v/>
      </c>
      <c r="K27" s="29">
        <f>IF(통지처_계좌!K27="","",통지처_계좌!K27)</f>
        <v/>
      </c>
      <c r="L27" s="29">
        <f>IF(통지처_계좌!L27="","",통지처_계좌!L27)</f>
        <v/>
      </c>
      <c r="M27" s="11">
        <f>IF(통지처_계좌!M27="","미수령","수령")</f>
        <v/>
      </c>
      <c r="N27" s="4">
        <f>통지처_계좌!E27</f>
        <v/>
      </c>
      <c r="O27" s="4">
        <f>통지처_계좌!F27&amp;IF(통지처_계좌!G27="","",", "&amp;통지처_계좌!G27)</f>
        <v/>
      </c>
      <c r="P27" s="4">
        <f>통지처_계좌!I27</f>
        <v/>
      </c>
      <c r="Q27" s="4" t="inlineStr">
        <is>
          <t>대출참여수수료약정서(Tr A-2 우리은행)(25905690.v3)</t>
        </is>
      </c>
    </row>
    <row r="28">
      <c r="A28" s="11" t="n">
        <v>24</v>
      </c>
      <c r="B28" s="11" t="inlineStr">
        <is>
          <t>B</t>
        </is>
      </c>
      <c r="C28" s="4" t="inlineStr">
        <is>
          <t>키움캐피탈 주식회사</t>
        </is>
      </c>
      <c r="D28" s="11" t="inlineStr">
        <is>
          <t>대출취급수수료</t>
        </is>
      </c>
      <c r="E28" s="12">
        <f>대주목록!D26</f>
        <v/>
      </c>
      <c r="F28" s="27" t="n">
        <v>0.01</v>
      </c>
      <c r="G28" s="28">
        <f>ROUND(E28*F28,0)</f>
        <v/>
      </c>
      <c r="H28" s="11" t="inlineStr">
        <is>
          <t>없음</t>
        </is>
      </c>
      <c r="I28" s="22">
        <f>DrawDate</f>
        <v/>
      </c>
      <c r="J28" s="29">
        <f>IF(통지처_계좌!J28="","",통지처_계좌!J28)</f>
        <v/>
      </c>
      <c r="K28" s="29">
        <f>IF(통지처_계좌!K28="","",통지처_계좌!K28)</f>
        <v/>
      </c>
      <c r="L28" s="29">
        <f>IF(통지처_계좌!L28="","",통지처_계좌!L28)</f>
        <v/>
      </c>
      <c r="M28" s="11">
        <f>IF(통지처_계좌!M28="","미수령","수령")</f>
        <v/>
      </c>
      <c r="N28" s="4">
        <f>통지처_계좌!E28</f>
        <v/>
      </c>
      <c r="O28" s="4">
        <f>통지처_계좌!F28&amp;IF(통지처_계좌!G28="","",", "&amp;통지처_계좌!G28)</f>
        <v/>
      </c>
      <c r="P28" s="4">
        <f>통지처_계좌!I28</f>
        <v/>
      </c>
      <c r="Q28" s="4" t="inlineStr">
        <is>
          <t>대출취급수수료약정서(Tr B 키움캐피탈)(25845759.v3)</t>
        </is>
      </c>
    </row>
    <row r="29">
      <c r="A29" s="11" t="n">
        <v>25</v>
      </c>
      <c r="B29" s="11" t="inlineStr">
        <is>
          <t>B</t>
        </is>
      </c>
      <c r="C29" s="4" t="inlineStr">
        <is>
          <t>엠지캐피탈 주식회사</t>
        </is>
      </c>
      <c r="D29" s="11" t="inlineStr">
        <is>
          <t>대출취급수수료</t>
        </is>
      </c>
      <c r="E29" s="12">
        <f>대주목록!D27</f>
        <v/>
      </c>
      <c r="F29" s="27" t="n">
        <v>0.0064</v>
      </c>
      <c r="G29" s="28">
        <f>ROUND(E29*F29,0)</f>
        <v/>
      </c>
      <c r="H29" s="11" t="inlineStr">
        <is>
          <t>없음</t>
        </is>
      </c>
      <c r="I29" s="22">
        <f>DrawDate</f>
        <v/>
      </c>
      <c r="J29" s="29">
        <f>IF(통지처_계좌!J29="","",통지처_계좌!J29)</f>
        <v/>
      </c>
      <c r="K29" s="29">
        <f>IF(통지처_계좌!K29="","",통지처_계좌!K29)</f>
        <v/>
      </c>
      <c r="L29" s="29">
        <f>IF(통지처_계좌!L29="","",통지처_계좌!L29)</f>
        <v/>
      </c>
      <c r="M29" s="11">
        <f>IF(통지처_계좌!M29="","미수령","수령")</f>
        <v/>
      </c>
      <c r="N29" s="4">
        <f>통지처_계좌!E29</f>
        <v/>
      </c>
      <c r="O29" s="4">
        <f>통지처_계좌!F29&amp;IF(통지처_계좌!G29="","",", "&amp;통지처_계좌!G29)</f>
        <v/>
      </c>
      <c r="P29" s="4">
        <f>통지처_계좌!I29</f>
        <v/>
      </c>
      <c r="Q29" s="4" t="inlineStr">
        <is>
          <t>대출취급수수료약정서(Tr B 엠지캐피탈)(25845758.v3)</t>
        </is>
      </c>
    </row>
    <row r="30">
      <c r="A30" s="11" t="n">
        <v>26</v>
      </c>
      <c r="B30" s="11" t="inlineStr">
        <is>
          <t>B</t>
        </is>
      </c>
      <c r="C30" s="4" t="inlineStr">
        <is>
          <t>주식회사 디비저축은행</t>
        </is>
      </c>
      <c r="D30" s="11" t="inlineStr">
        <is>
          <t>대출참여수수료</t>
        </is>
      </c>
      <c r="E30" s="12">
        <f>대주목록!D28</f>
        <v/>
      </c>
      <c r="F30" s="27" t="n">
        <v>0.01</v>
      </c>
      <c r="G30" s="28">
        <f>ROUND(E30*F30,0)</f>
        <v/>
      </c>
      <c r="H30" s="11" t="inlineStr">
        <is>
          <t>없음</t>
        </is>
      </c>
      <c r="I30" s="22">
        <f>DrawDate</f>
        <v/>
      </c>
      <c r="J30" s="29">
        <f>IF(통지처_계좌!J30="","",통지처_계좌!J30)</f>
        <v/>
      </c>
      <c r="K30" s="29">
        <f>IF(통지처_계좌!K30="","",통지처_계좌!K30)</f>
        <v/>
      </c>
      <c r="L30" s="29">
        <f>IF(통지처_계좌!L30="","",통지처_계좌!L30)</f>
        <v/>
      </c>
      <c r="M30" s="11">
        <f>IF(통지처_계좌!M30="","미수령","수령")</f>
        <v/>
      </c>
      <c r="N30" s="4">
        <f>통지처_계좌!E30</f>
        <v/>
      </c>
      <c r="O30" s="4">
        <f>통지처_계좌!F30&amp;IF(통지처_계좌!G30="","",", "&amp;통지처_계좌!G30)</f>
        <v/>
      </c>
      <c r="P30" s="4">
        <f>통지처_계좌!I30</f>
        <v/>
      </c>
      <c r="Q30" s="4" t="inlineStr">
        <is>
          <t>대출참여수수료약정서(Tr B 디비저축은행)(25845757.v3)</t>
        </is>
      </c>
    </row>
    <row r="31">
      <c r="A31" s="18" t="n"/>
      <c r="B31" s="18" t="n"/>
      <c r="C31" s="18" t="inlineStr">
        <is>
          <t>Tranche A-1 소계</t>
        </is>
      </c>
      <c r="D31" s="18" t="n"/>
      <c r="E31" s="18" t="n"/>
      <c r="F31" s="18" t="n"/>
      <c r="G31" s="20">
        <f>SUMIF($B$5:$B$30,"A-1",$G$5:$G$30)</f>
        <v/>
      </c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</row>
    <row r="32">
      <c r="A32" s="18" t="n"/>
      <c r="B32" s="18" t="n"/>
      <c r="C32" s="18" t="inlineStr">
        <is>
          <t>Tranche A-2 소계</t>
        </is>
      </c>
      <c r="D32" s="18" t="n"/>
      <c r="E32" s="18" t="n"/>
      <c r="F32" s="18" t="n"/>
      <c r="G32" s="20">
        <f>SUMIF($B$5:$B$30,"A-2",$G$5:$G$30)</f>
        <v/>
      </c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</row>
    <row r="33">
      <c r="A33" s="18" t="n"/>
      <c r="B33" s="18" t="n"/>
      <c r="C33" s="18" t="inlineStr">
        <is>
          <t>Tranche B 소계</t>
        </is>
      </c>
      <c r="D33" s="18" t="n"/>
      <c r="E33" s="18" t="n"/>
      <c r="F33" s="18" t="n"/>
      <c r="G33" s="20">
        <f>SUMIF($B$5:$B$30,"B",$G$5:$G$30)</f>
        <v/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</row>
    <row r="34">
      <c r="A34" s="18" t="n"/>
      <c r="B34" s="18" t="n"/>
      <c r="C34" s="18" t="inlineStr">
        <is>
          <t>선순위(Tranche A) 합계</t>
        </is>
      </c>
      <c r="D34" s="18" t="n"/>
      <c r="E34" s="18" t="n"/>
      <c r="F34" s="18" t="n"/>
      <c r="G34" s="20">
        <f>G31+G32</f>
        <v/>
      </c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>
      <c r="A35" s="18" t="n"/>
      <c r="B35" s="18" t="n"/>
      <c r="C35" s="18" t="inlineStr">
        <is>
          <t>중순위(Tranche B) 합계</t>
        </is>
      </c>
      <c r="D35" s="18" t="n"/>
      <c r="E35" s="18" t="n"/>
      <c r="F35" s="18" t="n"/>
      <c r="G35" s="20">
        <f>G33</f>
        <v/>
      </c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</row>
    <row r="36">
      <c r="A36" s="18" t="n"/>
      <c r="B36" s="18" t="n"/>
      <c r="C36" s="18" t="inlineStr">
        <is>
          <t>총 합계</t>
        </is>
      </c>
      <c r="D36" s="18" t="n"/>
      <c r="E36" s="18" t="n"/>
      <c r="F36" s="18" t="n"/>
      <c r="G36" s="20">
        <f>SUM(G5:G30)</f>
        <v/>
      </c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</row>
    <row r="38">
      <c r="A38" s="2" t="inlineStr">
        <is>
          <t>※ 우리은행은 주선수수료(8.3억)와 참여수수료(5.6억) 두 건이며, 계좌가 다르면 해당 행 J~L열에 직접 입력하세요(수식을 덮어씀).</t>
        </is>
      </c>
    </row>
    <row r="39">
      <c r="A39" s="2" t="inlineStr">
        <is>
          <t>※ 주선수수료(우리은행·에스비아이저축은행)는 약정서상 '부가가치세 없음'이나, 금융주선 용역의 과세 여부는 세무 확인이 필요합니다 [확인 필요].</t>
        </is>
      </c>
    </row>
    <row r="40">
      <c r="A40" s="2" t="inlineStr">
        <is>
          <t>※ 엠지캐피탈 1종 종류주식 인수수수료(30억 × 1.2% = 3,600만원)는 대출 수수료가 아니어서 이 표에 넣지 않았습니다.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40" customWidth="1" min="4" max="4"/>
    <col width="20" customWidth="1" min="5" max="5"/>
    <col width="24" customWidth="1" min="6" max="6"/>
    <col width="24" customWidth="1" min="7" max="7"/>
    <col width="14" customWidth="1" min="8" max="8"/>
    <col width="34" customWidth="1" min="9" max="9"/>
    <col width="12" customWidth="1" min="10" max="10"/>
    <col width="20" customWidth="1" min="11" max="11"/>
    <col width="22" customWidth="1" min="12" max="12"/>
    <col width="14" customWidth="1" min="13" max="13"/>
    <col width="18" customWidth="1" min="14" max="14"/>
    <col width="34" customWidth="1" min="15" max="15"/>
  </cols>
  <sheetData>
    <row r="1">
      <c r="A1" s="1" t="inlineStr">
        <is>
          <t>대주 통지처 및 수취계좌 (통지처: 대출약정서 최종본 부록5)</t>
        </is>
      </c>
    </row>
    <row r="2">
      <c r="A2" s="2" t="inlineStr">
        <is>
          <t>노란 칸(수취은행·계좌번호·예금주·통장사본 수령일)은 통장사본을 받은 뒤 입력하세요. 입력하면 '기표일수수료' 시트에 자동 표시됩니다.</t>
        </is>
      </c>
    </row>
    <row r="4" ht="34" customHeight="1">
      <c r="A4" s="3" t="inlineStr">
        <is>
          <t>순번</t>
        </is>
      </c>
      <c r="B4" s="3" t="inlineStr">
        <is>
          <t>Tranche</t>
        </is>
      </c>
      <c r="C4" s="3" t="inlineStr">
        <is>
          <t>대주명</t>
        </is>
      </c>
      <c r="D4" s="3" t="inlineStr">
        <is>
          <t>주소</t>
        </is>
      </c>
      <c r="E4" s="3" t="inlineStr">
        <is>
          <t>담당자</t>
        </is>
      </c>
      <c r="F4" s="3" t="inlineStr">
        <is>
          <t>전화</t>
        </is>
      </c>
      <c r="G4" s="3" t="inlineStr">
        <is>
          <t>휴대폰</t>
        </is>
      </c>
      <c r="H4" s="3" t="inlineStr">
        <is>
          <t>팩스</t>
        </is>
      </c>
      <c r="I4" s="3" t="inlineStr">
        <is>
          <t>전자우편</t>
        </is>
      </c>
      <c r="J4" s="3" t="inlineStr">
        <is>
          <t>수취은행</t>
        </is>
      </c>
      <c r="K4" s="3" t="inlineStr">
        <is>
          <t>계좌번호</t>
        </is>
      </c>
      <c r="L4" s="3" t="inlineStr">
        <is>
          <t>예금주</t>
        </is>
      </c>
      <c r="M4" s="3" t="inlineStr">
        <is>
          <t>통장사본 수령일</t>
        </is>
      </c>
      <c r="N4" s="3" t="inlineStr">
        <is>
          <t>비고</t>
        </is>
      </c>
      <c r="O4" s="3" t="inlineStr">
        <is>
          <t>참고: 통지처 엑셀(261012) 기재 수취계좌
(통장사본 확인 전)</t>
        </is>
      </c>
    </row>
    <row r="5">
      <c r="A5" s="30" t="inlineStr">
        <is>
          <t>-</t>
        </is>
      </c>
      <c r="B5" s="30" t="inlineStr">
        <is>
          <t>차주</t>
        </is>
      </c>
      <c r="C5" s="30" t="inlineStr">
        <is>
          <t>주식회사 코람코라이프로지스위탁관리부동산투자회사</t>
        </is>
      </c>
      <c r="D5" s="30" t="inlineStr">
        <is>
          <t>서울 강남구 삼성로 511, 4층</t>
        </is>
      </c>
      <c r="E5" s="30" t="inlineStr">
        <is>
          <t>안용현 차장, 염진경 과장</t>
        </is>
      </c>
      <c r="F5" s="30" t="inlineStr">
        <is>
          <t>02-787-0049, 02-787-0139</t>
        </is>
      </c>
      <c r="G5" s="30" t="inlineStr"/>
      <c r="H5" s="30" t="inlineStr"/>
      <c r="I5" s="30" t="inlineStr">
        <is>
          <t>yonghyeonahn@koramco.com, jk.yeom@koramco.com</t>
        </is>
      </c>
      <c r="J5" s="30" t="n"/>
      <c r="K5" s="30" t="n"/>
      <c r="L5" s="30" t="n"/>
      <c r="M5" s="30" t="n"/>
      <c r="N5" s="30" t="n"/>
      <c r="O5" s="30" t="n"/>
    </row>
    <row r="6">
      <c r="A6" s="11" t="n">
        <v>1</v>
      </c>
      <c r="B6" s="11" t="inlineStr">
        <is>
          <t>A-1</t>
        </is>
      </c>
      <c r="C6" s="4" t="inlineStr">
        <is>
          <t>롯데캐피탈 주식회사</t>
        </is>
      </c>
      <c r="D6" s="4" t="inlineStr">
        <is>
          <t>서울특별시 강남구 테헤란로 142 ARC PLACE 9층 Corporate본부 Corporate영업3팀</t>
        </is>
      </c>
      <c r="E6" s="4" t="inlineStr">
        <is>
          <t>곽경호 책임</t>
        </is>
      </c>
      <c r="F6" s="4" t="inlineStr">
        <is>
          <t>02-3451-0168</t>
        </is>
      </c>
      <c r="G6" s="4" t="inlineStr">
        <is>
          <t>010-9872-2219</t>
        </is>
      </c>
      <c r="H6" s="4" t="inlineStr"/>
      <c r="I6" s="4" t="inlineStr">
        <is>
          <t>kyungho.kwak@lotte.net, lottecap_corp3@lotte.net</t>
        </is>
      </c>
      <c r="J6" s="29" t="n"/>
      <c r="K6" s="29" t="n"/>
      <c r="L6" s="29" t="n"/>
      <c r="M6" s="31" t="n"/>
      <c r="N6" s="29" t="n"/>
      <c r="O6" s="4" t="inlineStr"/>
    </row>
    <row r="7">
      <c r="A7" s="11" t="n">
        <v>2</v>
      </c>
      <c r="B7" s="11" t="inlineStr">
        <is>
          <t>A-1</t>
        </is>
      </c>
      <c r="C7" s="4" t="inlineStr">
        <is>
          <t>주식회사 우리카드</t>
        </is>
      </c>
      <c r="D7" s="4" t="inlineStr">
        <is>
          <t>서울특별시 종로구 종로1길 50(중학동) 케이트윈타워 A동</t>
        </is>
      </c>
      <c r="E7" s="4" t="inlineStr">
        <is>
          <t>강민구 과장</t>
        </is>
      </c>
      <c r="F7" s="4" t="inlineStr">
        <is>
          <t>02-6968-3531</t>
        </is>
      </c>
      <c r="G7" s="4" t="inlineStr">
        <is>
          <t>010-9764-8118</t>
        </is>
      </c>
      <c r="H7" s="4" t="inlineStr">
        <is>
          <t>0505-001-8544</t>
        </is>
      </c>
      <c r="I7" s="4" t="inlineStr">
        <is>
          <t>kangmg@wooricard.com</t>
        </is>
      </c>
      <c r="J7" s="29" t="n"/>
      <c r="K7" s="29" t="n"/>
      <c r="L7" s="29" t="n"/>
      <c r="M7" s="31" t="n"/>
      <c r="N7" s="29" t="n"/>
      <c r="O7" s="4" t="inlineStr"/>
    </row>
    <row r="8">
      <c r="A8" s="11" t="n">
        <v>3</v>
      </c>
      <c r="B8" s="11" t="inlineStr">
        <is>
          <t>A-1</t>
        </is>
      </c>
      <c r="C8" s="4" t="inlineStr">
        <is>
          <t>신용협동조합중앙회</t>
        </is>
      </c>
      <c r="D8" s="4" t="inlineStr">
        <is>
          <t>서울특별시 중구 소월로 10 단암빌딩 14층</t>
        </is>
      </c>
      <c r="E8" s="4" t="inlineStr">
        <is>
          <t>안소진 대리</t>
        </is>
      </c>
      <c r="F8" s="4" t="inlineStr">
        <is>
          <t>02-590-5849</t>
        </is>
      </c>
      <c r="G8" s="4" t="inlineStr">
        <is>
          <t>010-2241-1820</t>
        </is>
      </c>
      <c r="H8" s="4" t="inlineStr"/>
      <c r="I8" s="4" t="inlineStr">
        <is>
          <t>sjahn@cu.co.kr, cuf1803@cu.co.kr</t>
        </is>
      </c>
      <c r="J8" s="29" t="n"/>
      <c r="K8" s="29" t="n"/>
      <c r="L8" s="29" t="n"/>
      <c r="M8" s="31" t="n"/>
      <c r="N8" s="29" t="n"/>
      <c r="O8" s="4" t="inlineStr">
        <is>
          <t>농협 081-01-168860 / 신협중앙회</t>
        </is>
      </c>
    </row>
    <row r="9">
      <c r="A9" s="11" t="n">
        <v>4</v>
      </c>
      <c r="B9" s="11" t="inlineStr">
        <is>
          <t>A-1</t>
        </is>
      </c>
      <c r="C9" s="4" t="inlineStr">
        <is>
          <t>서로신용협동조합</t>
        </is>
      </c>
      <c r="D9" s="4" t="inlineStr">
        <is>
          <t>인천광역시 서해구 가정로 288(석남동)</t>
        </is>
      </c>
      <c r="E9" s="4" t="inlineStr">
        <is>
          <t>장성진 과장</t>
        </is>
      </c>
      <c r="F9" s="4" t="inlineStr">
        <is>
          <t>032-574-0166</t>
        </is>
      </c>
      <c r="G9" s="4" t="inlineStr">
        <is>
          <t>010-7152-5264</t>
        </is>
      </c>
      <c r="H9" s="4" t="inlineStr"/>
      <c r="I9" s="4" t="inlineStr">
        <is>
          <t>SJin87@cu.co.kr</t>
        </is>
      </c>
      <c r="J9" s="29" t="n"/>
      <c r="K9" s="29" t="n"/>
      <c r="L9" s="29" t="n"/>
      <c r="M9" s="31" t="n"/>
      <c r="N9" s="29" t="n"/>
      <c r="O9" s="4" t="inlineStr">
        <is>
          <t>신협 131-000-941666 / 서로신용협동조합</t>
        </is>
      </c>
    </row>
    <row r="10">
      <c r="A10" s="11" t="n">
        <v>5</v>
      </c>
      <c r="B10" s="11" t="inlineStr">
        <is>
          <t>A-1</t>
        </is>
      </c>
      <c r="C10" s="4" t="inlineStr">
        <is>
          <t>수지신용협동조합</t>
        </is>
      </c>
      <c r="D10" s="4" t="inlineStr">
        <is>
          <t>경기도 용인시 수지구 문정로 7번길 8 1층</t>
        </is>
      </c>
      <c r="E10" s="4" t="inlineStr">
        <is>
          <t>권영욱 대리</t>
        </is>
      </c>
      <c r="F10" s="4" t="inlineStr">
        <is>
          <t>031-262-6801</t>
        </is>
      </c>
      <c r="G10" s="4" t="inlineStr">
        <is>
          <t>010-7143-7369</t>
        </is>
      </c>
      <c r="H10" s="4" t="inlineStr"/>
      <c r="I10" s="4" t="inlineStr">
        <is>
          <t>suji_youngwook@naver.com</t>
        </is>
      </c>
      <c r="J10" s="29" t="n"/>
      <c r="K10" s="29" t="n"/>
      <c r="L10" s="29" t="n"/>
      <c r="M10" s="31" t="n"/>
      <c r="N10" s="29" t="n"/>
      <c r="O10" s="4" t="inlineStr">
        <is>
          <t>신협 131-014-493393 / 수지신협</t>
        </is>
      </c>
    </row>
    <row r="11">
      <c r="A11" s="11" t="n">
        <v>6</v>
      </c>
      <c r="B11" s="11" t="inlineStr">
        <is>
          <t>A-1</t>
        </is>
      </c>
      <c r="C11" s="4" t="inlineStr">
        <is>
          <t>정선신용협동조합</t>
        </is>
      </c>
      <c r="D11" s="4" t="inlineStr">
        <is>
          <t>강원특별자치도 정선군 정선읍 봉양6길 31</t>
        </is>
      </c>
      <c r="E11" s="4" t="inlineStr">
        <is>
          <t>장용현 주임</t>
        </is>
      </c>
      <c r="F11" s="4" t="inlineStr">
        <is>
          <t>033-563-0760</t>
        </is>
      </c>
      <c r="G11" s="4" t="inlineStr">
        <is>
          <t>010-6679-3464</t>
        </is>
      </c>
      <c r="H11" s="4" t="inlineStr"/>
      <c r="I11" s="4" t="inlineStr">
        <is>
          <t>cu04008@cu.co.kr</t>
        </is>
      </c>
      <c r="J11" s="29" t="n"/>
      <c r="K11" s="29" t="n"/>
      <c r="L11" s="29" t="n"/>
      <c r="M11" s="31" t="n"/>
      <c r="N11" s="29" t="n"/>
      <c r="O11" s="4" t="inlineStr">
        <is>
          <t>신협 131-019-058167 / 정선신용협동조합</t>
        </is>
      </c>
    </row>
    <row r="12">
      <c r="A12" s="11" t="n">
        <v>7</v>
      </c>
      <c r="B12" s="11" t="inlineStr">
        <is>
          <t>A-1</t>
        </is>
      </c>
      <c r="C12" s="4" t="inlineStr">
        <is>
          <t>연희신용협동조합</t>
        </is>
      </c>
      <c r="D12" s="4" t="inlineStr">
        <is>
          <t>서울특별시 서대문구 연희로 64-22</t>
        </is>
      </c>
      <c r="E12" s="4" t="inlineStr">
        <is>
          <t>양주성 과장, 박준희 대리</t>
        </is>
      </c>
      <c r="F12" s="4" t="inlineStr">
        <is>
          <t>02-323-2636</t>
        </is>
      </c>
      <c r="G12" s="4" t="inlineStr">
        <is>
          <t>010-6519-0830, 010-8467-2620</t>
        </is>
      </c>
      <c r="H12" s="4" t="inlineStr"/>
      <c r="I12" s="4" t="inlineStr">
        <is>
          <t>cu01221@cu.co.kr</t>
        </is>
      </c>
      <c r="J12" s="29" t="n"/>
      <c r="K12" s="29" t="n"/>
      <c r="L12" s="29" t="n"/>
      <c r="M12" s="31" t="n"/>
      <c r="N12" s="29" t="n"/>
      <c r="O12" s="4" t="inlineStr">
        <is>
          <t>신협 131-000-189579 / 연희신협</t>
        </is>
      </c>
    </row>
    <row r="13">
      <c r="A13" s="11" t="n">
        <v>8</v>
      </c>
      <c r="B13" s="11" t="inlineStr">
        <is>
          <t>A-1</t>
        </is>
      </c>
      <c r="C13" s="4" t="inlineStr">
        <is>
          <t>금모래신용협동조합</t>
        </is>
      </c>
      <c r="D13" s="4" t="inlineStr">
        <is>
          <t>서울시 서대문구 가재울미래로 11 (남가좌동)</t>
        </is>
      </c>
      <c r="E13" s="4" t="inlineStr">
        <is>
          <t>정덕호 주임</t>
        </is>
      </c>
      <c r="F13" s="4" t="inlineStr">
        <is>
          <t>02-376-2036</t>
        </is>
      </c>
      <c r="G13" s="4" t="inlineStr">
        <is>
          <t>010-2527-0576</t>
        </is>
      </c>
      <c r="H13" s="4" t="inlineStr"/>
      <c r="I13" s="4" t="inlineStr">
        <is>
          <t>jeong0576@cu.co.kr</t>
        </is>
      </c>
      <c r="J13" s="29" t="n"/>
      <c r="K13" s="29" t="n"/>
      <c r="L13" s="29" t="n"/>
      <c r="M13" s="31" t="n"/>
      <c r="N13" s="29" t="n"/>
      <c r="O13" s="4" t="inlineStr">
        <is>
          <t>신협 131-000-001170 / 금모래신협</t>
        </is>
      </c>
    </row>
    <row r="14">
      <c r="A14" s="11" t="n">
        <v>9</v>
      </c>
      <c r="B14" s="11" t="inlineStr">
        <is>
          <t>A-1</t>
        </is>
      </c>
      <c r="C14" s="4" t="inlineStr">
        <is>
          <t>남인천신용협동조합</t>
        </is>
      </c>
      <c r="D14" s="4" t="inlineStr">
        <is>
          <t>인천시 부평구 배곶로 64</t>
        </is>
      </c>
      <c r="E14" s="4" t="inlineStr">
        <is>
          <t>임인희 차장</t>
        </is>
      </c>
      <c r="F14" s="4" t="inlineStr">
        <is>
          <t>032-437-9563</t>
        </is>
      </c>
      <c r="G14" s="4" t="inlineStr">
        <is>
          <t>010-2006-7819</t>
        </is>
      </c>
      <c r="H14" s="4" t="inlineStr"/>
      <c r="I14" s="4" t="inlineStr">
        <is>
          <t>hee4977@cu.co.kr</t>
        </is>
      </c>
      <c r="J14" s="29" t="n"/>
      <c r="K14" s="29" t="n"/>
      <c r="L14" s="29" t="n"/>
      <c r="M14" s="31" t="n"/>
      <c r="N14" s="29" t="n"/>
      <c r="O14" s="4" t="inlineStr">
        <is>
          <t>신협 131-000-942952 / 남인천신협</t>
        </is>
      </c>
    </row>
    <row r="15">
      <c r="A15" s="11" t="n">
        <v>10</v>
      </c>
      <c r="B15" s="11" t="inlineStr">
        <is>
          <t>A-1</t>
        </is>
      </c>
      <c r="C15" s="4" t="inlineStr">
        <is>
          <t>미호신용협동조합</t>
        </is>
      </c>
      <c r="D15" s="4" t="inlineStr">
        <is>
          <t>충청도 청주시 흥덕구 강내면 태성탑연로 448-10</t>
        </is>
      </c>
      <c r="E15" s="4" t="inlineStr">
        <is>
          <t>이주희 차장</t>
        </is>
      </c>
      <c r="F15" s="4" t="inlineStr">
        <is>
          <t>043-232-2652</t>
        </is>
      </c>
      <c r="G15" s="4" t="inlineStr">
        <is>
          <t>010-7735-5225</t>
        </is>
      </c>
      <c r="H15" s="4" t="inlineStr"/>
      <c r="I15" s="4" t="inlineStr">
        <is>
          <t>cu05053@cu.co.kr</t>
        </is>
      </c>
      <c r="J15" s="29" t="n"/>
      <c r="K15" s="29" t="n"/>
      <c r="L15" s="29" t="n"/>
      <c r="M15" s="31" t="n"/>
      <c r="N15" s="29" t="n"/>
      <c r="O15" s="4" t="inlineStr">
        <is>
          <t>신협 131-002-821894 / 미호신협</t>
        </is>
      </c>
    </row>
    <row r="16">
      <c r="A16" s="11" t="n">
        <v>11</v>
      </c>
      <c r="B16" s="11" t="inlineStr">
        <is>
          <t>A-1</t>
        </is>
      </c>
      <c r="C16" s="4" t="inlineStr">
        <is>
          <t>대구대서신용협동조합</t>
        </is>
      </c>
      <c r="D16" s="4" t="inlineStr">
        <is>
          <t>대구 서구 서대구로305, 1층</t>
        </is>
      </c>
      <c r="E16" s="4" t="inlineStr">
        <is>
          <t>곽경열 대리</t>
        </is>
      </c>
      <c r="F16" s="4" t="inlineStr">
        <is>
          <t>053-351-9500</t>
        </is>
      </c>
      <c r="G16" s="4" t="inlineStr">
        <is>
          <t>010-8740-2848</t>
        </is>
      </c>
      <c r="H16" s="4" t="inlineStr"/>
      <c r="I16" s="4" t="inlineStr">
        <is>
          <t>kklcome@cu.co.kr</t>
        </is>
      </c>
      <c r="J16" s="29" t="n"/>
      <c r="K16" s="29" t="n"/>
      <c r="L16" s="29" t="n"/>
      <c r="M16" s="31" t="n"/>
      <c r="N16" s="29" t="n"/>
      <c r="O16" s="4" t="inlineStr">
        <is>
          <t>신협 131-005-005290 / 대구대서신용협동조합</t>
        </is>
      </c>
    </row>
    <row r="17">
      <c r="A17" s="11" t="n">
        <v>12</v>
      </c>
      <c r="B17" s="11" t="inlineStr">
        <is>
          <t>A-1</t>
        </is>
      </c>
      <c r="C17" s="4" t="inlineStr">
        <is>
          <t>한빛신용협동조합</t>
        </is>
      </c>
      <c r="D17" s="4" t="inlineStr">
        <is>
          <t>대전 대덕구 계족산로81번길 87</t>
        </is>
      </c>
      <c r="E17" s="4" t="inlineStr">
        <is>
          <t>구진숙 차장</t>
        </is>
      </c>
      <c r="F17" s="4" t="inlineStr">
        <is>
          <t>042-627-4501</t>
        </is>
      </c>
      <c r="G17" s="4" t="inlineStr">
        <is>
          <t>010-6608-1804</t>
        </is>
      </c>
      <c r="H17" s="4" t="inlineStr"/>
      <c r="I17" s="4" t="inlineStr">
        <is>
          <t>cjlover1804@cu.co.kr</t>
        </is>
      </c>
      <c r="J17" s="29" t="n"/>
      <c r="K17" s="29" t="n"/>
      <c r="L17" s="29" t="n"/>
      <c r="M17" s="31" t="n"/>
      <c r="N17" s="29" t="n"/>
      <c r="O17" s="4" t="inlineStr">
        <is>
          <t>신협 131-003-657209 / 한빛신용협동조합</t>
        </is>
      </c>
    </row>
    <row r="18">
      <c r="A18" s="11" t="n">
        <v>13</v>
      </c>
      <c r="B18" s="11" t="inlineStr">
        <is>
          <t>A-1</t>
        </is>
      </c>
      <c r="C18" s="4" t="inlineStr">
        <is>
          <t>양동행복 신용협동조합</t>
        </is>
      </c>
      <c r="D18" s="4" t="inlineStr">
        <is>
          <t>전남광주통합특별시 서구 천변좌로 238(양동)</t>
        </is>
      </c>
      <c r="E18" s="4" t="inlineStr">
        <is>
          <t>안혜진 과장</t>
        </is>
      </c>
      <c r="F18" s="4" t="inlineStr">
        <is>
          <t>062-454-6514</t>
        </is>
      </c>
      <c r="G18" s="4" t="inlineStr">
        <is>
          <t>010-5694-2003</t>
        </is>
      </c>
      <c r="H18" s="4" t="inlineStr"/>
      <c r="I18" s="4" t="inlineStr">
        <is>
          <t>080762002002@cu.co.kr</t>
        </is>
      </c>
      <c r="J18" s="29" t="n"/>
      <c r="K18" s="29" t="n"/>
      <c r="L18" s="29" t="n"/>
      <c r="M18" s="31" t="n"/>
      <c r="N18" s="29" t="n"/>
      <c r="O18" s="4" t="inlineStr">
        <is>
          <t>신협 131-021-819738 / 양동행복신용협동조합</t>
        </is>
      </c>
    </row>
    <row r="19">
      <c r="A19" s="11" t="n">
        <v>14</v>
      </c>
      <c r="B19" s="11" t="inlineStr">
        <is>
          <t>A-1</t>
        </is>
      </c>
      <c r="C19" s="4" t="inlineStr">
        <is>
          <t>서귀포동부신용협동조합</t>
        </is>
      </c>
      <c r="D19" s="4" t="inlineStr">
        <is>
          <t>제주특별자치도 서귀포시 효돈로 136</t>
        </is>
      </c>
      <c r="E19" s="4" t="inlineStr">
        <is>
          <t>홍영기 대리</t>
        </is>
      </c>
      <c r="F19" s="4" t="inlineStr">
        <is>
          <t>064-767-2820</t>
        </is>
      </c>
      <c r="G19" s="4" t="inlineStr">
        <is>
          <t>010-7564-0888</t>
        </is>
      </c>
      <c r="H19" s="4" t="inlineStr"/>
      <c r="I19" s="4" t="inlineStr">
        <is>
          <t>cu11008@cu.co.kr</t>
        </is>
      </c>
      <c r="J19" s="29" t="n"/>
      <c r="K19" s="29" t="n"/>
      <c r="L19" s="29" t="n"/>
      <c r="M19" s="31" t="n"/>
      <c r="N19" s="29" t="n"/>
      <c r="O19" s="4" t="inlineStr">
        <is>
          <t>신협 131-005-410020 / 서귀포동부신협</t>
        </is>
      </c>
    </row>
    <row r="20">
      <c r="A20" s="11" t="n">
        <v>15</v>
      </c>
      <c r="B20" s="11" t="inlineStr">
        <is>
          <t>A-1</t>
        </is>
      </c>
      <c r="C20" s="4" t="inlineStr">
        <is>
          <t>광주어룡신용협동조합</t>
        </is>
      </c>
      <c r="D20" s="4" t="inlineStr">
        <is>
          <t>전남광주통합특별시 광산구 송정로 15</t>
        </is>
      </c>
      <c r="E20" s="4" t="inlineStr">
        <is>
          <t>박태훈 대리</t>
        </is>
      </c>
      <c r="F20" s="4" t="inlineStr">
        <is>
          <t>062-720-8811</t>
        </is>
      </c>
      <c r="G20" s="4" t="inlineStr">
        <is>
          <t>010-3318-5799</t>
        </is>
      </c>
      <c r="H20" s="4" t="inlineStr"/>
      <c r="I20" s="4" t="inlineStr">
        <is>
          <t>hoon91@cu.co.kr</t>
        </is>
      </c>
      <c r="J20" s="29" t="n"/>
      <c r="K20" s="29" t="n"/>
      <c r="L20" s="29" t="n"/>
      <c r="M20" s="31" t="n"/>
      <c r="N20" s="29" t="n"/>
      <c r="O20" s="4" t="inlineStr">
        <is>
          <t>신협 131-004-571106 / 광주어룡신협</t>
        </is>
      </c>
    </row>
    <row r="21">
      <c r="A21" s="11" t="n">
        <v>16</v>
      </c>
      <c r="B21" s="11" t="inlineStr">
        <is>
          <t>A-1</t>
        </is>
      </c>
      <c r="C21" s="4" t="inlineStr">
        <is>
          <t>광주미래신용협동조합</t>
        </is>
      </c>
      <c r="D21" s="4" t="inlineStr">
        <is>
          <t>전남광주통합특별시 북구 북문대로 153 (운암동)</t>
        </is>
      </c>
      <c r="E21" s="4" t="inlineStr">
        <is>
          <t>박민성 사원</t>
        </is>
      </c>
      <c r="F21" s="4" t="inlineStr">
        <is>
          <t>062-515-0070</t>
        </is>
      </c>
      <c r="G21" s="4" t="inlineStr">
        <is>
          <t>010-3075-0887</t>
        </is>
      </c>
      <c r="H21" s="4" t="inlineStr"/>
      <c r="I21" s="4" t="inlineStr">
        <is>
          <t>pmsok101999@cu.co.kr</t>
        </is>
      </c>
      <c r="J21" s="29" t="n"/>
      <c r="K21" s="29" t="n"/>
      <c r="L21" s="29" t="n"/>
      <c r="M21" s="31" t="n"/>
      <c r="N21" s="29" t="n"/>
      <c r="O21" s="4" t="inlineStr">
        <is>
          <t>신협 131-004-612864 / 광주미래신용협동조합</t>
        </is>
      </c>
    </row>
    <row r="22">
      <c r="A22" s="11" t="n">
        <v>17</v>
      </c>
      <c r="B22" s="11" t="inlineStr">
        <is>
          <t>A-1</t>
        </is>
      </c>
      <c r="C22" s="4" t="inlineStr">
        <is>
          <t>새안양 신용협동조합</t>
        </is>
      </c>
      <c r="D22" s="4" t="inlineStr">
        <is>
          <t>경기도 안양시 만안구 장내로 120번길 22(안양동)</t>
        </is>
      </c>
      <c r="E22" s="4" t="inlineStr">
        <is>
          <t>이필승 대리</t>
        </is>
      </c>
      <c r="F22" s="4" t="inlineStr">
        <is>
          <t>031-446-1101</t>
        </is>
      </c>
      <c r="G22" s="4" t="inlineStr">
        <is>
          <t>010-8019-3350</t>
        </is>
      </c>
      <c r="H22" s="4" t="inlineStr"/>
      <c r="I22" s="4" t="inlineStr">
        <is>
          <t>cu03112@cu.co.kr, 09protos@cu.co.kr</t>
        </is>
      </c>
      <c r="J22" s="29" t="n"/>
      <c r="K22" s="29" t="n"/>
      <c r="L22" s="29" t="n"/>
      <c r="M22" s="31" t="n"/>
      <c r="N22" s="29" t="n"/>
      <c r="O22" s="4" t="inlineStr">
        <is>
          <t>신협 131-001-041701 / 새안양신용협동조합</t>
        </is>
      </c>
    </row>
    <row r="23">
      <c r="A23" s="11" t="n">
        <v>18</v>
      </c>
      <c r="B23" s="11" t="inlineStr">
        <is>
          <t>A-1</t>
        </is>
      </c>
      <c r="C23" s="4" t="inlineStr">
        <is>
          <t>남수원 신용협동조합</t>
        </is>
      </c>
      <c r="D23" s="4" t="inlineStr">
        <is>
          <t>경기도 수원시 팔달구 효원로 177(인계동) 1층</t>
        </is>
      </c>
      <c r="E23" s="4" t="inlineStr">
        <is>
          <t>이지운 과장, 김지선 대리</t>
        </is>
      </c>
      <c r="F23" s="4" t="inlineStr">
        <is>
          <t>031-238-0107</t>
        </is>
      </c>
      <c r="G23" s="4" t="inlineStr">
        <is>
          <t>010-4487-6879, 010-9411-0227</t>
        </is>
      </c>
      <c r="H23" s="4" t="inlineStr"/>
      <c r="I23" s="4" t="inlineStr">
        <is>
          <t>krlejw@naver.com, jisunya86@naver.com</t>
        </is>
      </c>
      <c r="J23" s="29" t="n"/>
      <c r="K23" s="29" t="n"/>
      <c r="L23" s="29" t="n"/>
      <c r="M23" s="31" t="n"/>
      <c r="N23" s="29" t="n"/>
      <c r="O23" s="4" t="inlineStr">
        <is>
          <t>신협 131-001-156258 / 남수원신용협동조합</t>
        </is>
      </c>
    </row>
    <row r="24">
      <c r="A24" s="11" t="n">
        <v>19</v>
      </c>
      <c r="B24" s="11" t="inlineStr">
        <is>
          <t>A-1</t>
        </is>
      </c>
      <c r="C24" s="4" t="inlineStr">
        <is>
          <t>북인천신용협동조합</t>
        </is>
      </c>
      <c r="D24" s="4" t="inlineStr">
        <is>
          <t>인천광역시 부평구 후정로 8, 상가2동 B04호</t>
        </is>
      </c>
      <c r="E24" s="4" t="inlineStr">
        <is>
          <t>김희승 과장</t>
        </is>
      </c>
      <c r="F24" s="4" t="inlineStr">
        <is>
          <t>032-516-8101</t>
        </is>
      </c>
      <c r="G24" s="4" t="inlineStr">
        <is>
          <t>010-9664-0702</t>
        </is>
      </c>
      <c r="H24" s="4" t="inlineStr"/>
      <c r="I24" s="4" t="inlineStr">
        <is>
          <t>kkhs101@nate.com, cu03236@cu.co.kr</t>
        </is>
      </c>
      <c r="J24" s="29" t="n"/>
      <c r="K24" s="29" t="n"/>
      <c r="L24" s="29" t="n"/>
      <c r="M24" s="31" t="n"/>
      <c r="N24" s="29" t="n"/>
      <c r="O24" s="4" t="inlineStr">
        <is>
          <t>신협 131-002-051950 / 북인천신용협동조합</t>
        </is>
      </c>
    </row>
    <row r="25">
      <c r="A25" s="11" t="n">
        <v>20</v>
      </c>
      <c r="B25" s="11" t="inlineStr">
        <is>
          <t>A-1</t>
        </is>
      </c>
      <c r="C25" s="4" t="inlineStr">
        <is>
          <t>수협은행</t>
        </is>
      </c>
      <c r="D25" s="4" t="inlineStr">
        <is>
          <t>서울특별시 동작구 동작대로 43, 1층 수협은행 사당역지점</t>
        </is>
      </c>
      <c r="E25" s="4" t="inlineStr">
        <is>
          <t>이진용 대리</t>
        </is>
      </c>
      <c r="F25" s="4" t="inlineStr">
        <is>
          <t>02-874-8781(내선: 4518)</t>
        </is>
      </c>
      <c r="G25" s="4" t="inlineStr">
        <is>
          <t>010-6828-8205</t>
        </is>
      </c>
      <c r="H25" s="4" t="inlineStr">
        <is>
          <t>02-585-7745</t>
        </is>
      </c>
      <c r="I25" s="4" t="inlineStr">
        <is>
          <t>rinyong2@suhyup-bank.com</t>
        </is>
      </c>
      <c r="J25" s="29" t="n"/>
      <c r="K25" s="29" t="n"/>
      <c r="L25" s="29" t="n"/>
      <c r="M25" s="31" t="n"/>
      <c r="N25" s="29" t="n"/>
      <c r="O25" s="4" t="inlineStr"/>
    </row>
    <row r="26">
      <c r="A26" s="11" t="n">
        <v>21</v>
      </c>
      <c r="B26" s="11" t="inlineStr">
        <is>
          <t>A-1</t>
        </is>
      </c>
      <c r="C26" s="4" t="inlineStr">
        <is>
          <t>주식회사 에스비아이저축은행</t>
        </is>
      </c>
      <c r="D26" s="4" t="inlineStr">
        <is>
          <t>서울특별시 중구 을지로5길 26, 9층(수하동, 미래에셋센터원빌딩 동관)</t>
        </is>
      </c>
      <c r="E26" s="4" t="inlineStr">
        <is>
          <t>이정민 매니저</t>
        </is>
      </c>
      <c r="F26" s="4" t="inlineStr">
        <is>
          <t>02-3416-4828</t>
        </is>
      </c>
      <c r="G26" s="4" t="inlineStr">
        <is>
          <t>010-9158-6842</t>
        </is>
      </c>
      <c r="H26" s="4" t="inlineStr">
        <is>
          <t>02-2136-0293</t>
        </is>
      </c>
      <c r="I26" s="4" t="inlineStr">
        <is>
          <t>ljm88@sbisb.co.kr</t>
        </is>
      </c>
      <c r="J26" s="29" t="n"/>
      <c r="K26" s="29" t="n"/>
      <c r="L26" s="29" t="n"/>
      <c r="M26" s="31" t="n"/>
      <c r="N26" s="29" t="n"/>
      <c r="O26" s="4" t="inlineStr"/>
    </row>
    <row r="27">
      <c r="A27" s="11" t="n">
        <v>22</v>
      </c>
      <c r="B27" s="11" t="inlineStr">
        <is>
          <t>A-2</t>
        </is>
      </c>
      <c r="C27" s="4" t="inlineStr">
        <is>
          <t>주식회사 우리은행</t>
        </is>
      </c>
      <c r="D27" s="4" t="inlineStr">
        <is>
          <t>서울특별시 영등포구 여의대로 108, 34층(여의도동, 파크원)</t>
        </is>
      </c>
      <c r="E27" s="4" t="inlineStr">
        <is>
          <t>이인환 과장, 홍진경 과장</t>
        </is>
      </c>
      <c r="F27" s="4" t="inlineStr">
        <is>
          <t>02-2002-5921, 02-2002-4567</t>
        </is>
      </c>
      <c r="G27" s="4" t="inlineStr"/>
      <c r="H27" s="4" t="inlineStr"/>
      <c r="I27" s="4" t="inlineStr">
        <is>
          <t>gsk3150@wooribank.com, jkhong@wooribank.com</t>
        </is>
      </c>
      <c r="J27" s="29" t="n"/>
      <c r="K27" s="29" t="n"/>
      <c r="L27" s="29" t="n"/>
      <c r="M27" s="31" t="n"/>
      <c r="N27" s="29" t="n"/>
      <c r="O27" s="4" t="inlineStr"/>
    </row>
    <row r="28">
      <c r="A28" s="11" t="n">
        <v>23</v>
      </c>
      <c r="B28" s="11" t="inlineStr">
        <is>
          <t>B</t>
        </is>
      </c>
      <c r="C28" s="4" t="inlineStr">
        <is>
          <t>키움캐피탈 주식회사</t>
        </is>
      </c>
      <c r="D28" s="4" t="inlineStr">
        <is>
          <t>서울특별시 영등포구 여의대로 66, 17층</t>
        </is>
      </c>
      <c r="E28" s="4" t="inlineStr">
        <is>
          <t>이승근 주임</t>
        </is>
      </c>
      <c r="F28" s="4" t="inlineStr">
        <is>
          <t>02-780-4295</t>
        </is>
      </c>
      <c r="G28" s="4" t="inlineStr">
        <is>
          <t>010-4339-3878</t>
        </is>
      </c>
      <c r="H28" s="4" t="inlineStr">
        <is>
          <t>02-780-1517</t>
        </is>
      </c>
      <c r="I28" s="4" t="inlineStr">
        <is>
          <t>tmd283@kiwoomcapital.com</t>
        </is>
      </c>
      <c r="J28" s="29" t="n"/>
      <c r="K28" s="29" t="n"/>
      <c r="L28" s="29" t="n"/>
      <c r="M28" s="31" t="n"/>
      <c r="N28" s="29" t="n"/>
      <c r="O28" s="4" t="inlineStr"/>
    </row>
    <row r="29">
      <c r="A29" s="11" t="n">
        <v>24</v>
      </c>
      <c r="B29" s="11" t="inlineStr">
        <is>
          <t>B</t>
        </is>
      </c>
      <c r="C29" s="4" t="inlineStr">
        <is>
          <t>엠지캐피탈 주식회사</t>
        </is>
      </c>
      <c r="D29" s="4" t="inlineStr">
        <is>
          <t>서울특별시 중구 남대문로 55, MG파이낸스센터 12층</t>
        </is>
      </c>
      <c r="E29" s="4" t="inlineStr">
        <is>
          <t>박소현 과장</t>
        </is>
      </c>
      <c r="F29" s="4" t="inlineStr">
        <is>
          <t>02-2200-7423</t>
        </is>
      </c>
      <c r="G29" s="4" t="inlineStr">
        <is>
          <t>010-5241-8897</t>
        </is>
      </c>
      <c r="H29" s="4" t="inlineStr">
        <is>
          <t>02-511-3021</t>
        </is>
      </c>
      <c r="I29" s="4" t="inlineStr">
        <is>
          <t>sopark@mgcap.co.kr</t>
        </is>
      </c>
      <c r="J29" s="29" t="n"/>
      <c r="K29" s="29" t="n"/>
      <c r="L29" s="29" t="n"/>
      <c r="M29" s="31" t="n"/>
      <c r="N29" s="29" t="n"/>
      <c r="O29" s="4" t="inlineStr"/>
    </row>
    <row r="30">
      <c r="A30" s="11" t="n">
        <v>25</v>
      </c>
      <c r="B30" s="11" t="inlineStr">
        <is>
          <t>B</t>
        </is>
      </c>
      <c r="C30" s="4" t="inlineStr">
        <is>
          <t>주식회사 디비저축은행</t>
        </is>
      </c>
      <c r="D30" s="4" t="inlineStr">
        <is>
          <t>서울특별시 중구 남대문로 113, 다동</t>
        </is>
      </c>
      <c r="E30" s="4" t="inlineStr">
        <is>
          <t>정성범 선임</t>
        </is>
      </c>
      <c r="F30" s="4" t="inlineStr">
        <is>
          <t>02-3705-1759</t>
        </is>
      </c>
      <c r="G30" s="4" t="inlineStr">
        <is>
          <t>010-4440-4730</t>
        </is>
      </c>
      <c r="H30" s="4" t="inlineStr">
        <is>
          <t>02-3705-1850</t>
        </is>
      </c>
      <c r="I30" s="4" t="inlineStr">
        <is>
          <t>seongbeom4730j@dbgroup.co.kr</t>
        </is>
      </c>
      <c r="J30" s="29" t="n"/>
      <c r="K30" s="29" t="n"/>
      <c r="L30" s="29" t="n"/>
      <c r="M30" s="31" t="n"/>
      <c r="N30" s="29" t="n"/>
      <c r="O30" s="4" t="inlineStr"/>
    </row>
    <row r="32">
      <c r="A32" s="2" t="inlineStr">
        <is>
          <t>※ 통지처 원문의 '서울시·충청도' 등 약식 표기는 원문 그대로 두었습니다(미호신협 주소는 충청북도). 수협은행 통지처는 사당역지점입니다.</t>
        </is>
      </c>
    </row>
    <row r="33">
      <c r="A33" s="2" t="inlineStr">
        <is>
          <t>※ O열은 대주가 통지처 엑셀에 적어 낸 계좌로, 통장사본으로 확인한 값이 아닙니다. 통장사본과 대조한 뒤 J~L열에 입력하세요.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대주별 대출약정금 (대출약정서 최종본 별지)</t>
        </is>
      </c>
    </row>
    <row r="3">
      <c r="A3" s="3" t="inlineStr">
        <is>
          <t>순번</t>
        </is>
      </c>
      <c r="B3" s="3" t="inlineStr">
        <is>
          <t>Tranche</t>
        </is>
      </c>
      <c r="C3" s="3" t="inlineStr">
        <is>
          <t>대주명</t>
        </is>
      </c>
      <c r="D3" s="3" t="inlineStr">
        <is>
          <t>대출약정금(원)</t>
        </is>
      </c>
      <c r="E3" s="3" t="inlineStr">
        <is>
          <t>금리 구분</t>
        </is>
      </c>
      <c r="F3" s="3" t="inlineStr">
        <is>
          <t>최초 이자기간 적용금리</t>
        </is>
      </c>
    </row>
    <row r="4">
      <c r="A4" s="11" t="n">
        <v>1</v>
      </c>
      <c r="B4" s="11" t="inlineStr">
        <is>
          <t>A-1</t>
        </is>
      </c>
      <c r="C4" s="4" t="inlineStr">
        <is>
          <t>롯데캐피탈 주식회사</t>
        </is>
      </c>
      <c r="D4" s="32" t="n">
        <v>30000000000</v>
      </c>
      <c r="E4" s="11" t="inlineStr">
        <is>
          <t>고정 연 5.00%</t>
        </is>
      </c>
      <c r="F4" s="13">
        <f>IF(B4="A-1",RateA1,IF(B4="A-2",CD1+SpreadA2,RateB))</f>
        <v/>
      </c>
    </row>
    <row r="5">
      <c r="A5" s="11" t="n">
        <v>2</v>
      </c>
      <c r="B5" s="11" t="inlineStr">
        <is>
          <t>A-1</t>
        </is>
      </c>
      <c r="C5" s="4" t="inlineStr">
        <is>
          <t>주식회사 우리카드</t>
        </is>
      </c>
      <c r="D5" s="32" t="n">
        <v>10000000000</v>
      </c>
      <c r="E5" s="11" t="inlineStr">
        <is>
          <t>고정 연 5.00%</t>
        </is>
      </c>
      <c r="F5" s="13">
        <f>IF(B5="A-1",RateA1,IF(B5="A-2",CD1+SpreadA2,RateB))</f>
        <v/>
      </c>
    </row>
    <row r="6">
      <c r="A6" s="11" t="n">
        <v>3</v>
      </c>
      <c r="B6" s="11" t="inlineStr">
        <is>
          <t>A-1</t>
        </is>
      </c>
      <c r="C6" s="4" t="inlineStr">
        <is>
          <t>신용협동조합중앙회</t>
        </is>
      </c>
      <c r="D6" s="32" t="n">
        <v>100000000</v>
      </c>
      <c r="E6" s="11" t="inlineStr">
        <is>
          <t>고정 연 5.00%</t>
        </is>
      </c>
      <c r="F6" s="13">
        <f>IF(B6="A-1",RateA1,IF(B6="A-2",CD1+SpreadA2,RateB))</f>
        <v/>
      </c>
    </row>
    <row r="7">
      <c r="A7" s="11" t="n">
        <v>4</v>
      </c>
      <c r="B7" s="11" t="inlineStr">
        <is>
          <t>A-1</t>
        </is>
      </c>
      <c r="C7" s="4" t="inlineStr">
        <is>
          <t>서로신용협동조합</t>
        </is>
      </c>
      <c r="D7" s="32" t="n">
        <v>4000000000</v>
      </c>
      <c r="E7" s="11" t="inlineStr">
        <is>
          <t>고정 연 5.00%</t>
        </is>
      </c>
      <c r="F7" s="13">
        <f>IF(B7="A-1",RateA1,IF(B7="A-2",CD1+SpreadA2,RateB))</f>
        <v/>
      </c>
    </row>
    <row r="8">
      <c r="A8" s="11" t="n">
        <v>5</v>
      </c>
      <c r="B8" s="11" t="inlineStr">
        <is>
          <t>A-1</t>
        </is>
      </c>
      <c r="C8" s="4" t="inlineStr">
        <is>
          <t>수지신용협동조합</t>
        </is>
      </c>
      <c r="D8" s="32" t="n">
        <v>2800000000</v>
      </c>
      <c r="E8" s="11" t="inlineStr">
        <is>
          <t>고정 연 5.00%</t>
        </is>
      </c>
      <c r="F8" s="13">
        <f>IF(B8="A-1",RateA1,IF(B8="A-2",CD1+SpreadA2,RateB))</f>
        <v/>
      </c>
    </row>
    <row r="9">
      <c r="A9" s="11" t="n">
        <v>6</v>
      </c>
      <c r="B9" s="11" t="inlineStr">
        <is>
          <t>A-1</t>
        </is>
      </c>
      <c r="C9" s="4" t="inlineStr">
        <is>
          <t>정선신용협동조합</t>
        </is>
      </c>
      <c r="D9" s="32" t="n">
        <v>2400000000</v>
      </c>
      <c r="E9" s="11" t="inlineStr">
        <is>
          <t>고정 연 5.00%</t>
        </is>
      </c>
      <c r="F9" s="13">
        <f>IF(B9="A-1",RateA1,IF(B9="A-2",CD1+SpreadA2,RateB))</f>
        <v/>
      </c>
    </row>
    <row r="10">
      <c r="A10" s="11" t="n">
        <v>7</v>
      </c>
      <c r="B10" s="11" t="inlineStr">
        <is>
          <t>A-1</t>
        </is>
      </c>
      <c r="C10" s="4" t="inlineStr">
        <is>
          <t>연희신용협동조합</t>
        </is>
      </c>
      <c r="D10" s="32" t="n">
        <v>1400000000</v>
      </c>
      <c r="E10" s="11" t="inlineStr">
        <is>
          <t>고정 연 5.00%</t>
        </is>
      </c>
      <c r="F10" s="13">
        <f>IF(B10="A-1",RateA1,IF(B10="A-2",CD1+SpreadA2,RateB))</f>
        <v/>
      </c>
    </row>
    <row r="11">
      <c r="A11" s="11" t="n">
        <v>8</v>
      </c>
      <c r="B11" s="11" t="inlineStr">
        <is>
          <t>A-1</t>
        </is>
      </c>
      <c r="C11" s="4" t="inlineStr">
        <is>
          <t>금모래신용협동조합</t>
        </is>
      </c>
      <c r="D11" s="32" t="n">
        <v>1800000000</v>
      </c>
      <c r="E11" s="11" t="inlineStr">
        <is>
          <t>고정 연 5.00%</t>
        </is>
      </c>
      <c r="F11" s="13">
        <f>IF(B11="A-1",RateA1,IF(B11="A-2",CD1+SpreadA2,RateB))</f>
        <v/>
      </c>
    </row>
    <row r="12">
      <c r="A12" s="11" t="n">
        <v>9</v>
      </c>
      <c r="B12" s="11" t="inlineStr">
        <is>
          <t>A-1</t>
        </is>
      </c>
      <c r="C12" s="4" t="inlineStr">
        <is>
          <t>남인천신용협동조합</t>
        </is>
      </c>
      <c r="D12" s="32" t="n">
        <v>1000000000</v>
      </c>
      <c r="E12" s="11" t="inlineStr">
        <is>
          <t>고정 연 5.00%</t>
        </is>
      </c>
      <c r="F12" s="13">
        <f>IF(B12="A-1",RateA1,IF(B12="A-2",CD1+SpreadA2,RateB))</f>
        <v/>
      </c>
    </row>
    <row r="13">
      <c r="A13" s="11" t="n">
        <v>10</v>
      </c>
      <c r="B13" s="11" t="inlineStr">
        <is>
          <t>A-1</t>
        </is>
      </c>
      <c r="C13" s="4" t="inlineStr">
        <is>
          <t>미호신용협동조합</t>
        </is>
      </c>
      <c r="D13" s="32" t="n">
        <v>1300000000</v>
      </c>
      <c r="E13" s="11" t="inlineStr">
        <is>
          <t>고정 연 5.00%</t>
        </is>
      </c>
      <c r="F13" s="13">
        <f>IF(B13="A-1",RateA1,IF(B13="A-2",CD1+SpreadA2,RateB))</f>
        <v/>
      </c>
    </row>
    <row r="14">
      <c r="A14" s="11" t="n">
        <v>11</v>
      </c>
      <c r="B14" s="11" t="inlineStr">
        <is>
          <t>A-1</t>
        </is>
      </c>
      <c r="C14" s="4" t="inlineStr">
        <is>
          <t>대구대서신용협동조합</t>
        </is>
      </c>
      <c r="D14" s="32" t="n">
        <v>1300000000</v>
      </c>
      <c r="E14" s="11" t="inlineStr">
        <is>
          <t>고정 연 5.00%</t>
        </is>
      </c>
      <c r="F14" s="13">
        <f>IF(B14="A-1",RateA1,IF(B14="A-2",CD1+SpreadA2,RateB))</f>
        <v/>
      </c>
    </row>
    <row r="15">
      <c r="A15" s="11" t="n">
        <v>12</v>
      </c>
      <c r="B15" s="11" t="inlineStr">
        <is>
          <t>A-1</t>
        </is>
      </c>
      <c r="C15" s="4" t="inlineStr">
        <is>
          <t>한빛신용협동조합</t>
        </is>
      </c>
      <c r="D15" s="32" t="n">
        <v>1700000000</v>
      </c>
      <c r="E15" s="11" t="inlineStr">
        <is>
          <t>고정 연 5.00%</t>
        </is>
      </c>
      <c r="F15" s="13">
        <f>IF(B15="A-1",RateA1,IF(B15="A-2",CD1+SpreadA2,RateB))</f>
        <v/>
      </c>
    </row>
    <row r="16">
      <c r="A16" s="11" t="n">
        <v>13</v>
      </c>
      <c r="B16" s="11" t="inlineStr">
        <is>
          <t>A-1</t>
        </is>
      </c>
      <c r="C16" s="4" t="inlineStr">
        <is>
          <t>양동행복 신용협동조합</t>
        </is>
      </c>
      <c r="D16" s="32" t="n">
        <v>1900000000</v>
      </c>
      <c r="E16" s="11" t="inlineStr">
        <is>
          <t>고정 연 5.00%</t>
        </is>
      </c>
      <c r="F16" s="13">
        <f>IF(B16="A-1",RateA1,IF(B16="A-2",CD1+SpreadA2,RateB))</f>
        <v/>
      </c>
    </row>
    <row r="17">
      <c r="A17" s="11" t="n">
        <v>14</v>
      </c>
      <c r="B17" s="11" t="inlineStr">
        <is>
          <t>A-1</t>
        </is>
      </c>
      <c r="C17" s="4" t="inlineStr">
        <is>
          <t>서귀포동부신용협동조합</t>
        </is>
      </c>
      <c r="D17" s="32" t="n">
        <v>1200000000</v>
      </c>
      <c r="E17" s="11" t="inlineStr">
        <is>
          <t>고정 연 5.00%</t>
        </is>
      </c>
      <c r="F17" s="13">
        <f>IF(B17="A-1",RateA1,IF(B17="A-2",CD1+SpreadA2,RateB))</f>
        <v/>
      </c>
    </row>
    <row r="18">
      <c r="A18" s="11" t="n">
        <v>15</v>
      </c>
      <c r="B18" s="11" t="inlineStr">
        <is>
          <t>A-1</t>
        </is>
      </c>
      <c r="C18" s="4" t="inlineStr">
        <is>
          <t>광주어룡신용협동조합</t>
        </is>
      </c>
      <c r="D18" s="32" t="n">
        <v>2700000000</v>
      </c>
      <c r="E18" s="11" t="inlineStr">
        <is>
          <t>고정 연 5.00%</t>
        </is>
      </c>
      <c r="F18" s="13">
        <f>IF(B18="A-1",RateA1,IF(B18="A-2",CD1+SpreadA2,RateB))</f>
        <v/>
      </c>
    </row>
    <row r="19">
      <c r="A19" s="11" t="n">
        <v>16</v>
      </c>
      <c r="B19" s="11" t="inlineStr">
        <is>
          <t>A-1</t>
        </is>
      </c>
      <c r="C19" s="4" t="inlineStr">
        <is>
          <t>광주미래신용협동조합</t>
        </is>
      </c>
      <c r="D19" s="32" t="n">
        <v>1400000000</v>
      </c>
      <c r="E19" s="11" t="inlineStr">
        <is>
          <t>고정 연 5.00%</t>
        </is>
      </c>
      <c r="F19" s="13">
        <f>IF(B19="A-1",RateA1,IF(B19="A-2",CD1+SpreadA2,RateB))</f>
        <v/>
      </c>
    </row>
    <row r="20">
      <c r="A20" s="11" t="n">
        <v>17</v>
      </c>
      <c r="B20" s="11" t="inlineStr">
        <is>
          <t>A-1</t>
        </is>
      </c>
      <c r="C20" s="4" t="inlineStr">
        <is>
          <t>새안양 신용협동조합</t>
        </is>
      </c>
      <c r="D20" s="32" t="n">
        <v>4000000000</v>
      </c>
      <c r="E20" s="11" t="inlineStr">
        <is>
          <t>고정 연 5.00%</t>
        </is>
      </c>
      <c r="F20" s="13">
        <f>IF(B20="A-1",RateA1,IF(B20="A-2",CD1+SpreadA2,RateB))</f>
        <v/>
      </c>
    </row>
    <row r="21">
      <c r="A21" s="11" t="n">
        <v>18</v>
      </c>
      <c r="B21" s="11" t="inlineStr">
        <is>
          <t>A-1</t>
        </is>
      </c>
      <c r="C21" s="4" t="inlineStr">
        <is>
          <t>남수원 신용협동조합</t>
        </is>
      </c>
      <c r="D21" s="32" t="n">
        <v>300000000</v>
      </c>
      <c r="E21" s="11" t="inlineStr">
        <is>
          <t>고정 연 5.00%</t>
        </is>
      </c>
      <c r="F21" s="13">
        <f>IF(B21="A-1",RateA1,IF(B21="A-2",CD1+SpreadA2,RateB))</f>
        <v/>
      </c>
    </row>
    <row r="22">
      <c r="A22" s="11" t="n">
        <v>19</v>
      </c>
      <c r="B22" s="11" t="inlineStr">
        <is>
          <t>A-1</t>
        </is>
      </c>
      <c r="C22" s="4" t="inlineStr">
        <is>
          <t>북인천신용협동조합</t>
        </is>
      </c>
      <c r="D22" s="32" t="n">
        <v>700000000</v>
      </c>
      <c r="E22" s="11" t="inlineStr">
        <is>
          <t>고정 연 5.00%</t>
        </is>
      </c>
      <c r="F22" s="13">
        <f>IF(B22="A-1",RateA1,IF(B22="A-2",CD1+SpreadA2,RateB))</f>
        <v/>
      </c>
    </row>
    <row r="23">
      <c r="A23" s="11" t="n">
        <v>20</v>
      </c>
      <c r="B23" s="11" t="inlineStr">
        <is>
          <t>A-1</t>
        </is>
      </c>
      <c r="C23" s="4" t="inlineStr">
        <is>
          <t>수협은행</t>
        </is>
      </c>
      <c r="D23" s="32" t="n">
        <v>10000000000</v>
      </c>
      <c r="E23" s="11" t="inlineStr">
        <is>
          <t>고정 연 5.00%</t>
        </is>
      </c>
      <c r="F23" s="13">
        <f>IF(B23="A-1",RateA1,IF(B23="A-2",CD1+SpreadA2,RateB))</f>
        <v/>
      </c>
    </row>
    <row r="24">
      <c r="A24" s="11" t="n">
        <v>21</v>
      </c>
      <c r="B24" s="11" t="inlineStr">
        <is>
          <t>A-1</t>
        </is>
      </c>
      <c r="C24" s="4" t="inlineStr">
        <is>
          <t>주식회사 에스비아이저축은행</t>
        </is>
      </c>
      <c r="D24" s="32" t="n">
        <v>10000000000</v>
      </c>
      <c r="E24" s="11" t="inlineStr">
        <is>
          <t>고정 연 5.00%</t>
        </is>
      </c>
      <c r="F24" s="13">
        <f>IF(B24="A-1",RateA1,IF(B24="A-2",CD1+SpreadA2,RateB))</f>
        <v/>
      </c>
    </row>
    <row r="25">
      <c r="A25" s="11" t="n">
        <v>22</v>
      </c>
      <c r="B25" s="11" t="inlineStr">
        <is>
          <t>A-2</t>
        </is>
      </c>
      <c r="C25" s="4" t="inlineStr">
        <is>
          <t>주식회사 우리은행</t>
        </is>
      </c>
      <c r="D25" s="32" t="n">
        <v>70000000000</v>
      </c>
      <c r="E25" s="11" t="inlineStr">
        <is>
          <t>변동 CD+1.43%</t>
        </is>
      </c>
      <c r="F25" s="13">
        <f>IF(B25="A-1",RateA1,IF(B25="A-2",CD1+SpreadA2,RateB))</f>
        <v/>
      </c>
    </row>
    <row r="26">
      <c r="A26" s="11" t="n">
        <v>23</v>
      </c>
      <c r="B26" s="11" t="inlineStr">
        <is>
          <t>B</t>
        </is>
      </c>
      <c r="C26" s="4" t="inlineStr">
        <is>
          <t>키움캐피탈 주식회사</t>
        </is>
      </c>
      <c r="D26" s="32" t="n">
        <v>20000000000</v>
      </c>
      <c r="E26" s="11" t="inlineStr">
        <is>
          <t>고정 연 6.00%</t>
        </is>
      </c>
      <c r="F26" s="13">
        <f>IF(B26="A-1",RateA1,IF(B26="A-2",CD1+SpreadA2,RateB))</f>
        <v/>
      </c>
    </row>
    <row r="27">
      <c r="A27" s="11" t="n">
        <v>24</v>
      </c>
      <c r="B27" s="11" t="inlineStr">
        <is>
          <t>B</t>
        </is>
      </c>
      <c r="C27" s="4" t="inlineStr">
        <is>
          <t>엠지캐피탈 주식회사</t>
        </is>
      </c>
      <c r="D27" s="32" t="n">
        <v>10000000000</v>
      </c>
      <c r="E27" s="11" t="inlineStr">
        <is>
          <t>고정 연 6.00%</t>
        </is>
      </c>
      <c r="F27" s="13">
        <f>IF(B27="A-1",RateA1,IF(B27="A-2",CD1+SpreadA2,RateB))</f>
        <v/>
      </c>
    </row>
    <row r="28">
      <c r="A28" s="11" t="n">
        <v>25</v>
      </c>
      <c r="B28" s="11" t="inlineStr">
        <is>
          <t>B</t>
        </is>
      </c>
      <c r="C28" s="4" t="inlineStr">
        <is>
          <t>주식회사 디비저축은행</t>
        </is>
      </c>
      <c r="D28" s="32" t="n">
        <v>8000000000</v>
      </c>
      <c r="E28" s="11" t="inlineStr">
        <is>
          <t>고정 연 6.00%</t>
        </is>
      </c>
      <c r="F28" s="13">
        <f>IF(B28="A-1",RateA1,IF(B28="A-2",CD1+SpreadA2,RateB))</f>
        <v/>
      </c>
    </row>
    <row r="29">
      <c r="A29" s="33" t="n"/>
      <c r="B29" s="33" t="n"/>
      <c r="C29" s="33" t="inlineStr">
        <is>
          <t>Tranche A-1 소계</t>
        </is>
      </c>
      <c r="D29" s="20">
        <f>SUMIF($B$4:$B$28,"A-1",$D$4:$D$28)</f>
        <v/>
      </c>
      <c r="E29" s="33" t="n"/>
      <c r="F29" s="33" t="n"/>
    </row>
    <row r="30">
      <c r="A30" s="33" t="n"/>
      <c r="B30" s="33" t="n"/>
      <c r="C30" s="33" t="inlineStr">
        <is>
          <t>Tranche A-2 소계</t>
        </is>
      </c>
      <c r="D30" s="20">
        <f>SUMIF($B$4:$B$28,"A-2",$D$4:$D$28)</f>
        <v/>
      </c>
      <c r="E30" s="33" t="n"/>
      <c r="F30" s="33" t="n"/>
    </row>
    <row r="31">
      <c r="A31" s="33" t="n"/>
      <c r="B31" s="33" t="n"/>
      <c r="C31" s="33" t="inlineStr">
        <is>
          <t>Tranche B 소계</t>
        </is>
      </c>
      <c r="D31" s="20">
        <f>SUMIF($B$4:$B$28,"B",$D$4:$D$28)</f>
        <v/>
      </c>
      <c r="E31" s="33" t="n"/>
      <c r="F31" s="33" t="n"/>
    </row>
    <row r="32">
      <c r="A32" s="33" t="n"/>
      <c r="B32" s="33" t="n"/>
      <c r="C32" s="33" t="inlineStr">
        <is>
          <t>합계</t>
        </is>
      </c>
      <c r="D32" s="20">
        <f>SUM(D4:D28)</f>
        <v/>
      </c>
      <c r="E32" s="33" t="n"/>
      <c r="F32" s="3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</cols>
  <sheetData>
    <row r="1">
      <c r="A1" s="1" t="inlineStr">
        <is>
          <t>은행 휴무일 목록 (영업일 조정에 사용, 행 추가 가능)</t>
        </is>
      </c>
    </row>
    <row r="3">
      <c r="A3" s="3" t="inlineStr">
        <is>
          <t>일자</t>
        </is>
      </c>
      <c r="B3" s="3" t="inlineStr">
        <is>
          <t>명칭</t>
        </is>
      </c>
      <c r="C3" s="3" t="inlineStr">
        <is>
          <t>요일</t>
        </is>
      </c>
    </row>
    <row r="4">
      <c r="A4" s="31" t="n">
        <v>46381</v>
      </c>
      <c r="B4" s="11" t="inlineStr">
        <is>
          <t>성탄절</t>
        </is>
      </c>
      <c r="C4" s="11">
        <f>IF(A4="","",TEXT(A4,"aaa"))</f>
        <v/>
      </c>
    </row>
    <row r="5">
      <c r="A5" s="31" t="n">
        <v>46387</v>
      </c>
      <c r="B5" s="11" t="inlineStr">
        <is>
          <t>은행 연말 휴무</t>
        </is>
      </c>
      <c r="C5" s="11">
        <f>IF(A5="","",TEXT(A5,"aaa"))</f>
        <v/>
      </c>
    </row>
    <row r="6">
      <c r="A6" s="31" t="n">
        <v>46388</v>
      </c>
      <c r="B6" s="11" t="inlineStr">
        <is>
          <t>신정</t>
        </is>
      </c>
      <c r="C6" s="11">
        <f>IF(A6="","",TEXT(A6,"aaa"))</f>
        <v/>
      </c>
    </row>
    <row r="7">
      <c r="A7" s="31" t="n">
        <v>46424</v>
      </c>
      <c r="B7" s="11" t="inlineStr">
        <is>
          <t>설날 연휴</t>
        </is>
      </c>
      <c r="C7" s="11">
        <f>IF(A7="","",TEXT(A7,"aaa"))</f>
        <v/>
      </c>
    </row>
    <row r="8">
      <c r="A8" s="31" t="n">
        <v>46425</v>
      </c>
      <c r="B8" s="11" t="inlineStr">
        <is>
          <t>설날</t>
        </is>
      </c>
      <c r="C8" s="11">
        <f>IF(A8="","",TEXT(A8,"aaa"))</f>
        <v/>
      </c>
    </row>
    <row r="9">
      <c r="A9" s="31" t="n">
        <v>46426</v>
      </c>
      <c r="B9" s="11" t="inlineStr">
        <is>
          <t>설날 연휴</t>
        </is>
      </c>
      <c r="C9" s="11">
        <f>IF(A9="","",TEXT(A9,"aaa"))</f>
        <v/>
      </c>
    </row>
    <row r="10">
      <c r="A10" s="31" t="n">
        <v>46427</v>
      </c>
      <c r="B10" s="11" t="inlineStr">
        <is>
          <t>대체공휴일(설날)</t>
        </is>
      </c>
      <c r="C10" s="11">
        <f>IF(A10="","",TEXT(A10,"aaa"))</f>
        <v/>
      </c>
    </row>
    <row r="11">
      <c r="A11" s="31" t="n">
        <v>46447</v>
      </c>
      <c r="B11" s="11" t="inlineStr">
        <is>
          <t>삼일절</t>
        </is>
      </c>
      <c r="C11" s="11">
        <f>IF(A11="","",TEXT(A11,"aaa"))</f>
        <v/>
      </c>
    </row>
    <row r="12">
      <c r="A12" s="31" t="n">
        <v>46508</v>
      </c>
      <c r="B12" s="11" t="inlineStr">
        <is>
          <t>근로자의 날(은행 휴무)</t>
        </is>
      </c>
      <c r="C12" s="11">
        <f>IF(A12="","",TEXT(A12,"aaa"))</f>
        <v/>
      </c>
    </row>
    <row r="13">
      <c r="A13" s="31" t="n">
        <v>46512</v>
      </c>
      <c r="B13" s="11" t="inlineStr">
        <is>
          <t>어린이날</t>
        </is>
      </c>
      <c r="C13" s="11">
        <f>IF(A13="","",TEXT(A13,"aaa"))</f>
        <v/>
      </c>
    </row>
    <row r="14">
      <c r="A14" s="31" t="n">
        <v>46520</v>
      </c>
      <c r="B14" s="11" t="inlineStr">
        <is>
          <t>부처님오신날</t>
        </is>
      </c>
      <c r="C14" s="11">
        <f>IF(A14="","",TEXT(A14,"aaa"))</f>
        <v/>
      </c>
    </row>
    <row r="15">
      <c r="A15" s="31" t="n">
        <v>46544</v>
      </c>
      <c r="B15" s="11" t="inlineStr">
        <is>
          <t>현충일</t>
        </is>
      </c>
      <c r="C15" s="11">
        <f>IF(A15="","",TEXT(A15,"aaa"))</f>
        <v/>
      </c>
    </row>
    <row r="16">
      <c r="A16" s="31" t="n">
        <v>46614</v>
      </c>
      <c r="B16" s="11" t="inlineStr">
        <is>
          <t>광복절</t>
        </is>
      </c>
      <c r="C16" s="11">
        <f>IF(A16="","",TEXT(A16,"aaa"))</f>
        <v/>
      </c>
    </row>
    <row r="17">
      <c r="A17" s="31" t="n">
        <v>46615</v>
      </c>
      <c r="B17" s="11" t="inlineStr">
        <is>
          <t>대체공휴일(광복절)</t>
        </is>
      </c>
      <c r="C17" s="11">
        <f>IF(A17="","",TEXT(A17,"aaa"))</f>
        <v/>
      </c>
    </row>
    <row r="18">
      <c r="A18" s="31" t="n">
        <v>46644</v>
      </c>
      <c r="B18" s="11" t="inlineStr">
        <is>
          <t>추석 연휴</t>
        </is>
      </c>
      <c r="C18" s="11">
        <f>IF(A18="","",TEXT(A18,"aaa"))</f>
        <v/>
      </c>
    </row>
    <row r="19">
      <c r="A19" s="31" t="n">
        <v>46645</v>
      </c>
      <c r="B19" s="11" t="inlineStr">
        <is>
          <t>추석</t>
        </is>
      </c>
      <c r="C19" s="11">
        <f>IF(A19="","",TEXT(A19,"aaa"))</f>
        <v/>
      </c>
    </row>
    <row r="20">
      <c r="A20" s="31" t="n">
        <v>46646</v>
      </c>
      <c r="B20" s="11" t="inlineStr">
        <is>
          <t>추석 연휴</t>
        </is>
      </c>
      <c r="C20" s="11">
        <f>IF(A20="","",TEXT(A20,"aaa"))</f>
        <v/>
      </c>
    </row>
    <row r="21">
      <c r="A21" s="31" t="n">
        <v>46663</v>
      </c>
      <c r="B21" s="11" t="inlineStr">
        <is>
          <t>개천절</t>
        </is>
      </c>
      <c r="C21" s="11">
        <f>IF(A21="","",TEXT(A21,"aaa"))</f>
        <v/>
      </c>
    </row>
    <row r="22">
      <c r="A22" s="31" t="n">
        <v>46664</v>
      </c>
      <c r="B22" s="11" t="inlineStr">
        <is>
          <t>대체공휴일(개천절)</t>
        </is>
      </c>
      <c r="C22" s="11">
        <f>IF(A22="","",TEXT(A22,"aaa"))</f>
        <v/>
      </c>
    </row>
    <row r="23">
      <c r="A23" s="31" t="n">
        <v>46669</v>
      </c>
      <c r="B23" s="11" t="inlineStr">
        <is>
          <t>한글날</t>
        </is>
      </c>
      <c r="C23" s="11">
        <f>IF(A23="","",TEXT(A23,"aaa"))</f>
        <v/>
      </c>
    </row>
    <row r="24">
      <c r="A24" s="31" t="n">
        <v>46671</v>
      </c>
      <c r="B24" s="11" t="inlineStr">
        <is>
          <t>대체공휴일(한글날)</t>
        </is>
      </c>
      <c r="C24" s="11">
        <f>IF(A24="","",TEXT(A24,"aaa"))</f>
        <v/>
      </c>
    </row>
    <row r="25">
      <c r="A25" s="31" t="n">
        <v>46746</v>
      </c>
      <c r="B25" s="11" t="inlineStr">
        <is>
          <t>성탄절</t>
        </is>
      </c>
      <c r="C25" s="11">
        <f>IF(A25="","",TEXT(A25,"aaa"))</f>
        <v/>
      </c>
    </row>
    <row r="26">
      <c r="A26" s="31" t="n">
        <v>46748</v>
      </c>
      <c r="B26" s="11" t="inlineStr">
        <is>
          <t>대체공휴일(성탄절)</t>
        </is>
      </c>
      <c r="C26" s="11">
        <f>IF(A26="","",TEXT(A26,"aaa"))</f>
        <v/>
      </c>
    </row>
    <row r="27">
      <c r="A27" s="31" t="n">
        <v>46752</v>
      </c>
      <c r="B27" s="11" t="inlineStr">
        <is>
          <t>은행 연말 휴무</t>
        </is>
      </c>
      <c r="C27" s="11">
        <f>IF(A27="","",TEXT(A27,"aaa"))</f>
        <v/>
      </c>
    </row>
    <row r="28">
      <c r="A28" s="31" t="n">
        <v>46753</v>
      </c>
      <c r="B28" s="11" t="inlineStr">
        <is>
          <t>신정</t>
        </is>
      </c>
      <c r="C28" s="11">
        <f>IF(A28="","",TEXT(A28,"aaa"))</f>
        <v/>
      </c>
    </row>
    <row r="29">
      <c r="A29" s="31" t="n">
        <v>46777</v>
      </c>
      <c r="B29" s="11" t="inlineStr">
        <is>
          <t>설날 연휴</t>
        </is>
      </c>
      <c r="C29" s="11">
        <f>IF(A29="","",TEXT(A29,"aaa"))</f>
        <v/>
      </c>
    </row>
    <row r="30">
      <c r="A30" s="31" t="n">
        <v>46778</v>
      </c>
      <c r="B30" s="11" t="inlineStr">
        <is>
          <t>설날</t>
        </is>
      </c>
      <c r="C30" s="11">
        <f>IF(A30="","",TEXT(A30,"aaa"))</f>
        <v/>
      </c>
    </row>
    <row r="31">
      <c r="A31" s="31" t="n">
        <v>46779</v>
      </c>
      <c r="B31" s="11" t="inlineStr">
        <is>
          <t>설날 연휴</t>
        </is>
      </c>
      <c r="C31" s="11">
        <f>IF(A31="","",TEXT(A31,"aaa"))</f>
        <v/>
      </c>
    </row>
    <row r="32">
      <c r="A32" s="31" t="n">
        <v>46813</v>
      </c>
      <c r="B32" s="11" t="inlineStr">
        <is>
          <t>삼일절</t>
        </is>
      </c>
      <c r="C32" s="11">
        <f>IF(A32="","",TEXT(A32,"aaa"))</f>
        <v/>
      </c>
    </row>
    <row r="33">
      <c r="A33" s="31" t="n">
        <v>46855</v>
      </c>
      <c r="B33" s="11" t="inlineStr">
        <is>
          <t>국회의원 선거일</t>
        </is>
      </c>
      <c r="C33" s="11">
        <f>IF(A33="","",TEXT(A33,"aaa"))</f>
        <v/>
      </c>
    </row>
    <row r="34">
      <c r="A34" s="31" t="n">
        <v>46874</v>
      </c>
      <c r="B34" s="11" t="inlineStr">
        <is>
          <t>근로자의 날(은행 휴무)</t>
        </is>
      </c>
      <c r="C34" s="11">
        <f>IF(A34="","",TEXT(A34,"aaa"))</f>
        <v/>
      </c>
    </row>
    <row r="35">
      <c r="A35" s="31" t="n">
        <v>46875</v>
      </c>
      <c r="B35" s="11" t="inlineStr">
        <is>
          <t>부처님오신날</t>
        </is>
      </c>
      <c r="C35" s="11">
        <f>IF(A35="","",TEXT(A35,"aaa"))</f>
        <v/>
      </c>
    </row>
    <row r="36">
      <c r="A36" s="31" t="n">
        <v>46878</v>
      </c>
      <c r="B36" s="11" t="inlineStr">
        <is>
          <t>어린이날</t>
        </is>
      </c>
      <c r="C36" s="11">
        <f>IF(A36="","",TEXT(A36,"aaa"))</f>
        <v/>
      </c>
    </row>
    <row r="37">
      <c r="A37" s="31" t="n">
        <v>46910</v>
      </c>
      <c r="B37" s="11" t="inlineStr">
        <is>
          <t>현충일</t>
        </is>
      </c>
      <c r="C37" s="11">
        <f>IF(A37="","",TEXT(A37,"aaa"))</f>
        <v/>
      </c>
    </row>
    <row r="38">
      <c r="A38" s="31" t="n">
        <v>46980</v>
      </c>
      <c r="B38" s="11" t="inlineStr">
        <is>
          <t>광복절</t>
        </is>
      </c>
      <c r="C38" s="11">
        <f>IF(A38="","",TEXT(A38,"aaa"))</f>
        <v/>
      </c>
    </row>
    <row r="39">
      <c r="A39" s="31" t="n">
        <v>47028</v>
      </c>
      <c r="B39" s="11" t="inlineStr">
        <is>
          <t>추석 연휴</t>
        </is>
      </c>
      <c r="C39" s="11">
        <f>IF(A39="","",TEXT(A39,"aaa"))</f>
        <v/>
      </c>
    </row>
    <row r="40">
      <c r="A40" s="31" t="n">
        <v>47029</v>
      </c>
      <c r="B40" s="11" t="inlineStr">
        <is>
          <t>추석·개천절</t>
        </is>
      </c>
      <c r="C40" s="11">
        <f>IF(A40="","",TEXT(A40,"aaa"))</f>
        <v/>
      </c>
    </row>
    <row r="41">
      <c r="A41" s="31" t="n">
        <v>47030</v>
      </c>
      <c r="B41" s="11" t="inlineStr">
        <is>
          <t>추석 연휴</t>
        </is>
      </c>
      <c r="C41" s="11">
        <f>IF(A41="","",TEXT(A41,"aaa"))</f>
        <v/>
      </c>
    </row>
    <row r="42">
      <c r="A42" s="31" t="n">
        <v>47031</v>
      </c>
      <c r="B42" s="11" t="inlineStr">
        <is>
          <t>대체공휴일(개천절·추석 겹침)</t>
        </is>
      </c>
      <c r="C42" s="11">
        <f>IF(A42="","",TEXT(A42,"aaa"))</f>
        <v/>
      </c>
    </row>
    <row r="43">
      <c r="A43" s="31" t="n">
        <v>47035</v>
      </c>
      <c r="B43" s="11" t="inlineStr">
        <is>
          <t>한글날</t>
        </is>
      </c>
      <c r="C43" s="11">
        <f>IF(A43="","",TEXT(A43,"aaa"))</f>
        <v/>
      </c>
    </row>
    <row r="44">
      <c r="A44" s="31" t="n">
        <v>47112</v>
      </c>
      <c r="B44" s="11" t="inlineStr">
        <is>
          <t>성탄절</t>
        </is>
      </c>
      <c r="C44" s="11">
        <f>IF(A44="","",TEXT(A44,"aaa"))</f>
        <v/>
      </c>
    </row>
    <row r="45">
      <c r="A45" s="31" t="n"/>
      <c r="B45" s="11" t="n"/>
      <c r="C45" s="11" t="n"/>
    </row>
    <row r="46">
      <c r="A46" s="31" t="n"/>
      <c r="B46" s="11" t="n"/>
      <c r="C46" s="11" t="n"/>
    </row>
    <row r="47">
      <c r="A47" s="31" t="n"/>
      <c r="B47" s="11" t="n"/>
      <c r="C47" s="11" t="n"/>
    </row>
    <row r="48">
      <c r="A48" s="31" t="n"/>
      <c r="B48" s="11" t="n"/>
      <c r="C48" s="11" t="n"/>
    </row>
    <row r="49">
      <c r="A49" s="31" t="n"/>
      <c r="B49" s="11" t="n"/>
      <c r="C49" s="11" t="n"/>
    </row>
    <row r="50">
      <c r="A50" s="31" t="n"/>
      <c r="B50" s="11" t="n"/>
      <c r="C50" s="11" t="n"/>
    </row>
    <row r="51">
      <c r="A51" s="31" t="n"/>
      <c r="B51" s="11" t="n"/>
      <c r="C51" s="11" t="n"/>
    </row>
    <row r="52">
      <c r="A52" s="31" t="n"/>
      <c r="B52" s="11" t="n"/>
      <c r="C52" s="11" t="n"/>
    </row>
    <row r="53">
      <c r="A53" s="31" t="n"/>
      <c r="B53" s="11" t="n"/>
      <c r="C53" s="11" t="n"/>
    </row>
    <row r="54">
      <c r="A54" s="31" t="n"/>
      <c r="B54" s="11" t="n"/>
      <c r="C54" s="11" t="n"/>
    </row>
    <row r="55">
      <c r="A55" s="31" t="n"/>
      <c r="B55" s="11" t="n"/>
      <c r="C55" s="11" t="n"/>
    </row>
    <row r="56">
      <c r="A56" s="31" t="n"/>
      <c r="B56" s="11" t="n"/>
      <c r="C56" s="11" t="n"/>
    </row>
    <row r="57">
      <c r="A57" s="31" t="n"/>
      <c r="B57" s="11" t="n"/>
      <c r="C57" s="11" t="n"/>
    </row>
    <row r="58">
      <c r="A58" s="31" t="n"/>
      <c r="B58" s="11" t="n"/>
      <c r="C58" s="11" t="n"/>
    </row>
    <row r="59">
      <c r="A59" s="31" t="n"/>
      <c r="B59" s="11" t="n"/>
      <c r="C59" s="11" t="n"/>
    </row>
    <row r="60">
      <c r="A60" s="31" t="n"/>
      <c r="B60" s="11" t="n"/>
      <c r="C60" s="11" t="n"/>
    </row>
    <row r="61">
      <c r="A61" s="31" t="n"/>
      <c r="B61" s="11" t="n"/>
      <c r="C61" s="11" t="n"/>
    </row>
    <row r="62">
      <c r="A62" s="31" t="n"/>
      <c r="B62" s="11" t="n"/>
      <c r="C62" s="11" t="n"/>
    </row>
    <row r="63">
      <c r="A63" s="31" t="n"/>
      <c r="B63" s="11" t="n"/>
      <c r="C63" s="11" t="n"/>
    </row>
    <row r="64">
      <c r="A64" s="31" t="n"/>
      <c r="B64" s="11" t="n"/>
      <c r="C64" s="11" t="n"/>
    </row>
    <row r="65">
      <c r="A65" s="31" t="n"/>
      <c r="B65" s="11" t="n"/>
      <c r="C65" s="11" t="n"/>
    </row>
    <row r="67">
      <c r="A67" s="2" t="inlineStr">
        <is>
          <t>※ 2027~2028년 공휴일(설·추석·부처님오신날 음력 환산, 대체공휴일)은 작성자가 추정한 값입니다. 정부 발표(관보)로 확인하고, 임시공휴일·선거일이 지정되면 빈 행에 추가하세요.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2026-10-26T00:11:44Z</dcterms:created>
  <dcterms:modified xmlns:dcterms="http://purl.org/dc/terms/" xmlns:xsi="http://www.w3.org/2001/XMLSchema-instance" xsi:type="dcterms:W3CDTF">2026-10-26T00:11:44Z</dcterms:modified>
</cp:coreProperties>
</file>