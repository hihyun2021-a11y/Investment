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표" sheetId="1" state="visible" r:id="rId1"/>
    <sheet xmlns:r="http://schemas.openxmlformats.org/officeDocument/2006/relationships" name="산정근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%"/>
    <numFmt numFmtId="165" formatCode="#,##0;[Red]-#,##0"/>
    <numFmt numFmtId="166" formatCode="0.0%"/>
    <numFmt numFmtId="167" formatCode="+0.0%p;-0.0%p"/>
  </numFmts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color rgb="00FFFFFF"/>
    </font>
    <font>
      <name val="맑은 고딕"/>
    </font>
    <font>
      <name val="맑은 고딕"/>
      <b val="1"/>
    </font>
    <font>
      <name val="맑은 고딕"/>
      <color rgb="00404040"/>
      <sz val="9"/>
    </font>
  </fonts>
  <fills count="6">
    <fill>
      <patternFill/>
    </fill>
    <fill>
      <patternFill patternType="gray125"/>
    </fill>
    <fill>
      <patternFill patternType="solid">
        <fgColor rgb="00345B86"/>
      </patternFill>
    </fill>
    <fill>
      <patternFill patternType="solid">
        <fgColor rgb="00FFF2CC"/>
      </patternFill>
    </fill>
    <fill>
      <patternFill patternType="solid">
        <fgColor rgb="00DAE3F3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3" fontId="3" fillId="4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3" fontId="3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 wrapText="1"/>
    </xf>
    <xf numFmtId="166" fontId="4" fillId="5" borderId="1" applyAlignment="1" pivotButton="0" quotePrefix="0" xfId="0">
      <alignment horizontal="right" vertical="center" wrapText="1"/>
    </xf>
    <xf numFmtId="166" fontId="3" fillId="4" borderId="1" applyAlignment="1" pivotButton="0" quotePrefix="0" xfId="0">
      <alignment horizontal="right" vertical="center" wrapText="1"/>
    </xf>
    <xf numFmtId="167" fontId="3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4" fontId="3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right" vertical="center" wrapText="1"/>
    </xf>
    <xf numFmtId="3" fontId="3" fillId="3" borderId="1" applyAlignment="1" pivotButton="0" quotePrefix="0" xfId="0">
      <alignment horizontal="right" vertical="center" wrapText="1"/>
    </xf>
    <xf numFmtId="164" fontId="3" fillId="4" borderId="1" applyAlignment="1" pivotButton="0" quotePrefix="0" xfId="0">
      <alignment horizontal="right" vertical="center" wrapText="1"/>
    </xf>
    <xf numFmtId="49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4" customWidth="1" min="3" max="3"/>
    <col width="15" customWidth="1" min="4" max="4"/>
    <col width="24" customWidth="1" min="5" max="5"/>
    <col width="15" customWidth="1" min="6" max="6"/>
    <col width="15" customWidth="1" min="7" max="7"/>
    <col width="9" customWidth="1" min="8" max="8"/>
    <col width="40" customWidth="1" min="9" max="9"/>
  </cols>
  <sheetData>
    <row r="1">
      <c r="A1" s="1" t="inlineStr">
        <is>
          <t>안양물류센터 패키지보험 예상 보험료 — Case 1(기존안) vs Case 2(재조달원가·공사기간 기준)</t>
        </is>
      </c>
    </row>
    <row r="2">
      <c r="A2" t="inlineStr">
        <is>
          <t>동일 요율 적용 (Sec I 0.49%, Sec III 0.49% — 기존 견적서 역산). 보험기간 1년, 창고(상온 100%), 단위: 원</t>
        </is>
      </c>
    </row>
    <row r="4">
      <c r="A4" s="2" t="inlineStr">
        <is>
          <t>담보구분</t>
        </is>
      </c>
      <c r="B4" s="2" t="inlineStr">
        <is>
          <t>항목</t>
        </is>
      </c>
      <c r="C4" s="2" t="inlineStr">
        <is>
          <t>Case 1 가입금액·조건</t>
        </is>
      </c>
      <c r="D4" s="2" t="inlineStr">
        <is>
          <t>Case 1 보험료</t>
        </is>
      </c>
      <c r="E4" s="2" t="inlineStr">
        <is>
          <t>Case 2 가입금액·조건</t>
        </is>
      </c>
      <c r="F4" s="2" t="inlineStr">
        <is>
          <t>Case 2 보험료</t>
        </is>
      </c>
      <c r="G4" s="2" t="inlineStr">
        <is>
          <t>증감(보험료)</t>
        </is>
      </c>
      <c r="H4" s="2" t="inlineStr">
        <is>
          <t>증감률</t>
        </is>
      </c>
      <c r="I4" s="2" t="inlineStr">
        <is>
          <t>Case 2 산정 기준</t>
        </is>
      </c>
    </row>
    <row r="5" ht="30" customHeight="1">
      <c r="A5" s="3" t="inlineStr">
        <is>
          <t>Sec I. 재물손해 (PAR)</t>
        </is>
      </c>
      <c r="B5" s="4" t="inlineStr">
        <is>
          <t>보험가입금액 (건물·부속설비)</t>
        </is>
      </c>
      <c r="C5" s="5">
        <f>산정근거!C7</f>
        <v/>
      </c>
      <c r="D5" s="5">
        <f>산정근거!C8</f>
        <v/>
      </c>
      <c r="E5" s="6">
        <f>산정근거!C22</f>
        <v/>
      </c>
      <c r="F5" s="6">
        <f>ROUND(E5*산정근거!C9,0)</f>
        <v/>
      </c>
      <c r="G5" s="7">
        <f>F5-D5</f>
        <v/>
      </c>
      <c r="H5" s="8">
        <f>IF(D5=0,"-",F5/D5-1)</f>
        <v/>
      </c>
      <c r="I5" s="4" t="inlineStr">
        <is>
          <t>미래새한 감정서 건물 재조달원가, 요율 Case1 동일</t>
        </is>
      </c>
    </row>
    <row r="6" ht="30" customHeight="1">
      <c r="A6" s="3" t="inlineStr"/>
      <c r="B6" s="4" t="inlineStr">
        <is>
          <t>자기부담금 (1사고당)</t>
        </is>
      </c>
      <c r="C6" s="9" t="inlineStr">
        <is>
          <t>10% of claim, Min. 1억</t>
        </is>
      </c>
      <c r="D6" s="9" t="n"/>
      <c r="E6" s="9" t="inlineStr">
        <is>
          <t>10% of claim, Min. 1억</t>
        </is>
      </c>
      <c r="F6" s="9" t="n"/>
      <c r="G6" s="4" t="n"/>
      <c r="H6" s="4" t="n"/>
      <c r="I6" s="4" t="inlineStr">
        <is>
          <t>Case1 동일</t>
        </is>
      </c>
    </row>
    <row r="7" ht="30" customHeight="1">
      <c r="A7" s="3" t="inlineStr">
        <is>
          <t>Sec II. 기계손해 (MB)</t>
        </is>
      </c>
      <c r="B7" s="4" t="inlineStr">
        <is>
          <t>보험가입금액</t>
        </is>
      </c>
      <c r="C7" s="9" t="inlineStr">
        <is>
          <t>Included in PAR</t>
        </is>
      </c>
      <c r="D7" s="5" t="n">
        <v>0</v>
      </c>
      <c r="E7" s="9" t="inlineStr">
        <is>
          <t>Included in PAR</t>
        </is>
      </c>
      <c r="F7" s="5" t="n">
        <v>0</v>
      </c>
      <c r="G7" s="7">
        <f>F7-D7</f>
        <v/>
      </c>
      <c r="H7" s="8">
        <f>IF(D7=0,"-",F7/D7-1)</f>
        <v/>
      </c>
      <c r="I7" s="4" t="inlineStr">
        <is>
          <t>Case1 동일</t>
        </is>
      </c>
    </row>
    <row r="8" ht="30" customHeight="1">
      <c r="A8" s="3" t="inlineStr">
        <is>
          <t>Sec III. 기업휴지 (BI&amp;MLOP)</t>
        </is>
      </c>
      <c r="B8" s="4" t="inlineStr">
        <is>
          <t>보험가입금액 (매출액·임대료)</t>
        </is>
      </c>
      <c r="C8" s="5">
        <f>산정근거!C10</f>
        <v/>
      </c>
      <c r="D8" s="5">
        <f>산정근거!C11</f>
        <v/>
      </c>
      <c r="E8" s="6">
        <f>산정근거!C14*E9</f>
        <v/>
      </c>
      <c r="F8" s="6">
        <f>ROUND(E8*산정근거!C12,0)</f>
        <v/>
      </c>
      <c r="G8" s="7">
        <f>F8-D8</f>
        <v/>
      </c>
      <c r="H8" s="8">
        <f>IF(D8=0,"-",F8/D8-1)</f>
        <v/>
      </c>
      <c r="I8" s="4" t="inlineStr">
        <is>
          <t>월 임대료 × 보상기간, 요율 Case1 동일</t>
        </is>
      </c>
    </row>
    <row r="9" ht="30" customHeight="1">
      <c r="A9" s="3" t="inlineStr"/>
      <c r="B9" s="4" t="inlineStr">
        <is>
          <t>보상기간 (개월)</t>
        </is>
      </c>
      <c r="C9" s="5">
        <f>산정근거!C13</f>
        <v/>
      </c>
      <c r="D9" s="9" t="n"/>
      <c r="E9" s="6">
        <f>산정근거!C27</f>
        <v/>
      </c>
      <c r="F9" s="9" t="n"/>
      <c r="G9" s="4" t="n"/>
      <c r="H9" s="4" t="n"/>
      <c r="I9" s="4" t="inlineStr">
        <is>
          <t>준공 당시 공사기간(2021.3.26~2023.11.24)</t>
        </is>
      </c>
    </row>
    <row r="10" ht="30" customHeight="1">
      <c r="A10" s="3" t="inlineStr"/>
      <c r="B10" s="4" t="inlineStr">
        <is>
          <t>공제기간</t>
        </is>
      </c>
      <c r="C10" s="9" t="inlineStr">
        <is>
          <t>7일</t>
        </is>
      </c>
      <c r="D10" s="9" t="n"/>
      <c r="E10" s="9" t="inlineStr">
        <is>
          <t>7일</t>
        </is>
      </c>
      <c r="F10" s="9" t="n"/>
      <c r="G10" s="4" t="n"/>
      <c r="H10" s="4" t="n"/>
      <c r="I10" s="4" t="inlineStr">
        <is>
          <t>Case1 동일</t>
        </is>
      </c>
    </row>
    <row r="11" ht="30" customHeight="1">
      <c r="A11" s="3" t="inlineStr">
        <is>
          <t>Sec IV. 배상책임 (GL)</t>
        </is>
      </c>
      <c r="B11" s="4" t="inlineStr">
        <is>
          <t>시설소유자 50억 / 임차인재고자산 30억</t>
        </is>
      </c>
      <c r="C11" s="9" t="inlineStr">
        <is>
          <t>5,000,000,000 / 3,000,000,000</t>
        </is>
      </c>
      <c r="D11" s="5" t="n">
        <v>7000000</v>
      </c>
      <c r="E11" s="9" t="inlineStr">
        <is>
          <t>5,000,000,000 / 3,000,000,000</t>
        </is>
      </c>
      <c r="F11" s="5" t="n">
        <v>7000000</v>
      </c>
      <c r="G11" s="7">
        <f>F11-D11</f>
        <v/>
      </c>
      <c r="H11" s="8">
        <f>IF(D11=0,"-",F11/D11-1)</f>
        <v/>
      </c>
      <c r="I11" s="4" t="inlineStr">
        <is>
          <t>Case1 동일</t>
        </is>
      </c>
    </row>
    <row r="12" ht="30" customHeight="1">
      <c r="A12" s="3" t="inlineStr">
        <is>
          <t>승강기배상책임</t>
        </is>
      </c>
      <c r="B12" s="4" t="inlineStr">
        <is>
          <t>법정 보상한도</t>
        </is>
      </c>
      <c r="C12" s="9" t="inlineStr">
        <is>
          <t>법정</t>
        </is>
      </c>
      <c r="D12" s="5" t="n">
        <v>146700</v>
      </c>
      <c r="E12" s="9" t="inlineStr">
        <is>
          <t>법정</t>
        </is>
      </c>
      <c r="F12" s="5" t="n">
        <v>146700</v>
      </c>
      <c r="G12" s="7">
        <f>F12-D12</f>
        <v/>
      </c>
      <c r="H12" s="8">
        <f>IF(D12=0,"-",F12/D12-1)</f>
        <v/>
      </c>
      <c r="I12" s="4" t="inlineStr">
        <is>
          <t>Case1 동일</t>
        </is>
      </c>
    </row>
    <row r="13" ht="30" customHeight="1">
      <c r="A13" s="3" t="inlineStr">
        <is>
          <t>전기차충전시설배상책임</t>
        </is>
      </c>
      <c r="B13" s="4" t="inlineStr">
        <is>
          <t>법정 보상한도</t>
        </is>
      </c>
      <c r="C13" s="9" t="inlineStr">
        <is>
          <t>법정</t>
        </is>
      </c>
      <c r="D13" s="5" t="n">
        <v>20000</v>
      </c>
      <c r="E13" s="9" t="inlineStr">
        <is>
          <t>법정</t>
        </is>
      </c>
      <c r="F13" s="5" t="n">
        <v>20000</v>
      </c>
      <c r="G13" s="7">
        <f>F13-D13</f>
        <v/>
      </c>
      <c r="H13" s="8">
        <f>IF(D13=0,"-",F13/D13-1)</f>
        <v/>
      </c>
      <c r="I13" s="4" t="inlineStr">
        <is>
          <t>Case1 동일</t>
        </is>
      </c>
    </row>
    <row r="14" ht="30" customHeight="1">
      <c r="A14" s="3" t="inlineStr">
        <is>
          <t>가스배상책임</t>
        </is>
      </c>
      <c r="B14" s="4" t="inlineStr">
        <is>
          <t>법정 보상한도</t>
        </is>
      </c>
      <c r="C14" s="9" t="inlineStr">
        <is>
          <t>법정</t>
        </is>
      </c>
      <c r="D14" s="5" t="n">
        <v>20000</v>
      </c>
      <c r="E14" s="9" t="inlineStr">
        <is>
          <t>법정</t>
        </is>
      </c>
      <c r="F14" s="5" t="n">
        <v>20000</v>
      </c>
      <c r="G14" s="7">
        <f>F14-D14</f>
        <v/>
      </c>
      <c r="H14" s="8">
        <f>IF(D14=0,"-",F14/D14-1)</f>
        <v/>
      </c>
      <c r="I14" s="4" t="inlineStr">
        <is>
          <t>Case1 동일</t>
        </is>
      </c>
    </row>
    <row r="15" ht="30" customHeight="1">
      <c r="A15" s="10" t="inlineStr">
        <is>
          <t>합계</t>
        </is>
      </c>
      <c r="B15" s="11" t="inlineStr"/>
      <c r="C15" s="11" t="inlineStr"/>
      <c r="D15" s="12">
        <f>SUM(D5:D14)</f>
        <v/>
      </c>
      <c r="E15" s="11" t="inlineStr"/>
      <c r="F15" s="12">
        <f>SUM(F5:F14)</f>
        <v/>
      </c>
      <c r="G15" s="12">
        <f>F15-D15</f>
        <v/>
      </c>
      <c r="H15" s="13">
        <f>F15/D15-1</f>
        <v/>
      </c>
      <c r="I15" s="11" t="inlineStr"/>
    </row>
    <row r="16" ht="30" customHeight="1"/>
    <row r="17" ht="30" customHeight="1">
      <c r="A17" s="2" t="inlineStr">
        <is>
          <t>구분</t>
        </is>
      </c>
      <c r="B17" s="2" t="inlineStr">
        <is>
          <t>항목</t>
        </is>
      </c>
      <c r="C17" s="2" t="inlineStr">
        <is>
          <t>Case 1</t>
        </is>
      </c>
      <c r="D17" s="2" t="inlineStr"/>
      <c r="E17" s="2" t="inlineStr">
        <is>
          <t>Case 2</t>
        </is>
      </c>
      <c r="F17" s="2" t="inlineStr"/>
      <c r="G17" s="2" t="inlineStr">
        <is>
          <t>증감</t>
        </is>
      </c>
      <c r="H17" s="2" t="inlineStr">
        <is>
          <t>증감률</t>
        </is>
      </c>
      <c r="I17" s="2" t="inlineStr">
        <is>
          <t>비고</t>
        </is>
      </c>
    </row>
    <row r="18" ht="30" customHeight="1">
      <c r="A18" s="3" t="inlineStr">
        <is>
          <t>평당 보험료</t>
        </is>
      </c>
      <c r="B18" s="4" t="inlineStr">
        <is>
          <t>연간 (원/평·년)</t>
        </is>
      </c>
      <c r="C18" s="5">
        <f>D15/산정근거!$C$6</f>
        <v/>
      </c>
      <c r="D18" s="4" t="n"/>
      <c r="E18" s="6">
        <f>F15/산정근거!$C$6</f>
        <v/>
      </c>
      <c r="F18" s="4" t="n"/>
      <c r="G18" s="7">
        <f>E18-C18</f>
        <v/>
      </c>
      <c r="H18" s="8">
        <f>IF(C18=0,"-",E18/C18-1)</f>
        <v/>
      </c>
      <c r="I18" s="4" t="inlineStr">
        <is>
          <t>연면적 28,881평 기준</t>
        </is>
      </c>
    </row>
    <row r="19" ht="30" customHeight="1">
      <c r="A19" s="3" t="inlineStr"/>
      <c r="B19" s="4" t="inlineStr">
        <is>
          <t>월간 (원/평·월)</t>
        </is>
      </c>
      <c r="C19" s="5">
        <f>C18/12</f>
        <v/>
      </c>
      <c r="D19" s="4" t="n"/>
      <c r="E19" s="6">
        <f>E18/12</f>
        <v/>
      </c>
      <c r="F19" s="4" t="n"/>
      <c r="G19" s="7">
        <f>E19-C19</f>
        <v/>
      </c>
      <c r="H19" s="8">
        <f>IF(C19=0,"-",E19/C19-1)</f>
        <v/>
      </c>
      <c r="I19" s="4" t="inlineStr">
        <is>
          <t>기준 재무모델 A&amp;R L72 단위(월 평당)와 동일</t>
        </is>
      </c>
    </row>
    <row r="20" ht="30" customHeight="1">
      <c r="A20" s="3" t="inlineStr"/>
      <c r="B20" s="4" t="inlineStr">
        <is>
          <t>연간 (원/㎡·년)</t>
        </is>
      </c>
      <c r="C20" s="5">
        <f>D15/산정근거!$C$4</f>
        <v/>
      </c>
      <c r="D20" s="4" t="n"/>
      <c r="E20" s="6">
        <f>F15/산정근거!$C$4</f>
        <v/>
      </c>
      <c r="F20" s="4" t="n"/>
      <c r="G20" s="7">
        <f>E20-C20</f>
        <v/>
      </c>
      <c r="H20" s="8">
        <f>IF(C20=0,"-",E20/C20-1)</f>
        <v/>
      </c>
      <c r="I20" s="4" t="inlineStr">
        <is>
          <t>연면적 95,474.59㎡</t>
        </is>
      </c>
    </row>
    <row r="21" ht="30" customHeight="1">
      <c r="A21" s="3" t="inlineStr">
        <is>
          <t>부보율</t>
        </is>
      </c>
      <c r="B21" s="4" t="inlineStr">
        <is>
          <t>PAR 가입금액 ÷ 건물 재조달원가</t>
        </is>
      </c>
      <c r="C21" s="8">
        <f>C5/산정근거!$C$22</f>
        <v/>
      </c>
      <c r="D21" s="4" t="n"/>
      <c r="E21" s="14">
        <f>E5/산정근거!$C$22</f>
        <v/>
      </c>
      <c r="F21" s="4" t="n"/>
      <c r="G21" s="15">
        <f>E21-C21</f>
        <v/>
      </c>
      <c r="H21" s="4" t="n"/>
      <c r="I21" s="4" t="inlineStr">
        <is>
          <t>Case1은 재조달원가의 약 81% → 비례보상 적용 가능성</t>
        </is>
      </c>
    </row>
    <row r="22" ht="30" customHeight="1">
      <c r="A22" s="3" t="inlineStr">
        <is>
          <t>BI</t>
        </is>
      </c>
      <c r="B22" s="4" t="inlineStr">
        <is>
          <t>보상기간 (개월)</t>
        </is>
      </c>
      <c r="C22" s="5">
        <f>C9</f>
        <v/>
      </c>
      <c r="D22" s="4" t="n"/>
      <c r="E22" s="6">
        <f>E9</f>
        <v/>
      </c>
      <c r="F22" s="4" t="n"/>
      <c r="G22" s="7">
        <f>E22-C22</f>
        <v/>
      </c>
      <c r="H22" s="8">
        <f>IF(C22=0,"-",E22/C22-1)</f>
        <v/>
      </c>
      <c r="I22" s="4" t="inlineStr"/>
    </row>
    <row r="23" ht="30" customHeight="1">
      <c r="A23" s="3" t="inlineStr">
        <is>
          <t>재무모델 영향</t>
        </is>
      </c>
      <c r="B23" s="4" t="inlineStr">
        <is>
          <t>1차년도 보험료 − 모델 반영액</t>
        </is>
      </c>
      <c r="C23" s="5">
        <f>D15-산정근거!$C$28</f>
        <v/>
      </c>
      <c r="D23" s="4" t="n"/>
      <c r="E23" s="6">
        <f>F15-산정근거!$C$28</f>
        <v/>
      </c>
      <c r="F23" s="4" t="n"/>
      <c r="G23" s="7">
        <f>E23-C23</f>
        <v/>
      </c>
      <c r="H23" s="8">
        <f>IF(C23=0,"-",E23/C23-1)</f>
        <v/>
      </c>
      <c r="I23" s="4" t="inlineStr">
        <is>
          <t>모델(742.28백만) = Case1</t>
        </is>
      </c>
    </row>
    <row r="25">
      <c r="A25" s="16" t="inlineStr">
        <is>
          <t>※ Case 2는 보험사 견적이 아닌 동일 요율 가정의 추정치이며, 실제 요율은 가입금액 증가·보상기간 연장에 따라 보험사 인수심사로 달라질 수 있음. 자기부담금·배상책임 한도는 Case 1과 동일 가정.</t>
        </is>
      </c>
    </row>
    <row r="26">
      <c r="A26" s="16" t="inlineStr">
        <is>
          <t>※ 출처: 기존 견적서(첨부 이미지), 미래새한 감정평가서(2026.09) 건물 재조달원가, CBRE 물리실사(착공 2021.3.26·사용승인 2023.11.24), 기준 재무모델 v02 A&amp;R L72.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8" customWidth="1" min="4" max="4"/>
    <col width="62" customWidth="1" min="5" max="5"/>
  </cols>
  <sheetData>
    <row r="1">
      <c r="A1" s="1" t="inlineStr">
        <is>
          <t>산정 근거 (노란 셀 = 입력값)</t>
        </is>
      </c>
    </row>
    <row r="3">
      <c r="A3" s="2" t="inlineStr">
        <is>
          <t>구분</t>
        </is>
      </c>
      <c r="B3" s="2" t="inlineStr">
        <is>
          <t>항목</t>
        </is>
      </c>
      <c r="C3" s="2" t="inlineStr">
        <is>
          <t>값</t>
        </is>
      </c>
      <c r="D3" s="2" t="inlineStr">
        <is>
          <t>단위</t>
        </is>
      </c>
      <c r="E3" s="2" t="inlineStr">
        <is>
          <t>출처·비고</t>
        </is>
      </c>
    </row>
    <row r="4">
      <c r="A4" s="4" t="inlineStr">
        <is>
          <t>기본</t>
        </is>
      </c>
      <c r="B4" s="4" t="inlineStr">
        <is>
          <t>연면적</t>
        </is>
      </c>
      <c r="C4" s="17" t="n">
        <v>95474.59</v>
      </c>
      <c r="D4" s="18" t="inlineStr">
        <is>
          <t>㎡</t>
        </is>
      </c>
      <c r="E4" s="4" t="inlineStr">
        <is>
          <t>견적서, 건축물대장</t>
        </is>
      </c>
    </row>
    <row r="5">
      <c r="A5" s="4" t="inlineStr">
        <is>
          <t>기본</t>
        </is>
      </c>
      <c r="B5" s="4" t="inlineStr">
        <is>
          <t>평 환산계수</t>
        </is>
      </c>
      <c r="C5" s="17" t="n">
        <v>3.3058</v>
      </c>
      <c r="D5" s="18" t="inlineStr">
        <is>
          <t>㎡/평</t>
        </is>
      </c>
      <c r="E5" s="4" t="inlineStr"/>
    </row>
    <row r="6">
      <c r="A6" s="4" t="inlineStr">
        <is>
          <t>기본</t>
        </is>
      </c>
      <c r="B6" s="4" t="inlineStr">
        <is>
          <t>연면적(평)</t>
        </is>
      </c>
      <c r="C6" s="19">
        <f>C4/C5</f>
        <v/>
      </c>
      <c r="D6" s="18" t="inlineStr">
        <is>
          <t>평</t>
        </is>
      </c>
      <c r="E6" s="4" t="inlineStr"/>
    </row>
    <row r="7">
      <c r="A7" s="4" t="inlineStr">
        <is>
          <t>Case1 요율</t>
        </is>
      </c>
      <c r="B7" s="4" t="inlineStr">
        <is>
          <t>Sec I PAR 가입금액</t>
        </is>
      </c>
      <c r="C7" s="20" t="n">
        <v>119000000000</v>
      </c>
      <c r="D7" s="18" t="inlineStr">
        <is>
          <t>원</t>
        </is>
      </c>
      <c r="E7" s="4" t="inlineStr">
        <is>
          <t>첨부 견적서(안양 물류 Package Insurance 예상 보험료)</t>
        </is>
      </c>
    </row>
    <row r="8">
      <c r="A8" s="4" t="inlineStr">
        <is>
          <t>Case1 요율</t>
        </is>
      </c>
      <c r="B8" s="4" t="inlineStr">
        <is>
          <t>Sec I PAR 보험료</t>
        </is>
      </c>
      <c r="C8" s="20" t="n">
        <v>583100000</v>
      </c>
      <c r="D8" s="18" t="inlineStr">
        <is>
          <t>원</t>
        </is>
      </c>
      <c r="E8" s="4" t="inlineStr">
        <is>
          <t>동상</t>
        </is>
      </c>
    </row>
    <row r="9">
      <c r="A9" s="4" t="inlineStr">
        <is>
          <t>Case1 요율</t>
        </is>
      </c>
      <c r="B9" s="4" t="inlineStr">
        <is>
          <t>Sec I 요율 (역산)</t>
        </is>
      </c>
      <c r="C9" s="21">
        <f>C8/C7</f>
        <v/>
      </c>
      <c r="D9" s="18" t="inlineStr">
        <is>
          <t>%</t>
        </is>
      </c>
      <c r="E9" s="4" t="inlineStr">
        <is>
          <t>Case2 동일 적용</t>
        </is>
      </c>
    </row>
    <row r="10">
      <c r="A10" s="4" t="inlineStr">
        <is>
          <t>Case1 요율</t>
        </is>
      </c>
      <c r="B10" s="4" t="inlineStr">
        <is>
          <t>Sec III BI 가입금액(매출액·임대료)</t>
        </is>
      </c>
      <c r="C10" s="20" t="n">
        <v>31020000000</v>
      </c>
      <c r="D10" s="18" t="inlineStr">
        <is>
          <t>원</t>
        </is>
      </c>
      <c r="E10" s="4" t="inlineStr">
        <is>
          <t>동상, 보상기간 24개월분</t>
        </is>
      </c>
    </row>
    <row r="11">
      <c r="A11" s="4" t="inlineStr">
        <is>
          <t>Case1 요율</t>
        </is>
      </c>
      <c r="B11" s="4" t="inlineStr">
        <is>
          <t>Sec III BI 보험료</t>
        </is>
      </c>
      <c r="C11" s="20" t="n">
        <v>151998000</v>
      </c>
      <c r="D11" s="18" t="inlineStr">
        <is>
          <t>원</t>
        </is>
      </c>
      <c r="E11" s="4" t="inlineStr">
        <is>
          <t>동상</t>
        </is>
      </c>
    </row>
    <row r="12">
      <c r="A12" s="4" t="inlineStr">
        <is>
          <t>Case1 요율</t>
        </is>
      </c>
      <c r="B12" s="4" t="inlineStr">
        <is>
          <t>Sec III 요율 (역산)</t>
        </is>
      </c>
      <c r="C12" s="21">
        <f>C11/C10</f>
        <v/>
      </c>
      <c r="D12" s="18" t="inlineStr">
        <is>
          <t>%</t>
        </is>
      </c>
      <c r="E12" s="4" t="inlineStr">
        <is>
          <t>Case2 동일 적용</t>
        </is>
      </c>
    </row>
    <row r="13">
      <c r="A13" s="4" t="inlineStr">
        <is>
          <t>Case1 요율</t>
        </is>
      </c>
      <c r="B13" s="4" t="inlineStr">
        <is>
          <t>Sec III 보상기간</t>
        </is>
      </c>
      <c r="C13" s="20" t="n">
        <v>24</v>
      </c>
      <c r="D13" s="18" t="inlineStr">
        <is>
          <t>개월</t>
        </is>
      </c>
      <c r="E13" s="4" t="inlineStr">
        <is>
          <t>동상</t>
        </is>
      </c>
    </row>
    <row r="14">
      <c r="A14" s="4" t="inlineStr">
        <is>
          <t>Case1 요율</t>
        </is>
      </c>
      <c r="B14" s="4" t="inlineStr">
        <is>
          <t>월 매출액(임대료) 환산</t>
        </is>
      </c>
      <c r="C14" s="6">
        <f>C10/C13</f>
        <v/>
      </c>
      <c r="D14" s="18" t="inlineStr">
        <is>
          <t>원/월</t>
        </is>
      </c>
      <c r="E14" s="4" t="inlineStr">
        <is>
          <t>가입금액 ÷ 보상기간</t>
        </is>
      </c>
    </row>
    <row r="15">
      <c r="A15" s="4" t="inlineStr">
        <is>
          <t>재조달원가</t>
        </is>
      </c>
      <c r="B15" s="4" t="inlineStr">
        <is>
          <t>창고시설·사무실 등 (지2~8층)</t>
        </is>
      </c>
      <c r="C15" s="17" t="n">
        <v>60639.97</v>
      </c>
      <c r="D15" s="18" t="inlineStr">
        <is>
          <t>㎡</t>
        </is>
      </c>
      <c r="E15" s="4" t="inlineStr">
        <is>
          <t>미래새한 감정서 p.119~120, 재조달원가 1,800,000원/㎡</t>
        </is>
      </c>
    </row>
    <row r="16">
      <c r="A16" s="4" t="inlineStr">
        <is>
          <t>재조달원가</t>
        </is>
      </c>
      <c r="B16" s="4" t="inlineStr">
        <is>
          <t>램프·차로·BERTH 등 (지2~8층)</t>
        </is>
      </c>
      <c r="C16" s="17" t="n">
        <v>34785.76</v>
      </c>
      <c r="D16" s="18" t="inlineStr">
        <is>
          <t>㎡</t>
        </is>
      </c>
      <c r="E16" s="4" t="inlineStr">
        <is>
          <t>동상, 1,100,000원/㎡</t>
        </is>
      </c>
    </row>
    <row r="17">
      <c r="A17" s="4" t="inlineStr">
        <is>
          <t>재조달원가</t>
        </is>
      </c>
      <c r="B17" s="4" t="inlineStr">
        <is>
          <t>옥탑 계단실 등</t>
        </is>
      </c>
      <c r="C17" s="17" t="n">
        <v>103.4</v>
      </c>
      <c r="D17" s="18" t="inlineStr">
        <is>
          <t>㎡</t>
        </is>
      </c>
      <c r="E17" s="4" t="inlineStr">
        <is>
          <t>동상, 1,100,000원/㎡</t>
        </is>
      </c>
    </row>
    <row r="18">
      <c r="A18" s="4" t="inlineStr">
        <is>
          <t>재조달원가</t>
        </is>
      </c>
      <c r="B18" s="4" t="inlineStr">
        <is>
          <t>경비실 등 (1층)</t>
        </is>
      </c>
      <c r="C18" s="17" t="n">
        <v>8.82</v>
      </c>
      <c r="D18" s="18" t="inlineStr">
        <is>
          <t>㎡</t>
        </is>
      </c>
      <c r="E18" s="4" t="inlineStr">
        <is>
          <t>동상, 1,500,000원/㎡</t>
        </is>
      </c>
    </row>
    <row r="19">
      <c r="A19" s="4" t="inlineStr">
        <is>
          <t>재조달원가</t>
        </is>
      </c>
      <c r="B19" s="4" t="inlineStr">
        <is>
          <t>창고 재조달원가 단가</t>
        </is>
      </c>
      <c r="C19" s="20" t="n">
        <v>1800000</v>
      </c>
      <c r="D19" s="18" t="inlineStr">
        <is>
          <t>원/㎡</t>
        </is>
      </c>
      <c r="E19" s="4" t="inlineStr"/>
    </row>
    <row r="20">
      <c r="A20" s="4" t="inlineStr">
        <is>
          <t>재조달원가</t>
        </is>
      </c>
      <c r="B20" s="4" t="inlineStr">
        <is>
          <t>램프·옥탑 재조달원가 단가</t>
        </is>
      </c>
      <c r="C20" s="20" t="n">
        <v>1100000</v>
      </c>
      <c r="D20" s="18" t="inlineStr">
        <is>
          <t>원/㎡</t>
        </is>
      </c>
      <c r="E20" s="4" t="inlineStr"/>
    </row>
    <row r="21">
      <c r="A21" s="4" t="inlineStr">
        <is>
          <t>재조달원가</t>
        </is>
      </c>
      <c r="B21" s="4" t="inlineStr">
        <is>
          <t>경비실 재조달원가 단가</t>
        </is>
      </c>
      <c r="C21" s="20" t="n">
        <v>1500000</v>
      </c>
      <c r="D21" s="18" t="inlineStr">
        <is>
          <t>원/㎡</t>
        </is>
      </c>
      <c r="E21" s="4" t="inlineStr"/>
    </row>
    <row r="22">
      <c r="A22" s="4" t="inlineStr">
        <is>
          <t>재조달원가</t>
        </is>
      </c>
      <c r="B22" s="4" t="inlineStr">
        <is>
          <t>건물 재조달원가 합계</t>
        </is>
      </c>
      <c r="C22" s="6">
        <f>C15*C19+(C16+C17)*C20+C18*C21</f>
        <v/>
      </c>
      <c r="D22" s="18" t="inlineStr">
        <is>
          <t>원</t>
        </is>
      </c>
      <c r="E22" s="4" t="inlineStr">
        <is>
          <t>감가 전 금액. 감정서 건물 적산가액 141,641,521,920원 ÷ 잔가율 96%와 일치</t>
        </is>
      </c>
    </row>
    <row r="23">
      <c r="A23" s="4" t="inlineStr">
        <is>
          <t>재조달원가</t>
        </is>
      </c>
      <c r="B23" s="4" t="inlineStr">
        <is>
          <t>(참고) 감정서 건물 적산가액</t>
        </is>
      </c>
      <c r="C23" s="20" t="n">
        <v>141641521920</v>
      </c>
      <c r="D23" s="18" t="inlineStr">
        <is>
          <t>원</t>
        </is>
      </c>
      <c r="E23" s="4" t="inlineStr">
        <is>
          <t>감가수정 후(내용연수 50년, 경과 2년)</t>
        </is>
      </c>
    </row>
    <row r="24">
      <c r="A24" s="4" t="inlineStr">
        <is>
          <t>공사기간</t>
        </is>
      </c>
      <c r="B24" s="4" t="inlineStr">
        <is>
          <t>착공신고일</t>
        </is>
      </c>
      <c r="C24" s="22" t="inlineStr">
        <is>
          <t>2021-03-26</t>
        </is>
      </c>
      <c r="D24" s="18" t="inlineStr">
        <is>
          <t>일자</t>
        </is>
      </c>
      <c r="E24" s="4" t="inlineStr">
        <is>
          <t>CBRE 물리실사 §2.1</t>
        </is>
      </c>
    </row>
    <row r="25">
      <c r="A25" s="4" t="inlineStr">
        <is>
          <t>공사기간</t>
        </is>
      </c>
      <c r="B25" s="4" t="inlineStr">
        <is>
          <t>사용승인일(준공)</t>
        </is>
      </c>
      <c r="C25" s="22" t="inlineStr">
        <is>
          <t>2023-11-24</t>
        </is>
      </c>
      <c r="D25" s="18" t="inlineStr">
        <is>
          <t>일자</t>
        </is>
      </c>
      <c r="E25" s="4" t="inlineStr">
        <is>
          <t>건축물대장·CBRE</t>
        </is>
      </c>
    </row>
    <row r="26">
      <c r="A26" s="4" t="inlineStr">
        <is>
          <t>공사기간</t>
        </is>
      </c>
      <c r="B26" s="4" t="inlineStr">
        <is>
          <t>공사기간(일)</t>
        </is>
      </c>
      <c r="C26" s="6">
        <f>DATEVALUE(C25)-DATEVALUE(C24)</f>
        <v/>
      </c>
      <c r="D26" s="18" t="inlineStr">
        <is>
          <t>일</t>
        </is>
      </c>
      <c r="E26" s="4" t="inlineStr"/>
    </row>
    <row r="27">
      <c r="A27" s="4" t="inlineStr">
        <is>
          <t>공사기간</t>
        </is>
      </c>
      <c r="B27" s="4" t="inlineStr">
        <is>
          <t>Case2 보상기간</t>
        </is>
      </c>
      <c r="C27" s="6">
        <f>ROUNDUP(C26/(365/12),0)</f>
        <v/>
      </c>
      <c r="D27" s="18" t="inlineStr">
        <is>
          <t>개월</t>
        </is>
      </c>
      <c r="E27" s="4" t="inlineStr">
        <is>
          <t>공사기간 월 환산 후 올림 (973일 ≈ 32개월)</t>
        </is>
      </c>
    </row>
    <row r="28">
      <c r="A28" s="4" t="inlineStr">
        <is>
          <t>모델</t>
        </is>
      </c>
      <c r="B28" s="4" t="inlineStr">
        <is>
          <t>기준 재무모델 보험료(1차년도)</t>
        </is>
      </c>
      <c r="C28" s="20" t="n">
        <v>742284700</v>
      </c>
      <c r="D28" s="18" t="inlineStr">
        <is>
          <t>원</t>
        </is>
      </c>
      <c r="E28" s="4" t="inlineStr">
        <is>
          <t>A&amp;R L72: 연면적 기준, 월 평당 2,141.79원, 연 2% 감소 가정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2026-09-30T05:24:46Z</dcterms:created>
  <dcterms:modified xmlns:dcterms="http://purl.org/dc/terms/" xmlns:xsi="http://www.w3.org/2001/XMLSchema-instance" xsi:type="dcterms:W3CDTF">2026-09-30T05:24:46Z</dcterms:modified>
</cp:coreProperties>
</file>