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계좌개설목록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sz val="13"/>
    </font>
    <font>
      <name val="맑은 고딕"/>
      <b val="1"/>
      <color rgb="00FFFFFF"/>
    </font>
    <font>
      <name val="맑은 고딕"/>
      <b val="1"/>
    </font>
    <font>
      <name val="맑은 고딕"/>
    </font>
    <font>
      <name val="맑은 고딕"/>
      <color rgb="00404040"/>
      <sz val="9"/>
    </font>
  </fonts>
  <fills count="5">
    <fill>
      <patternFill/>
    </fill>
    <fill>
      <patternFill patternType="gray125"/>
    </fill>
    <fill>
      <patternFill patternType="solid">
        <fgColor rgb="00345B86"/>
      </patternFill>
    </fill>
    <fill>
      <patternFill patternType="solid">
        <fgColor rgb="00DAE3F3"/>
      </patternFill>
    </fill>
    <fill>
      <patternFill patternType="solid">
        <fgColor rgb="00D9E1F2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0" fontId="0" fillId="0" borderId="4" pivotButton="0" quotePrefix="0" xfId="0"/>
    <xf numFmtId="0" fontId="0" fillId="0" borderId="5" pivotButton="0" quotePrefix="0" xfId="0"/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3" fontId="4" fillId="0" borderId="1" applyAlignment="1" pivotButton="0" quotePrefix="0" xfId="0">
      <alignment horizontal="right" vertical="center" wrapText="1"/>
    </xf>
    <xf numFmtId="0" fontId="3" fillId="0" borderId="1" pivotButton="0" quotePrefix="0" xfId="0"/>
    <xf numFmtId="0" fontId="0" fillId="0" borderId="1" pivotButton="0" quotePrefix="0" xfId="0"/>
    <xf numFmtId="3" fontId="3" fillId="4" borderId="1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cols>
    <col width="5" customWidth="1" min="1" max="1"/>
    <col width="13" customWidth="1" min="2" max="2"/>
    <col width="36" customWidth="1" min="3" max="3"/>
    <col width="18" customWidth="1" min="4" max="4"/>
    <col width="18" customWidth="1" min="5" max="5"/>
    <col width="30" customWidth="1" min="6" max="6"/>
    <col width="26" customWidth="1" min="7" max="7"/>
    <col width="58" customWidth="1" min="8" max="8"/>
  </cols>
  <sheetData>
    <row r="1">
      <c r="A1" s="1" t="inlineStr">
        <is>
          <t>주식회사 코람코라이프로지스위탁관리부동산투자회사 — 신규 개설 계좌 목록 (거래종결 기준)</t>
        </is>
      </c>
    </row>
    <row r="2">
      <c r="A2" t="inlineStr">
        <is>
          <t>예금주: 차주(리츠) 명의 / 자산보관기관(증권·현금): NH투자증권(2026.9.29 계약, 제11조: 자산관리회사 지정 금융기관에 위탁자 명의 위탁계좌 개설) / 단위: 원</t>
        </is>
      </c>
    </row>
    <row r="4">
      <c r="A4" s="2" t="inlineStr">
        <is>
          <t>No</t>
        </is>
      </c>
      <c r="B4" s="2" t="inlineStr">
        <is>
          <t>구분</t>
        </is>
      </c>
      <c r="C4" s="2" t="inlineStr">
        <is>
          <t>계좌명</t>
        </is>
      </c>
      <c r="D4" s="2" t="inlineStr">
        <is>
          <t>예금 종류</t>
        </is>
      </c>
      <c r="E4" s="2" t="inlineStr">
        <is>
          <t>예상 금액(원)</t>
        </is>
      </c>
      <c r="F4" s="2" t="inlineStr">
        <is>
          <t>담보·권리 설정</t>
        </is>
      </c>
      <c r="G4" s="2" t="inlineStr">
        <is>
          <t>근거</t>
        </is>
      </c>
      <c r="H4" s="2" t="inlineStr">
        <is>
          <t>비고</t>
        </is>
      </c>
    </row>
    <row r="5" ht="32" customHeight="1">
      <c r="A5" s="3" t="inlineStr">
        <is>
          <t>A. 대출약정 프로젝트계좌 (담보대출약정서 BKL v16 제1조·제8조)</t>
        </is>
      </c>
      <c r="B5" s="4" t="n"/>
      <c r="C5" s="4" t="n"/>
      <c r="D5" s="4" t="n"/>
      <c r="E5" s="4" t="n"/>
      <c r="F5" s="4" t="n"/>
      <c r="G5" s="4" t="n"/>
      <c r="H5" s="5" t="n"/>
    </row>
    <row r="6" ht="32" customHeight="1">
      <c r="A6" s="6" t="n">
        <v>1</v>
      </c>
      <c r="B6" s="6" t="inlineStr">
        <is>
          <t>프로젝트</t>
        </is>
      </c>
      <c r="C6" s="7" t="inlineStr">
        <is>
          <t>대출금입금계좌</t>
        </is>
      </c>
      <c r="D6" s="6" t="inlineStr">
        <is>
          <t>보통예금(수시입출)</t>
        </is>
      </c>
      <c r="E6" s="8" t="n">
        <v>198000000000</v>
      </c>
      <c r="F6" s="7" t="inlineStr">
        <is>
          <t>—</t>
        </is>
      </c>
      <c r="G6" s="7" t="inlineStr">
        <is>
          <t>제8조 제2항</t>
        </is>
      </c>
      <c r="H6" s="7" t="inlineStr">
        <is>
          <t>인출일 1회 입금 → 매매대금·부대비용 집행 후 잔액을 운영계좌·이자유보계좌로 이체</t>
        </is>
      </c>
    </row>
    <row r="7" ht="32" customHeight="1">
      <c r="A7" s="6" t="n">
        <v>2</v>
      </c>
      <c r="B7" s="6" t="inlineStr">
        <is>
          <t>프로젝트</t>
        </is>
      </c>
      <c r="C7" s="7" t="inlineStr">
        <is>
          <t>수입금계좌</t>
        </is>
      </c>
      <c r="D7" s="6" t="inlineStr">
        <is>
          <t>보통예금(수시입출)</t>
        </is>
      </c>
      <c r="E7" s="8" t="n"/>
      <c r="F7" s="7" t="inlineStr">
        <is>
          <t>—</t>
        </is>
      </c>
      <c r="G7" s="7" t="inlineStr">
        <is>
          <t>제8조 제3항</t>
        </is>
      </c>
      <c r="H7" s="7" t="inlineStr">
        <is>
          <t>임대료·관리비 등 수입금(임대차보증금 제외), 매월 말 운영계좌로 전액 이체</t>
        </is>
      </c>
    </row>
    <row r="8" ht="32" customHeight="1">
      <c r="A8" s="6" t="n">
        <v>3</v>
      </c>
      <c r="B8" s="6" t="inlineStr">
        <is>
          <t>프로젝트</t>
        </is>
      </c>
      <c r="C8" s="7" t="inlineStr">
        <is>
          <t>운영계좌</t>
        </is>
      </c>
      <c r="D8" s="6" t="inlineStr">
        <is>
          <t>보통예금(수시입출)</t>
        </is>
      </c>
      <c r="E8" s="8" t="n"/>
      <c r="F8" s="7" t="inlineStr">
        <is>
          <t>—</t>
        </is>
      </c>
      <c r="G8" s="7" t="inlineStr">
        <is>
          <t>제8조 제4항</t>
        </is>
      </c>
      <c r="H8" s="7" t="inlineStr">
        <is>
          <t>원리금 상환·운영비 집행(집행순서 12단계)</t>
        </is>
      </c>
    </row>
    <row r="9" ht="32" customHeight="1">
      <c r="A9" s="6" t="n">
        <v>4</v>
      </c>
      <c r="B9" s="6" t="inlineStr">
        <is>
          <t>프로젝트</t>
        </is>
      </c>
      <c r="C9" s="7" t="inlineStr">
        <is>
          <t>Tranche A 이자유보계좌</t>
        </is>
      </c>
      <c r="D9" s="6" t="inlineStr">
        <is>
          <t>보통예금(지급통제)</t>
        </is>
      </c>
      <c r="E9" s="8">
        <f>ROUND(160000000000*AVERAGE(0.05,0.0455)/4,-6)</f>
        <v/>
      </c>
      <c r="F9" s="7" t="inlineStr">
        <is>
          <t>선순위 공동1순위·중순위 공동2순위 예금 근질권(최고액 120%)</t>
        </is>
      </c>
      <c r="G9" s="7" t="inlineStr">
        <is>
          <t>제8조 제5항, 제9조 제3항</t>
        </is>
      </c>
      <c r="H9" s="7" t="inlineStr">
        <is>
          <t>인출일 3개월분 이자적립금 [추정: A-1 5.00%·A-2 4.55% 50:50]. DSCR 미달 시 3개월분 추가</t>
        </is>
      </c>
    </row>
    <row r="10" ht="32" customHeight="1">
      <c r="A10" s="6" t="n">
        <v>5</v>
      </c>
      <c r="B10" s="6" t="inlineStr">
        <is>
          <t>프로젝트</t>
        </is>
      </c>
      <c r="C10" s="7" t="inlineStr">
        <is>
          <t>Tranche B 이자유보계좌</t>
        </is>
      </c>
      <c r="D10" s="6" t="inlineStr">
        <is>
          <t>보통예금(지급통제)</t>
        </is>
      </c>
      <c r="E10" s="8">
        <f>ROUND(38000000000*0.06/4,-6)</f>
        <v/>
      </c>
      <c r="F10" s="7" t="inlineStr">
        <is>
          <t>동상</t>
        </is>
      </c>
      <c r="G10" s="7" t="inlineStr">
        <is>
          <t>동상</t>
        </is>
      </c>
      <c r="H10" s="7" t="inlineStr">
        <is>
          <t>인출일 3개월분 이자적립금(6.00%)</t>
        </is>
      </c>
    </row>
    <row r="11" ht="32" customHeight="1">
      <c r="A11" s="6" t="n">
        <v>6</v>
      </c>
      <c r="B11" s="6" t="inlineStr">
        <is>
          <t>프로젝트</t>
        </is>
      </c>
      <c r="C11" s="7" t="inlineStr">
        <is>
          <t>보험금수령계좌</t>
        </is>
      </c>
      <c r="D11" s="6" t="inlineStr">
        <is>
          <t>보통예금(지급통제)</t>
        </is>
      </c>
      <c r="E11" s="8" t="n">
        <v>0</v>
      </c>
      <c r="F11" s="7" t="inlineStr">
        <is>
          <t>동상</t>
        </is>
      </c>
      <c r="G11" s="7" t="inlineStr">
        <is>
          <t>제8조 제6항</t>
        </is>
      </c>
      <c r="H11" s="7" t="inlineStr">
        <is>
          <t>평시 잔액 없음. 사고당 3억 초과 보험금 수령</t>
        </is>
      </c>
    </row>
    <row r="12" ht="32" customHeight="1">
      <c r="A12" s="3" t="inlineStr">
        <is>
          <t>B. 주금납입계좌 (주주간계약 BKL v23 제2.2조 — 대상회사 지정 은행계좌)</t>
        </is>
      </c>
      <c r="B12" s="4" t="n"/>
      <c r="C12" s="4" t="n"/>
      <c r="D12" s="4" t="n"/>
      <c r="E12" s="4" t="n"/>
      <c r="F12" s="4" t="n"/>
      <c r="G12" s="4" t="n"/>
      <c r="H12" s="5" t="n"/>
    </row>
    <row r="13" ht="32" customHeight="1">
      <c r="A13" s="6" t="n">
        <v>7</v>
      </c>
      <c r="B13" s="6" t="inlineStr">
        <is>
          <t>자본</t>
        </is>
      </c>
      <c r="C13" s="7" t="inlineStr">
        <is>
          <t>주금납입계좌</t>
        </is>
      </c>
      <c r="D13" s="6" t="inlineStr">
        <is>
          <t>보통예금(별단예금 가능)</t>
        </is>
      </c>
      <c r="E13" s="8" t="n">
        <v>98800000000</v>
      </c>
      <c r="F13" s="7" t="inlineStr">
        <is>
          <t>—</t>
        </is>
      </c>
      <c r="G13" s="7" t="inlineStr">
        <is>
          <t>SHA 제2.2조, 상법 제425조·제318조</t>
        </is>
      </c>
      <c r="H13" s="7" t="inlineStr">
        <is>
          <t>납입예정일(거래종결 2영업일 전) 보통주 148억·1종 240억·2종 500억·3종 100억. 신주발행 변경등기용 납입금보관증명서 발급 필요. 3종 상계 납입 시 888억</t>
        </is>
      </c>
    </row>
    <row r="14" ht="32" customHeight="1">
      <c r="A14" s="3" t="inlineStr">
        <is>
          <t>C. 임대차보증금계좌 (대출약정 제8조 제7항: 대주 동의 없이 추가 개설, 임차인 1순위 질권 가능 / 근질권 대상 아님)</t>
        </is>
      </c>
      <c r="B14" s="4" t="n"/>
      <c r="C14" s="4" t="n"/>
      <c r="D14" s="4" t="n"/>
      <c r="E14" s="4" t="n"/>
      <c r="F14" s="4" t="n"/>
      <c r="G14" s="4" t="n"/>
      <c r="H14" s="5" t="n"/>
    </row>
    <row r="15" ht="32" customHeight="1">
      <c r="A15" s="6" t="n">
        <v>8</v>
      </c>
      <c r="B15" s="6" t="inlineStr">
        <is>
          <t>보증금</t>
        </is>
      </c>
      <c r="C15" s="7" t="inlineStr">
        <is>
          <t>임대차보증금계좌 — 쿠팡 4F·8F 일부 (제1차 변경)</t>
        </is>
      </c>
      <c r="D15" s="6" t="inlineStr">
        <is>
          <t>정기예금</t>
        </is>
      </c>
      <c r="E15" s="8" t="n">
        <v>832222008</v>
      </c>
      <c r="F15" s="7" t="inlineStr">
        <is>
          <t>쿠팡 1순위 예금질권</t>
        </is>
      </c>
      <c r="G15" s="7" t="inlineStr">
        <is>
          <t>임대차계약 특약, 대출약정 제8조 제7항</t>
        </is>
      </c>
      <c r="H15" s="7" t="inlineStr">
        <is>
          <t>매도인 현행 신한 정기예금과 동일 구조. 통장 실물 쿠팡 보관</t>
        </is>
      </c>
    </row>
    <row r="16" ht="32" customHeight="1">
      <c r="A16" s="6" t="n">
        <v>9</v>
      </c>
      <c r="B16" s="6" t="inlineStr">
        <is>
          <t>보증금</t>
        </is>
      </c>
      <c r="C16" s="7" t="inlineStr">
        <is>
          <t>임대차보증금계좌 — 농심 3F</t>
        </is>
      </c>
      <c r="D16" s="6" t="inlineStr">
        <is>
          <t>정기예금</t>
        </is>
      </c>
      <c r="E16" s="8" t="n">
        <v>642552000</v>
      </c>
      <c r="F16" s="7" t="inlineStr">
        <is>
          <t>농심 1순위 예금질권</t>
        </is>
      </c>
      <c r="G16" s="7" t="inlineStr">
        <is>
          <t>임대차계약 특약, 대출약정 제8조 제7항</t>
        </is>
      </c>
      <c r="H16" s="7" t="inlineStr">
        <is>
          <t>매도인 현행 신한 정기예금과 동일 구조. 통장 실물 임대인 보관</t>
        </is>
      </c>
    </row>
    <row r="17" ht="32" customHeight="1">
      <c r="A17" s="6" t="n">
        <v>10</v>
      </c>
      <c r="B17" s="6" t="inlineStr">
        <is>
          <t>보증금</t>
        </is>
      </c>
      <c r="C17" s="7" t="inlineStr">
        <is>
          <t>임대차보증금계좌 — 용마로지스 1F 일부</t>
        </is>
      </c>
      <c r="D17" s="6" t="inlineStr">
        <is>
          <t>정기예금</t>
        </is>
      </c>
      <c r="E17" s="8" t="n">
        <v>308178000</v>
      </c>
      <c r="F17" s="7" t="inlineStr">
        <is>
          <t>용마로지스 1순위 예금질권</t>
        </is>
      </c>
      <c r="G17" s="7" t="inlineStr">
        <is>
          <t>임대차계약 특약, 대출약정 제8조 제7항</t>
        </is>
      </c>
      <c r="H17" s="7" t="inlineStr">
        <is>
          <t>매도인 현행 신한 정기예금과 동일 구조. 통장 실물 임대인 보관</t>
        </is>
      </c>
    </row>
    <row r="18" ht="32" customHeight="1">
      <c r="A18" s="6" t="n">
        <v>11</v>
      </c>
      <c r="B18" s="6" t="inlineStr">
        <is>
          <t>보증금</t>
        </is>
      </c>
      <c r="C18" s="7" t="inlineStr">
        <is>
          <t>임대차보증금계좌 — 쿠팡 2F (제3차 변경)</t>
        </is>
      </c>
      <c r="D18" s="6" t="inlineStr">
        <is>
          <t>정기예금</t>
        </is>
      </c>
      <c r="E18" s="8" t="n">
        <v>786801600</v>
      </c>
      <c r="F18" s="7" t="inlineStr">
        <is>
          <t>쿠팡 1순위 예금질권</t>
        </is>
      </c>
      <c r="G18" s="7" t="inlineStr">
        <is>
          <t>임대차계약 특약, 대출약정 제8조 제7항</t>
        </is>
      </c>
      <c r="H18" s="7" t="inlineStr">
        <is>
          <t>매도인 현행 신한 정기예금과 동일 구조. 통장 실물 쿠팡 보관</t>
        </is>
      </c>
    </row>
    <row r="19" ht="32" customHeight="1">
      <c r="A19" s="6" t="n">
        <v>12</v>
      </c>
      <c r="B19" s="6" t="inlineStr">
        <is>
          <t>보증금</t>
        </is>
      </c>
      <c r="C19" s="7" t="inlineStr">
        <is>
          <t>임대차보증금계좌 — 키즈밀 8F 일부</t>
        </is>
      </c>
      <c r="D19" s="6" t="inlineStr">
        <is>
          <t>정기예금</t>
        </is>
      </c>
      <c r="E19" s="8" t="n">
        <v>100000000</v>
      </c>
      <c r="F19" s="7" t="inlineStr">
        <is>
          <t>키즈밀 1순위 예금질권</t>
        </is>
      </c>
      <c r="G19" s="7" t="inlineStr">
        <is>
          <t>임대차계약 특약, 대출약정 제8조 제7항</t>
        </is>
      </c>
      <c r="H19" s="7" t="inlineStr">
        <is>
          <t>매도인 현행 신한 정기예금과 동일 구조. 통장 실물 임대인 보관</t>
        </is>
      </c>
    </row>
    <row r="20" ht="32" customHeight="1">
      <c r="A20" s="6" t="n">
        <v>13</v>
      </c>
      <c r="B20" s="6" t="inlineStr">
        <is>
          <t>보증금</t>
        </is>
      </c>
      <c r="C20" s="7" t="inlineStr">
        <is>
          <t>임대차보증금계좌 — 지오영 1F 일부</t>
        </is>
      </c>
      <c r="D20" s="6" t="inlineStr">
        <is>
          <t>정기예금</t>
        </is>
      </c>
      <c r="E20" s="8" t="n">
        <v>393456789</v>
      </c>
      <c r="F20" s="7" t="inlineStr">
        <is>
          <t>지오영 1순위 예금질권</t>
        </is>
      </c>
      <c r="G20" s="7" t="inlineStr">
        <is>
          <t>임대차계약 특약, 대출약정 제8조 제7항</t>
        </is>
      </c>
      <c r="H20" s="7" t="inlineStr">
        <is>
          <t>매도인 현행 신한 정기예금과 동일 구조. 통장 실물 임대인 보관</t>
        </is>
      </c>
    </row>
    <row r="21" ht="32" customHeight="1">
      <c r="A21" s="6" t="n">
        <v>14</v>
      </c>
      <c r="B21" s="6" t="inlineStr">
        <is>
          <t>보증금</t>
        </is>
      </c>
      <c r="C21" s="7" t="inlineStr">
        <is>
          <t>임대차보증금계좌 — 쿠팡 B1 (제3차 변경)</t>
        </is>
      </c>
      <c r="D21" s="6" t="inlineStr">
        <is>
          <t>정기예금</t>
        </is>
      </c>
      <c r="E21" s="8" t="n">
        <v>988315200</v>
      </c>
      <c r="F21" s="7" t="inlineStr">
        <is>
          <t>쿠팡 1순위 예금질권</t>
        </is>
      </c>
      <c r="G21" s="7" t="inlineStr">
        <is>
          <t>임대차계약 특약, 대출약정 제8조 제7항</t>
        </is>
      </c>
      <c r="H21" s="7" t="inlineStr">
        <is>
          <t>매도인 현행 신한 정기예금과 동일 구조. 통장 실물 쿠팡 보관</t>
        </is>
      </c>
    </row>
    <row r="22" ht="32" customHeight="1">
      <c r="A22" s="6" t="n">
        <v>15</v>
      </c>
      <c r="B22" s="6" t="inlineStr">
        <is>
          <t>보증금</t>
        </is>
      </c>
      <c r="C22" s="7" t="inlineStr">
        <is>
          <t>임대차보증금계좌 — 쿠팡 B2 (제4차 변경)</t>
        </is>
      </c>
      <c r="D22" s="6" t="inlineStr">
        <is>
          <t>정기예금</t>
        </is>
      </c>
      <c r="E22" s="8" t="n">
        <v>982155600</v>
      </c>
      <c r="F22" s="7" t="inlineStr">
        <is>
          <t>쿠팡 1순위 예금질권</t>
        </is>
      </c>
      <c r="G22" s="7" t="inlineStr">
        <is>
          <t>임대차계약 특약, 대출약정 제8조 제7항</t>
        </is>
      </c>
      <c r="H22" s="7" t="inlineStr">
        <is>
          <t>매도인 현행 신한 정기예금과 동일 구조. 통장 실물 쿠팡 보관</t>
        </is>
      </c>
    </row>
    <row r="23" ht="32" customHeight="1">
      <c r="A23" s="6" t="n">
        <v>16</v>
      </c>
      <c r="B23" s="6" t="inlineStr">
        <is>
          <t>보증금</t>
        </is>
      </c>
      <c r="C23" s="7" t="inlineStr">
        <is>
          <t>임대차보증금계좌 — 쿠팡 8F 증평 (제5차 변경)</t>
        </is>
      </c>
      <c r="D23" s="6" t="inlineStr">
        <is>
          <t>정기예금</t>
        </is>
      </c>
      <c r="E23" s="8" t="n">
        <v>32620110</v>
      </c>
      <c r="F23" s="7" t="inlineStr">
        <is>
          <t>쿠팡 1순위 예금질권</t>
        </is>
      </c>
      <c r="G23" s="7" t="inlineStr">
        <is>
          <t>임대차계약 특약, 대출약정 제8조 제7항</t>
        </is>
      </c>
      <c r="H23" s="7" t="inlineStr">
        <is>
          <t>매도인 현행 신한 정기예금과 동일 구조. 통장 실물 쿠팡 보관</t>
        </is>
      </c>
    </row>
    <row r="24" ht="32" customHeight="1">
      <c r="A24" s="3" t="inlineStr">
        <is>
          <t>D. 조건부 (현재 계좌 불요)</t>
        </is>
      </c>
      <c r="B24" s="4" t="n"/>
      <c r="C24" s="4" t="n"/>
      <c r="D24" s="4" t="n"/>
      <c r="E24" s="4" t="n"/>
      <c r="F24" s="4" t="n"/>
      <c r="G24" s="4" t="n"/>
      <c r="H24" s="5" t="n"/>
    </row>
    <row r="25" ht="32" customHeight="1">
      <c r="A25" s="6" t="n">
        <v>17</v>
      </c>
      <c r="B25" s="6" t="inlineStr">
        <is>
          <t>보증금(조건부)</t>
        </is>
      </c>
      <c r="C25" s="7" t="inlineStr">
        <is>
          <t>임대차보증금계좌 — 쿠팡 5~7F (최초계약)</t>
        </is>
      </c>
      <c r="D25" s="6" t="inlineStr">
        <is>
          <t>정기예금</t>
        </is>
      </c>
      <c r="E25" s="8" t="n">
        <v>2132586000</v>
      </c>
      <c r="F25" s="7" t="inlineStr">
        <is>
          <t>쿠팡 1순위 예금질권</t>
        </is>
      </c>
      <c r="G25" s="7" t="inlineStr">
        <is>
          <t>쿠팡 제2차 변경합의서 제2조 제2항</t>
        </is>
      </c>
      <c r="H25" s="7" t="inlineStr">
        <is>
          <t>현재 담보신탁 1순위 우선수익권으로 대체. 임대인·대주 변경 시 쿠팡 요구하면 정기예금+질권으로 재전환 의무</t>
        </is>
      </c>
    </row>
    <row r="26" ht="32" customHeight="1">
      <c r="A26" s="6" t="n">
        <v>18</v>
      </c>
      <c r="B26" s="6" t="inlineStr">
        <is>
          <t>보증금(조건부)</t>
        </is>
      </c>
      <c r="C26" s="7" t="inlineStr">
        <is>
          <t>임대차보증금계좌 — 아이팜 1F 근생</t>
        </is>
      </c>
      <c r="D26" s="6" t="inlineStr">
        <is>
          <t>정기예금</t>
        </is>
      </c>
      <c r="E26" s="8" t="n">
        <v>6224400</v>
      </c>
      <c r="F26" s="7" t="inlineStr">
        <is>
          <t>아이팜 질권(요청 시)</t>
        </is>
      </c>
      <c r="G26" s="7" t="inlineStr">
        <is>
          <t>아이팜 임대차계약 특약 제9조</t>
        </is>
      </c>
      <c r="H26" s="7" t="inlineStr">
        <is>
          <t>현재 매도인 측 별도 계좌 없음. 임차인 요청 시 개설</t>
        </is>
      </c>
    </row>
    <row r="28">
      <c r="B28" s="9" t="inlineStr">
        <is>
          <t>필수 개설 계좌 수 (A+B+C)</t>
        </is>
      </c>
      <c r="C28" s="10" t="n"/>
      <c r="D28" s="10" t="n"/>
      <c r="E28" s="11">
        <f>COUNTIF(B5:B26,"프로젝트")+COUNTIF(B5:B26,"자본")+COUNTIF(B5:B26,"보증금")</f>
        <v/>
      </c>
      <c r="F28" s="10" t="inlineStr">
        <is>
          <t>개</t>
        </is>
      </c>
    </row>
    <row r="29">
      <c r="B29" s="9" t="inlineStr">
        <is>
          <t>정기예금(보증금) 계좌 수</t>
        </is>
      </c>
      <c r="C29" s="10" t="n"/>
      <c r="D29" s="10" t="n"/>
      <c r="E29" s="11">
        <f>COUNTIF(B5:B26,"보증금")</f>
        <v/>
      </c>
      <c r="F29" s="10" t="inlineStr">
        <is>
          <t>개</t>
        </is>
      </c>
    </row>
    <row r="30">
      <c r="B30" s="9" t="inlineStr">
        <is>
          <t>정기예금(보증금) 금액 합계</t>
        </is>
      </c>
      <c r="C30" s="10" t="n"/>
      <c r="D30" s="10" t="n"/>
      <c r="E30" s="11">
        <f>SUMIF(B5:B26,"보증금",E5:E26)</f>
        <v/>
      </c>
      <c r="F30" s="10" t="inlineStr">
        <is>
          <t>원</t>
        </is>
      </c>
    </row>
    <row r="31">
      <c r="B31" s="9" t="inlineStr">
        <is>
          <t>조건부 포함 최대 정기예금 금액</t>
        </is>
      </c>
      <c r="C31" s="10" t="n"/>
      <c r="D31" s="10" t="n"/>
      <c r="E31" s="11">
        <f>SUMIF(B5:B26,"보증금",E5:E26)+SUMIF(B5:B26,"보증금(조건부)",E5:E26)</f>
        <v/>
      </c>
      <c r="F31" s="10" t="inlineStr">
        <is>
          <t>원</t>
        </is>
      </c>
    </row>
    <row r="32">
      <c r="B32" s="9" t="inlineStr">
        <is>
          <t>이자유보계좌 합계(A+B)</t>
        </is>
      </c>
      <c r="C32" s="10" t="n"/>
      <c r="D32" s="10" t="n"/>
      <c r="E32" s="11">
        <f>E9+E10</f>
        <v/>
      </c>
      <c r="F32" s="10" t="inlineStr">
        <is>
          <t>원</t>
        </is>
      </c>
    </row>
    <row r="34">
      <c r="A34" s="12" t="inlineStr">
        <is>
          <t>※ 보증금 정기예금 금액은 임대차계약상 보증금 기준(매도인 측 예치금 중 이자 재예치분 제외). 매도인 계좌 이자는 매도인 귀속으로 해지 시 정산.</t>
        </is>
      </c>
    </row>
    <row r="35">
      <c r="A35" s="12" t="inlineStr">
        <is>
          <t>※ 매매계약 BKL v04 제1.3조: 거래종결일 매매대금에서 임대차보증금을 차감 → 리츠가 동일 금액을 신규 정기예금에 예치하고, 매도인 계좌 질권 해지와 동시에 임차인 질권 재설정(법률실사보고서 §5.7 권고).</t>
        </is>
      </c>
    </row>
    <row r="36">
      <c r="A36" s="12" t="inlineStr">
        <is>
          <t>※ 이자유보계좌 금액은 T/S 금리 기준 [추정]이며 확정 금리·인출일에 따라 변동. 선순위 고정/변동 비중은 대주 선택(고정 50% 이상).</t>
        </is>
      </c>
    </row>
    <row r="37">
      <c r="A37" s="12" t="inlineStr">
        <is>
          <t>※ 출처: 매도인 「임대보증금 내역 및 권리설정 사항」(2026-10-01), 담보대출약정서 BKL v16, 주주간계약서 BKL v23, 자산보관위탁계약서(증권·현금) NH투자증권·(부동산) 우리은행 2026-09-29 날인본.</t>
        </is>
      </c>
    </row>
  </sheetData>
  <mergeCells count="8">
    <mergeCell ref="A12:H12"/>
    <mergeCell ref="A35:H35"/>
    <mergeCell ref="A24:H24"/>
    <mergeCell ref="A36:H36"/>
    <mergeCell ref="A14:H14"/>
    <mergeCell ref="A5:H5"/>
    <mergeCell ref="A37:H37"/>
    <mergeCell ref="A34:H3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2026-10-01T01:58:07Z</dcterms:created>
  <dcterms:modified xmlns:dcterms="http://purl.org/dc/terms/" xmlns:xsi="http://www.w3.org/2001/XMLSchema-instance" xsi:type="dcterms:W3CDTF">2026-10-01T01:58:07Z</dcterms:modified>
</cp:coreProperties>
</file>