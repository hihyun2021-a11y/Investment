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통합리스트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.Equity인수수수료" sheetId="3" state="visible" r:id="rId3"/>
    <sheet xmlns:r="http://schemas.openxmlformats.org/officeDocument/2006/relationships" name="2.대출관련수수료" sheetId="4" state="visible" r:id="rId4"/>
    <sheet xmlns:r="http://schemas.openxmlformats.org/officeDocument/2006/relationships" name="3.담보신탁보수" sheetId="5" state="visible" r:id="rId5"/>
    <sheet xmlns:r="http://schemas.openxmlformats.org/officeDocument/2006/relationships" name="4.이자유보금예치" sheetId="6" state="visible" r:id="rId6"/>
    <sheet xmlns:r="http://schemas.openxmlformats.org/officeDocument/2006/relationships" name="이자유보금_계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%"/>
  </numFmts>
  <fonts count="7">
    <font>
      <name val="Calibri"/>
      <family val="2"/>
      <color theme="1"/>
      <sz val="11"/>
      <scheme val="minor"/>
    </font>
    <font>
      <name val="맑은 고딕"/>
      <color rgb="00808080"/>
      <sz val="10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12"/>
    </font>
    <font>
      <name val="맑은 고딕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A9D08E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4" fillId="0" borderId="1" applyAlignment="1" pivotButton="0" quotePrefix="0" xfId="0">
      <alignment horizontal="right" vertical="center"/>
    </xf>
    <xf numFmtId="1" fontId="4" fillId="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4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7" customWidth="1" min="4" max="4"/>
    <col width="10" customWidth="1" min="5" max="5"/>
    <col width="11" customWidth="1" min="6" max="6"/>
    <col width="10" customWidth="1" min="7" max="7"/>
    <col width="17" customWidth="1" min="8" max="8"/>
    <col width="30" customWidth="1" min="9" max="9"/>
    <col width="10" customWidth="1" min="10" max="10"/>
    <col width="20" customWidth="1" min="11" max="11"/>
    <col width="14" customWidth="1" min="12" max="12"/>
    <col width="17" customWidth="1" min="13" max="13"/>
    <col width="22" customWidth="1" min="14" max="14"/>
    <col width="20" customWidth="1" min="15" max="15"/>
  </cols>
  <sheetData>
    <row r="1">
      <c r="A1" s="1" t="inlineStr">
        <is>
          <t>필수입력</t>
        </is>
      </c>
      <c r="B1" s="2" t="inlineStr">
        <is>
          <t>기표일(2026-10-29) 이체 통합 리스트 — 1.Equity인수수수료 · 2.대출관련수수료 · 3.담보신탁보수 · 4.이자유보금예치 취합</t>
        </is>
      </c>
    </row>
    <row r="2">
      <c r="A2" s="3" t="inlineStr">
        <is>
          <t>순번</t>
        </is>
      </c>
      <c r="B2" s="3" t="inlineStr">
        <is>
          <t>항목</t>
        </is>
      </c>
      <c r="C2" s="3" t="inlineStr">
        <is>
          <t>계정</t>
        </is>
      </c>
      <c r="D2" s="3" t="inlineStr">
        <is>
          <t>금액</t>
        </is>
      </c>
      <c r="E2" s="3" t="inlineStr">
        <is>
          <t>과세유형</t>
        </is>
      </c>
      <c r="F2" s="3" t="inlineStr">
        <is>
          <t>출금처</t>
        </is>
      </c>
      <c r="G2" s="3" t="inlineStr">
        <is>
          <t>출금은행</t>
        </is>
      </c>
      <c r="H2" s="3" t="inlineStr">
        <is>
          <t>출금계좌</t>
        </is>
      </c>
      <c r="I2" s="3" t="inlineStr">
        <is>
          <t>입금처</t>
        </is>
      </c>
      <c r="J2" s="3" t="inlineStr">
        <is>
          <t>입금은행</t>
        </is>
      </c>
      <c r="K2" s="3" t="inlineStr">
        <is>
          <t>입금계좌</t>
        </is>
      </c>
      <c r="L2" s="3" t="inlineStr">
        <is>
          <t>부가세(10%)</t>
        </is>
      </c>
      <c r="M2" s="3" t="inlineStr">
        <is>
          <t>실제 이체금액</t>
        </is>
      </c>
      <c r="N2" s="3" t="inlineStr">
        <is>
          <t>지급기한</t>
        </is>
      </c>
      <c r="O2" s="3" t="inlineStr">
        <is>
          <t>구분</t>
        </is>
      </c>
    </row>
    <row r="3">
      <c r="A3" s="4" t="n">
        <v>1</v>
      </c>
      <c r="B3" s="5">
        <f>'1.Equity인수수수료'!B3</f>
        <v/>
      </c>
      <c r="C3" s="4">
        <f>IF('1.Equity인수수수료'!C3="","",'1.Equity인수수수료'!C3)</f>
        <v/>
      </c>
      <c r="D3" s="6">
        <f>'1.Equity인수수수료'!D3</f>
        <v/>
      </c>
      <c r="E3" s="4">
        <f>'1.Equity인수수수료'!E3</f>
        <v/>
      </c>
      <c r="F3" s="4">
        <f>'1.Equity인수수수료'!F3</f>
        <v/>
      </c>
      <c r="G3" s="4">
        <f>'1.Equity인수수수료'!G3</f>
        <v/>
      </c>
      <c r="H3" s="4">
        <f>'1.Equity인수수수료'!H3</f>
        <v/>
      </c>
      <c r="I3" s="5">
        <f>'1.Equity인수수수료'!I3</f>
        <v/>
      </c>
      <c r="J3" s="4">
        <f>'1.Equity인수수수료'!J3</f>
        <v/>
      </c>
      <c r="K3" s="4">
        <f>'1.Equity인수수수료'!K3</f>
        <v/>
      </c>
      <c r="L3" s="6">
        <f>'1.Equity인수수수료'!L3</f>
        <v/>
      </c>
      <c r="M3" s="6">
        <f>'1.Equity인수수수료'!M3</f>
        <v/>
      </c>
      <c r="N3" s="5">
        <f>'1.Equity인수수수료'!N3</f>
        <v/>
      </c>
      <c r="O3" s="4" t="inlineStr">
        <is>
          <t>Equity 인수수수료</t>
        </is>
      </c>
    </row>
    <row r="4">
      <c r="A4" s="4" t="n">
        <v>2</v>
      </c>
      <c r="B4" s="5">
        <f>'1.Equity인수수수료'!B4</f>
        <v/>
      </c>
      <c r="C4" s="4">
        <f>IF('1.Equity인수수수료'!C4="","",'1.Equity인수수수료'!C4)</f>
        <v/>
      </c>
      <c r="D4" s="6">
        <f>'1.Equity인수수수료'!D4</f>
        <v/>
      </c>
      <c r="E4" s="4">
        <f>'1.Equity인수수수료'!E4</f>
        <v/>
      </c>
      <c r="F4" s="4">
        <f>'1.Equity인수수수료'!F4</f>
        <v/>
      </c>
      <c r="G4" s="4">
        <f>'1.Equity인수수수료'!G4</f>
        <v/>
      </c>
      <c r="H4" s="4">
        <f>'1.Equity인수수수료'!H4</f>
        <v/>
      </c>
      <c r="I4" s="5">
        <f>'1.Equity인수수수료'!I4</f>
        <v/>
      </c>
      <c r="J4" s="4">
        <f>'1.Equity인수수수료'!J4</f>
        <v/>
      </c>
      <c r="K4" s="4">
        <f>'1.Equity인수수수료'!K4</f>
        <v/>
      </c>
      <c r="L4" s="6">
        <f>'1.Equity인수수수료'!L4</f>
        <v/>
      </c>
      <c r="M4" s="6">
        <f>'1.Equity인수수수료'!M4</f>
        <v/>
      </c>
      <c r="N4" s="5">
        <f>'1.Equity인수수수료'!N4</f>
        <v/>
      </c>
      <c r="O4" s="4" t="inlineStr">
        <is>
          <t>Equity 인수수수료</t>
        </is>
      </c>
    </row>
    <row r="5">
      <c r="A5" s="4" t="n">
        <v>3</v>
      </c>
      <c r="B5" s="5">
        <f>'1.Equity인수수수료'!B5</f>
        <v/>
      </c>
      <c r="C5" s="4">
        <f>IF('1.Equity인수수수료'!C5="","",'1.Equity인수수수료'!C5)</f>
        <v/>
      </c>
      <c r="D5" s="6">
        <f>'1.Equity인수수수료'!D5</f>
        <v/>
      </c>
      <c r="E5" s="4">
        <f>'1.Equity인수수수료'!E5</f>
        <v/>
      </c>
      <c r="F5" s="4">
        <f>'1.Equity인수수수료'!F5</f>
        <v/>
      </c>
      <c r="G5" s="4">
        <f>'1.Equity인수수수료'!G5</f>
        <v/>
      </c>
      <c r="H5" s="4">
        <f>'1.Equity인수수수료'!H5</f>
        <v/>
      </c>
      <c r="I5" s="5">
        <f>'1.Equity인수수수료'!I5</f>
        <v/>
      </c>
      <c r="J5" s="4">
        <f>'1.Equity인수수수료'!J5</f>
        <v/>
      </c>
      <c r="K5" s="4">
        <f>'1.Equity인수수수료'!K5</f>
        <v/>
      </c>
      <c r="L5" s="6">
        <f>'1.Equity인수수수료'!L5</f>
        <v/>
      </c>
      <c r="M5" s="6">
        <f>'1.Equity인수수수료'!M5</f>
        <v/>
      </c>
      <c r="N5" s="5">
        <f>'1.Equity인수수수료'!N5</f>
        <v/>
      </c>
      <c r="O5" s="4" t="inlineStr">
        <is>
          <t>Equity 인수수수료</t>
        </is>
      </c>
    </row>
    <row r="6">
      <c r="A6" s="4" t="n">
        <v>4</v>
      </c>
      <c r="B6" s="5">
        <f>'2.대출관련수수료'!B3</f>
        <v/>
      </c>
      <c r="C6" s="4">
        <f>IF('2.대출관련수수료'!C3="","",'2.대출관련수수료'!C3)</f>
        <v/>
      </c>
      <c r="D6" s="6">
        <f>'2.대출관련수수료'!D3</f>
        <v/>
      </c>
      <c r="E6" s="4">
        <f>'2.대출관련수수료'!E3</f>
        <v/>
      </c>
      <c r="F6" s="4">
        <f>'2.대출관련수수료'!F3</f>
        <v/>
      </c>
      <c r="G6" s="4">
        <f>'2.대출관련수수료'!G3</f>
        <v/>
      </c>
      <c r="H6" s="4">
        <f>'2.대출관련수수료'!H3</f>
        <v/>
      </c>
      <c r="I6" s="5">
        <f>'2.대출관련수수료'!I3</f>
        <v/>
      </c>
      <c r="J6" s="4">
        <f>'2.대출관련수수료'!J3</f>
        <v/>
      </c>
      <c r="K6" s="4">
        <f>'2.대출관련수수료'!K3</f>
        <v/>
      </c>
      <c r="L6" s="6">
        <f>'2.대출관련수수료'!L3</f>
        <v/>
      </c>
      <c r="M6" s="6">
        <f>'2.대출관련수수료'!M3</f>
        <v/>
      </c>
      <c r="N6" s="5">
        <f>'2.대출관련수수료'!N3</f>
        <v/>
      </c>
      <c r="O6" s="4" t="inlineStr">
        <is>
          <t>대출관련수수료</t>
        </is>
      </c>
    </row>
    <row r="7">
      <c r="A7" s="4" t="n">
        <v>5</v>
      </c>
      <c r="B7" s="5">
        <f>'2.대출관련수수료'!B4</f>
        <v/>
      </c>
      <c r="C7" s="4">
        <f>IF('2.대출관련수수료'!C4="","",'2.대출관련수수료'!C4)</f>
        <v/>
      </c>
      <c r="D7" s="6">
        <f>'2.대출관련수수료'!D4</f>
        <v/>
      </c>
      <c r="E7" s="4">
        <f>'2.대출관련수수료'!E4</f>
        <v/>
      </c>
      <c r="F7" s="4">
        <f>'2.대출관련수수료'!F4</f>
        <v/>
      </c>
      <c r="G7" s="4">
        <f>'2.대출관련수수료'!G4</f>
        <v/>
      </c>
      <c r="H7" s="4">
        <f>'2.대출관련수수료'!H4</f>
        <v/>
      </c>
      <c r="I7" s="5">
        <f>'2.대출관련수수료'!I4</f>
        <v/>
      </c>
      <c r="J7" s="4">
        <f>'2.대출관련수수료'!J4</f>
        <v/>
      </c>
      <c r="K7" s="4">
        <f>'2.대출관련수수료'!K4</f>
        <v/>
      </c>
      <c r="L7" s="6">
        <f>'2.대출관련수수료'!L4</f>
        <v/>
      </c>
      <c r="M7" s="6">
        <f>'2.대출관련수수료'!M4</f>
        <v/>
      </c>
      <c r="N7" s="5">
        <f>'2.대출관련수수료'!N4</f>
        <v/>
      </c>
      <c r="O7" s="4" t="inlineStr">
        <is>
          <t>대출관련수수료</t>
        </is>
      </c>
    </row>
    <row r="8">
      <c r="A8" s="4" t="n">
        <v>6</v>
      </c>
      <c r="B8" s="5">
        <f>'2.대출관련수수료'!B5</f>
        <v/>
      </c>
      <c r="C8" s="4">
        <f>IF('2.대출관련수수료'!C5="","",'2.대출관련수수료'!C5)</f>
        <v/>
      </c>
      <c r="D8" s="6">
        <f>'2.대출관련수수료'!D5</f>
        <v/>
      </c>
      <c r="E8" s="4">
        <f>'2.대출관련수수료'!E5</f>
        <v/>
      </c>
      <c r="F8" s="4">
        <f>'2.대출관련수수료'!F5</f>
        <v/>
      </c>
      <c r="G8" s="4">
        <f>'2.대출관련수수료'!G5</f>
        <v/>
      </c>
      <c r="H8" s="4">
        <f>'2.대출관련수수료'!H5</f>
        <v/>
      </c>
      <c r="I8" s="5">
        <f>'2.대출관련수수료'!I5</f>
        <v/>
      </c>
      <c r="J8" s="4">
        <f>'2.대출관련수수료'!J5</f>
        <v/>
      </c>
      <c r="K8" s="7">
        <f>'2.대출관련수수료'!K5</f>
        <v/>
      </c>
      <c r="L8" s="6">
        <f>'2.대출관련수수료'!L5</f>
        <v/>
      </c>
      <c r="M8" s="6">
        <f>'2.대출관련수수료'!M5</f>
        <v/>
      </c>
      <c r="N8" s="5">
        <f>'2.대출관련수수료'!N5</f>
        <v/>
      </c>
      <c r="O8" s="4" t="inlineStr">
        <is>
          <t>대출관련수수료</t>
        </is>
      </c>
    </row>
    <row r="9">
      <c r="A9" s="4" t="n">
        <v>7</v>
      </c>
      <c r="B9" s="5">
        <f>'2.대출관련수수료'!B6</f>
        <v/>
      </c>
      <c r="C9" s="4">
        <f>IF('2.대출관련수수료'!C6="","",'2.대출관련수수료'!C6)</f>
        <v/>
      </c>
      <c r="D9" s="6">
        <f>'2.대출관련수수료'!D6</f>
        <v/>
      </c>
      <c r="E9" s="4">
        <f>'2.대출관련수수료'!E6</f>
        <v/>
      </c>
      <c r="F9" s="4">
        <f>'2.대출관련수수료'!F6</f>
        <v/>
      </c>
      <c r="G9" s="4">
        <f>'2.대출관련수수료'!G6</f>
        <v/>
      </c>
      <c r="H9" s="4">
        <f>'2.대출관련수수료'!H6</f>
        <v/>
      </c>
      <c r="I9" s="5">
        <f>'2.대출관련수수료'!I6</f>
        <v/>
      </c>
      <c r="J9" s="4">
        <f>'2.대출관련수수료'!J6</f>
        <v/>
      </c>
      <c r="K9" s="4">
        <f>'2.대출관련수수료'!K6</f>
        <v/>
      </c>
      <c r="L9" s="6">
        <f>'2.대출관련수수료'!L6</f>
        <v/>
      </c>
      <c r="M9" s="6">
        <f>'2.대출관련수수료'!M6</f>
        <v/>
      </c>
      <c r="N9" s="5">
        <f>'2.대출관련수수료'!N6</f>
        <v/>
      </c>
      <c r="O9" s="4" t="inlineStr">
        <is>
          <t>대출관련수수료</t>
        </is>
      </c>
    </row>
    <row r="10">
      <c r="A10" s="4" t="n">
        <v>8</v>
      </c>
      <c r="B10" s="5">
        <f>'2.대출관련수수료'!B7</f>
        <v/>
      </c>
      <c r="C10" s="4">
        <f>IF('2.대출관련수수료'!C7="","",'2.대출관련수수료'!C7)</f>
        <v/>
      </c>
      <c r="D10" s="6">
        <f>'2.대출관련수수료'!D7</f>
        <v/>
      </c>
      <c r="E10" s="4">
        <f>'2.대출관련수수료'!E7</f>
        <v/>
      </c>
      <c r="F10" s="4">
        <f>'2.대출관련수수료'!F7</f>
        <v/>
      </c>
      <c r="G10" s="4">
        <f>'2.대출관련수수료'!G7</f>
        <v/>
      </c>
      <c r="H10" s="4">
        <f>'2.대출관련수수료'!H7</f>
        <v/>
      </c>
      <c r="I10" s="5">
        <f>'2.대출관련수수료'!I7</f>
        <v/>
      </c>
      <c r="J10" s="4">
        <f>'2.대출관련수수료'!J7</f>
        <v/>
      </c>
      <c r="K10" s="4">
        <f>'2.대출관련수수료'!K7</f>
        <v/>
      </c>
      <c r="L10" s="6">
        <f>'2.대출관련수수료'!L7</f>
        <v/>
      </c>
      <c r="M10" s="6">
        <f>'2.대출관련수수료'!M7</f>
        <v/>
      </c>
      <c r="N10" s="5">
        <f>'2.대출관련수수료'!N7</f>
        <v/>
      </c>
      <c r="O10" s="4" t="inlineStr">
        <is>
          <t>대출관련수수료</t>
        </is>
      </c>
    </row>
    <row r="11">
      <c r="A11" s="4" t="n">
        <v>9</v>
      </c>
      <c r="B11" s="5">
        <f>'2.대출관련수수료'!B8</f>
        <v/>
      </c>
      <c r="C11" s="4">
        <f>IF('2.대출관련수수료'!C8="","",'2.대출관련수수료'!C8)</f>
        <v/>
      </c>
      <c r="D11" s="6">
        <f>'2.대출관련수수료'!D8</f>
        <v/>
      </c>
      <c r="E11" s="4">
        <f>'2.대출관련수수료'!E8</f>
        <v/>
      </c>
      <c r="F11" s="4">
        <f>'2.대출관련수수료'!F8</f>
        <v/>
      </c>
      <c r="G11" s="4">
        <f>'2.대출관련수수료'!G8</f>
        <v/>
      </c>
      <c r="H11" s="4">
        <f>'2.대출관련수수료'!H8</f>
        <v/>
      </c>
      <c r="I11" s="5">
        <f>'2.대출관련수수료'!I8</f>
        <v/>
      </c>
      <c r="J11" s="4">
        <f>'2.대출관련수수료'!J8</f>
        <v/>
      </c>
      <c r="K11" s="4">
        <f>'2.대출관련수수료'!K8</f>
        <v/>
      </c>
      <c r="L11" s="6">
        <f>'2.대출관련수수료'!L8</f>
        <v/>
      </c>
      <c r="M11" s="6">
        <f>'2.대출관련수수료'!M8</f>
        <v/>
      </c>
      <c r="N11" s="5">
        <f>'2.대출관련수수료'!N8</f>
        <v/>
      </c>
      <c r="O11" s="4" t="inlineStr">
        <is>
          <t>대출관련수수료</t>
        </is>
      </c>
    </row>
    <row r="12">
      <c r="A12" s="4" t="n">
        <v>10</v>
      </c>
      <c r="B12" s="5">
        <f>'2.대출관련수수료'!B9</f>
        <v/>
      </c>
      <c r="C12" s="4">
        <f>IF('2.대출관련수수료'!C9="","",'2.대출관련수수료'!C9)</f>
        <v/>
      </c>
      <c r="D12" s="6">
        <f>'2.대출관련수수료'!D9</f>
        <v/>
      </c>
      <c r="E12" s="4">
        <f>'2.대출관련수수료'!E9</f>
        <v/>
      </c>
      <c r="F12" s="4">
        <f>'2.대출관련수수료'!F9</f>
        <v/>
      </c>
      <c r="G12" s="4">
        <f>'2.대출관련수수료'!G9</f>
        <v/>
      </c>
      <c r="H12" s="4">
        <f>'2.대출관련수수료'!H9</f>
        <v/>
      </c>
      <c r="I12" s="5">
        <f>'2.대출관련수수료'!I9</f>
        <v/>
      </c>
      <c r="J12" s="4">
        <f>'2.대출관련수수료'!J9</f>
        <v/>
      </c>
      <c r="K12" s="4">
        <f>'2.대출관련수수료'!K9</f>
        <v/>
      </c>
      <c r="L12" s="6">
        <f>'2.대출관련수수료'!L9</f>
        <v/>
      </c>
      <c r="M12" s="6">
        <f>'2.대출관련수수료'!M9</f>
        <v/>
      </c>
      <c r="N12" s="5">
        <f>'2.대출관련수수료'!N9</f>
        <v/>
      </c>
      <c r="O12" s="4" t="inlineStr">
        <is>
          <t>대출관련수수료</t>
        </is>
      </c>
    </row>
    <row r="13">
      <c r="A13" s="4" t="n">
        <v>11</v>
      </c>
      <c r="B13" s="5">
        <f>'2.대출관련수수료'!B10</f>
        <v/>
      </c>
      <c r="C13" s="4">
        <f>IF('2.대출관련수수료'!C10="","",'2.대출관련수수료'!C10)</f>
        <v/>
      </c>
      <c r="D13" s="6">
        <f>'2.대출관련수수료'!D10</f>
        <v/>
      </c>
      <c r="E13" s="4">
        <f>'2.대출관련수수료'!E10</f>
        <v/>
      </c>
      <c r="F13" s="4">
        <f>'2.대출관련수수료'!F10</f>
        <v/>
      </c>
      <c r="G13" s="4">
        <f>'2.대출관련수수료'!G10</f>
        <v/>
      </c>
      <c r="H13" s="4">
        <f>'2.대출관련수수료'!H10</f>
        <v/>
      </c>
      <c r="I13" s="5">
        <f>'2.대출관련수수료'!I10</f>
        <v/>
      </c>
      <c r="J13" s="4">
        <f>'2.대출관련수수료'!J10</f>
        <v/>
      </c>
      <c r="K13" s="4">
        <f>'2.대출관련수수료'!K10</f>
        <v/>
      </c>
      <c r="L13" s="6">
        <f>'2.대출관련수수료'!L10</f>
        <v/>
      </c>
      <c r="M13" s="6">
        <f>'2.대출관련수수료'!M10</f>
        <v/>
      </c>
      <c r="N13" s="5">
        <f>'2.대출관련수수료'!N10</f>
        <v/>
      </c>
      <c r="O13" s="4" t="inlineStr">
        <is>
          <t>대출관련수수료</t>
        </is>
      </c>
    </row>
    <row r="14">
      <c r="A14" s="4" t="n">
        <v>12</v>
      </c>
      <c r="B14" s="5">
        <f>'2.대출관련수수료'!B11</f>
        <v/>
      </c>
      <c r="C14" s="4">
        <f>IF('2.대출관련수수료'!C11="","",'2.대출관련수수료'!C11)</f>
        <v/>
      </c>
      <c r="D14" s="6">
        <f>'2.대출관련수수료'!D11</f>
        <v/>
      </c>
      <c r="E14" s="4">
        <f>'2.대출관련수수료'!E11</f>
        <v/>
      </c>
      <c r="F14" s="4">
        <f>'2.대출관련수수료'!F11</f>
        <v/>
      </c>
      <c r="G14" s="4">
        <f>'2.대출관련수수료'!G11</f>
        <v/>
      </c>
      <c r="H14" s="4">
        <f>'2.대출관련수수료'!H11</f>
        <v/>
      </c>
      <c r="I14" s="5">
        <f>'2.대출관련수수료'!I11</f>
        <v/>
      </c>
      <c r="J14" s="4">
        <f>'2.대출관련수수료'!J11</f>
        <v/>
      </c>
      <c r="K14" s="4">
        <f>'2.대출관련수수료'!K11</f>
        <v/>
      </c>
      <c r="L14" s="6">
        <f>'2.대출관련수수료'!L11</f>
        <v/>
      </c>
      <c r="M14" s="6">
        <f>'2.대출관련수수료'!M11</f>
        <v/>
      </c>
      <c r="N14" s="5">
        <f>'2.대출관련수수료'!N11</f>
        <v/>
      </c>
      <c r="O14" s="4" t="inlineStr">
        <is>
          <t>대출관련수수료</t>
        </is>
      </c>
    </row>
    <row r="15">
      <c r="A15" s="4" t="n">
        <v>13</v>
      </c>
      <c r="B15" s="5">
        <f>'2.대출관련수수료'!B12</f>
        <v/>
      </c>
      <c r="C15" s="4">
        <f>IF('2.대출관련수수료'!C12="","",'2.대출관련수수료'!C12)</f>
        <v/>
      </c>
      <c r="D15" s="6">
        <f>'2.대출관련수수료'!D12</f>
        <v/>
      </c>
      <c r="E15" s="4">
        <f>'2.대출관련수수료'!E12</f>
        <v/>
      </c>
      <c r="F15" s="4">
        <f>'2.대출관련수수료'!F12</f>
        <v/>
      </c>
      <c r="G15" s="4">
        <f>'2.대출관련수수료'!G12</f>
        <v/>
      </c>
      <c r="H15" s="4">
        <f>'2.대출관련수수료'!H12</f>
        <v/>
      </c>
      <c r="I15" s="5">
        <f>'2.대출관련수수료'!I12</f>
        <v/>
      </c>
      <c r="J15" s="4">
        <f>'2.대출관련수수료'!J12</f>
        <v/>
      </c>
      <c r="K15" s="4">
        <f>'2.대출관련수수료'!K12</f>
        <v/>
      </c>
      <c r="L15" s="6">
        <f>'2.대출관련수수료'!L12</f>
        <v/>
      </c>
      <c r="M15" s="6">
        <f>'2.대출관련수수료'!M12</f>
        <v/>
      </c>
      <c r="N15" s="5">
        <f>'2.대출관련수수료'!N12</f>
        <v/>
      </c>
      <c r="O15" s="4" t="inlineStr">
        <is>
          <t>대출관련수수료</t>
        </is>
      </c>
    </row>
    <row r="16">
      <c r="A16" s="4" t="n">
        <v>14</v>
      </c>
      <c r="B16" s="5">
        <f>'2.대출관련수수료'!B13</f>
        <v/>
      </c>
      <c r="C16" s="4">
        <f>IF('2.대출관련수수료'!C13="","",'2.대출관련수수료'!C13)</f>
        <v/>
      </c>
      <c r="D16" s="6">
        <f>'2.대출관련수수료'!D13</f>
        <v/>
      </c>
      <c r="E16" s="4">
        <f>'2.대출관련수수료'!E13</f>
        <v/>
      </c>
      <c r="F16" s="4">
        <f>'2.대출관련수수료'!F13</f>
        <v/>
      </c>
      <c r="G16" s="4">
        <f>'2.대출관련수수료'!G13</f>
        <v/>
      </c>
      <c r="H16" s="4">
        <f>'2.대출관련수수료'!H13</f>
        <v/>
      </c>
      <c r="I16" s="5">
        <f>'2.대출관련수수료'!I13</f>
        <v/>
      </c>
      <c r="J16" s="4">
        <f>'2.대출관련수수료'!J13</f>
        <v/>
      </c>
      <c r="K16" s="4">
        <f>'2.대출관련수수료'!K13</f>
        <v/>
      </c>
      <c r="L16" s="6">
        <f>'2.대출관련수수료'!L13</f>
        <v/>
      </c>
      <c r="M16" s="6">
        <f>'2.대출관련수수료'!M13</f>
        <v/>
      </c>
      <c r="N16" s="5">
        <f>'2.대출관련수수료'!N13</f>
        <v/>
      </c>
      <c r="O16" s="4" t="inlineStr">
        <is>
          <t>대출관련수수료</t>
        </is>
      </c>
    </row>
    <row r="17">
      <c r="A17" s="4" t="n">
        <v>15</v>
      </c>
      <c r="B17" s="5">
        <f>'2.대출관련수수료'!B14</f>
        <v/>
      </c>
      <c r="C17" s="4">
        <f>IF('2.대출관련수수료'!C14="","",'2.대출관련수수료'!C14)</f>
        <v/>
      </c>
      <c r="D17" s="6">
        <f>'2.대출관련수수료'!D14</f>
        <v/>
      </c>
      <c r="E17" s="4">
        <f>'2.대출관련수수료'!E14</f>
        <v/>
      </c>
      <c r="F17" s="4">
        <f>'2.대출관련수수료'!F14</f>
        <v/>
      </c>
      <c r="G17" s="4">
        <f>'2.대출관련수수료'!G14</f>
        <v/>
      </c>
      <c r="H17" s="4">
        <f>'2.대출관련수수료'!H14</f>
        <v/>
      </c>
      <c r="I17" s="5">
        <f>'2.대출관련수수료'!I14</f>
        <v/>
      </c>
      <c r="J17" s="4">
        <f>'2.대출관련수수료'!J14</f>
        <v/>
      </c>
      <c r="K17" s="4">
        <f>'2.대출관련수수료'!K14</f>
        <v/>
      </c>
      <c r="L17" s="6">
        <f>'2.대출관련수수료'!L14</f>
        <v/>
      </c>
      <c r="M17" s="6">
        <f>'2.대출관련수수료'!M14</f>
        <v/>
      </c>
      <c r="N17" s="5">
        <f>'2.대출관련수수료'!N14</f>
        <v/>
      </c>
      <c r="O17" s="4" t="inlineStr">
        <is>
          <t>대출관련수수료</t>
        </is>
      </c>
    </row>
    <row r="18">
      <c r="A18" s="4" t="n">
        <v>16</v>
      </c>
      <c r="B18" s="5">
        <f>'2.대출관련수수료'!B15</f>
        <v/>
      </c>
      <c r="C18" s="4">
        <f>IF('2.대출관련수수료'!C15="","",'2.대출관련수수료'!C15)</f>
        <v/>
      </c>
      <c r="D18" s="6">
        <f>'2.대출관련수수료'!D15</f>
        <v/>
      </c>
      <c r="E18" s="4">
        <f>'2.대출관련수수료'!E15</f>
        <v/>
      </c>
      <c r="F18" s="4">
        <f>'2.대출관련수수료'!F15</f>
        <v/>
      </c>
      <c r="G18" s="4">
        <f>'2.대출관련수수료'!G15</f>
        <v/>
      </c>
      <c r="H18" s="4">
        <f>'2.대출관련수수료'!H15</f>
        <v/>
      </c>
      <c r="I18" s="5">
        <f>'2.대출관련수수료'!I15</f>
        <v/>
      </c>
      <c r="J18" s="4">
        <f>'2.대출관련수수료'!J15</f>
        <v/>
      </c>
      <c r="K18" s="4">
        <f>'2.대출관련수수료'!K15</f>
        <v/>
      </c>
      <c r="L18" s="6">
        <f>'2.대출관련수수료'!L15</f>
        <v/>
      </c>
      <c r="M18" s="6">
        <f>'2.대출관련수수료'!M15</f>
        <v/>
      </c>
      <c r="N18" s="5">
        <f>'2.대출관련수수료'!N15</f>
        <v/>
      </c>
      <c r="O18" s="4" t="inlineStr">
        <is>
          <t>대출관련수수료</t>
        </is>
      </c>
    </row>
    <row r="19">
      <c r="A19" s="4" t="n">
        <v>17</v>
      </c>
      <c r="B19" s="5">
        <f>'2.대출관련수수료'!B16</f>
        <v/>
      </c>
      <c r="C19" s="4">
        <f>IF('2.대출관련수수료'!C16="","",'2.대출관련수수료'!C16)</f>
        <v/>
      </c>
      <c r="D19" s="6">
        <f>'2.대출관련수수료'!D16</f>
        <v/>
      </c>
      <c r="E19" s="4">
        <f>'2.대출관련수수료'!E16</f>
        <v/>
      </c>
      <c r="F19" s="4">
        <f>'2.대출관련수수료'!F16</f>
        <v/>
      </c>
      <c r="G19" s="4">
        <f>'2.대출관련수수료'!G16</f>
        <v/>
      </c>
      <c r="H19" s="4">
        <f>'2.대출관련수수료'!H16</f>
        <v/>
      </c>
      <c r="I19" s="5">
        <f>'2.대출관련수수료'!I16</f>
        <v/>
      </c>
      <c r="J19" s="4">
        <f>'2.대출관련수수료'!J16</f>
        <v/>
      </c>
      <c r="K19" s="4">
        <f>'2.대출관련수수료'!K16</f>
        <v/>
      </c>
      <c r="L19" s="6">
        <f>'2.대출관련수수료'!L16</f>
        <v/>
      </c>
      <c r="M19" s="6">
        <f>'2.대출관련수수료'!M16</f>
        <v/>
      </c>
      <c r="N19" s="5">
        <f>'2.대출관련수수료'!N16</f>
        <v/>
      </c>
      <c r="O19" s="4" t="inlineStr">
        <is>
          <t>대출관련수수료</t>
        </is>
      </c>
    </row>
    <row r="20">
      <c r="A20" s="4" t="n">
        <v>18</v>
      </c>
      <c r="B20" s="5">
        <f>'2.대출관련수수료'!B17</f>
        <v/>
      </c>
      <c r="C20" s="4">
        <f>IF('2.대출관련수수료'!C17="","",'2.대출관련수수료'!C17)</f>
        <v/>
      </c>
      <c r="D20" s="6">
        <f>'2.대출관련수수료'!D17</f>
        <v/>
      </c>
      <c r="E20" s="4">
        <f>'2.대출관련수수료'!E17</f>
        <v/>
      </c>
      <c r="F20" s="4">
        <f>'2.대출관련수수료'!F17</f>
        <v/>
      </c>
      <c r="G20" s="4">
        <f>'2.대출관련수수료'!G17</f>
        <v/>
      </c>
      <c r="H20" s="4">
        <f>'2.대출관련수수료'!H17</f>
        <v/>
      </c>
      <c r="I20" s="5">
        <f>'2.대출관련수수료'!I17</f>
        <v/>
      </c>
      <c r="J20" s="4">
        <f>'2.대출관련수수료'!J17</f>
        <v/>
      </c>
      <c r="K20" s="4">
        <f>'2.대출관련수수료'!K17</f>
        <v/>
      </c>
      <c r="L20" s="6">
        <f>'2.대출관련수수료'!L17</f>
        <v/>
      </c>
      <c r="M20" s="6">
        <f>'2.대출관련수수료'!M17</f>
        <v/>
      </c>
      <c r="N20" s="5">
        <f>'2.대출관련수수료'!N17</f>
        <v/>
      </c>
      <c r="O20" s="4" t="inlineStr">
        <is>
          <t>대출관련수수료</t>
        </is>
      </c>
    </row>
    <row r="21">
      <c r="A21" s="4" t="n">
        <v>19</v>
      </c>
      <c r="B21" s="5">
        <f>'2.대출관련수수료'!B18</f>
        <v/>
      </c>
      <c r="C21" s="4">
        <f>IF('2.대출관련수수료'!C18="","",'2.대출관련수수료'!C18)</f>
        <v/>
      </c>
      <c r="D21" s="6">
        <f>'2.대출관련수수료'!D18</f>
        <v/>
      </c>
      <c r="E21" s="4">
        <f>'2.대출관련수수료'!E18</f>
        <v/>
      </c>
      <c r="F21" s="4">
        <f>'2.대출관련수수료'!F18</f>
        <v/>
      </c>
      <c r="G21" s="4">
        <f>'2.대출관련수수료'!G18</f>
        <v/>
      </c>
      <c r="H21" s="4">
        <f>'2.대출관련수수료'!H18</f>
        <v/>
      </c>
      <c r="I21" s="5">
        <f>'2.대출관련수수료'!I18</f>
        <v/>
      </c>
      <c r="J21" s="4">
        <f>'2.대출관련수수료'!J18</f>
        <v/>
      </c>
      <c r="K21" s="4">
        <f>'2.대출관련수수료'!K18</f>
        <v/>
      </c>
      <c r="L21" s="6">
        <f>'2.대출관련수수료'!L18</f>
        <v/>
      </c>
      <c r="M21" s="6">
        <f>'2.대출관련수수료'!M18</f>
        <v/>
      </c>
      <c r="N21" s="5">
        <f>'2.대출관련수수료'!N18</f>
        <v/>
      </c>
      <c r="O21" s="4" t="inlineStr">
        <is>
          <t>대출관련수수료</t>
        </is>
      </c>
    </row>
    <row r="22">
      <c r="A22" s="4" t="n">
        <v>20</v>
      </c>
      <c r="B22" s="5">
        <f>'2.대출관련수수료'!B19</f>
        <v/>
      </c>
      <c r="C22" s="4">
        <f>IF('2.대출관련수수료'!C19="","",'2.대출관련수수료'!C19)</f>
        <v/>
      </c>
      <c r="D22" s="6">
        <f>'2.대출관련수수료'!D19</f>
        <v/>
      </c>
      <c r="E22" s="4">
        <f>'2.대출관련수수료'!E19</f>
        <v/>
      </c>
      <c r="F22" s="4">
        <f>'2.대출관련수수료'!F19</f>
        <v/>
      </c>
      <c r="G22" s="4">
        <f>'2.대출관련수수료'!G19</f>
        <v/>
      </c>
      <c r="H22" s="4">
        <f>'2.대출관련수수료'!H19</f>
        <v/>
      </c>
      <c r="I22" s="5">
        <f>'2.대출관련수수료'!I19</f>
        <v/>
      </c>
      <c r="J22" s="4">
        <f>'2.대출관련수수료'!J19</f>
        <v/>
      </c>
      <c r="K22" s="4">
        <f>'2.대출관련수수료'!K19</f>
        <v/>
      </c>
      <c r="L22" s="6">
        <f>'2.대출관련수수료'!L19</f>
        <v/>
      </c>
      <c r="M22" s="6">
        <f>'2.대출관련수수료'!M19</f>
        <v/>
      </c>
      <c r="N22" s="5">
        <f>'2.대출관련수수료'!N19</f>
        <v/>
      </c>
      <c r="O22" s="4" t="inlineStr">
        <is>
          <t>대출관련수수료</t>
        </is>
      </c>
    </row>
    <row r="23">
      <c r="A23" s="4" t="n">
        <v>21</v>
      </c>
      <c r="B23" s="5">
        <f>'2.대출관련수수료'!B20</f>
        <v/>
      </c>
      <c r="C23" s="4">
        <f>IF('2.대출관련수수료'!C20="","",'2.대출관련수수료'!C20)</f>
        <v/>
      </c>
      <c r="D23" s="6">
        <f>'2.대출관련수수료'!D20</f>
        <v/>
      </c>
      <c r="E23" s="4">
        <f>'2.대출관련수수료'!E20</f>
        <v/>
      </c>
      <c r="F23" s="4">
        <f>'2.대출관련수수료'!F20</f>
        <v/>
      </c>
      <c r="G23" s="4">
        <f>'2.대출관련수수료'!G20</f>
        <v/>
      </c>
      <c r="H23" s="4">
        <f>'2.대출관련수수료'!H20</f>
        <v/>
      </c>
      <c r="I23" s="5">
        <f>'2.대출관련수수료'!I20</f>
        <v/>
      </c>
      <c r="J23" s="4">
        <f>'2.대출관련수수료'!J20</f>
        <v/>
      </c>
      <c r="K23" s="4">
        <f>'2.대출관련수수료'!K20</f>
        <v/>
      </c>
      <c r="L23" s="6">
        <f>'2.대출관련수수료'!L20</f>
        <v/>
      </c>
      <c r="M23" s="6">
        <f>'2.대출관련수수료'!M20</f>
        <v/>
      </c>
      <c r="N23" s="5">
        <f>'2.대출관련수수료'!N20</f>
        <v/>
      </c>
      <c r="O23" s="4" t="inlineStr">
        <is>
          <t>대출관련수수료</t>
        </is>
      </c>
    </row>
    <row r="24">
      <c r="A24" s="4" t="n">
        <v>22</v>
      </c>
      <c r="B24" s="5">
        <f>'2.대출관련수수료'!B21</f>
        <v/>
      </c>
      <c r="C24" s="4">
        <f>IF('2.대출관련수수료'!C21="","",'2.대출관련수수료'!C21)</f>
        <v/>
      </c>
      <c r="D24" s="6">
        <f>'2.대출관련수수료'!D21</f>
        <v/>
      </c>
      <c r="E24" s="4">
        <f>'2.대출관련수수료'!E21</f>
        <v/>
      </c>
      <c r="F24" s="4">
        <f>'2.대출관련수수료'!F21</f>
        <v/>
      </c>
      <c r="G24" s="4">
        <f>'2.대출관련수수료'!G21</f>
        <v/>
      </c>
      <c r="H24" s="4">
        <f>'2.대출관련수수료'!H21</f>
        <v/>
      </c>
      <c r="I24" s="5">
        <f>'2.대출관련수수료'!I21</f>
        <v/>
      </c>
      <c r="J24" s="4">
        <f>'2.대출관련수수료'!J21</f>
        <v/>
      </c>
      <c r="K24" s="4">
        <f>'2.대출관련수수료'!K21</f>
        <v/>
      </c>
      <c r="L24" s="6">
        <f>'2.대출관련수수료'!L21</f>
        <v/>
      </c>
      <c r="M24" s="6">
        <f>'2.대출관련수수료'!M21</f>
        <v/>
      </c>
      <c r="N24" s="5">
        <f>'2.대출관련수수료'!N21</f>
        <v/>
      </c>
      <c r="O24" s="4" t="inlineStr">
        <is>
          <t>대출관련수수료</t>
        </is>
      </c>
    </row>
    <row r="25">
      <c r="A25" s="4" t="n">
        <v>23</v>
      </c>
      <c r="B25" s="5">
        <f>'2.대출관련수수료'!B22</f>
        <v/>
      </c>
      <c r="C25" s="4">
        <f>IF('2.대출관련수수료'!C22="","",'2.대출관련수수료'!C22)</f>
        <v/>
      </c>
      <c r="D25" s="6">
        <f>'2.대출관련수수료'!D22</f>
        <v/>
      </c>
      <c r="E25" s="4">
        <f>'2.대출관련수수료'!E22</f>
        <v/>
      </c>
      <c r="F25" s="4">
        <f>'2.대출관련수수료'!F22</f>
        <v/>
      </c>
      <c r="G25" s="4">
        <f>'2.대출관련수수료'!G22</f>
        <v/>
      </c>
      <c r="H25" s="4">
        <f>'2.대출관련수수료'!H22</f>
        <v/>
      </c>
      <c r="I25" s="5">
        <f>'2.대출관련수수료'!I22</f>
        <v/>
      </c>
      <c r="J25" s="4">
        <f>'2.대출관련수수료'!J22</f>
        <v/>
      </c>
      <c r="K25" s="4">
        <f>'2.대출관련수수료'!K22</f>
        <v/>
      </c>
      <c r="L25" s="6">
        <f>'2.대출관련수수료'!L22</f>
        <v/>
      </c>
      <c r="M25" s="6">
        <f>'2.대출관련수수료'!M22</f>
        <v/>
      </c>
      <c r="N25" s="5">
        <f>'2.대출관련수수료'!N22</f>
        <v/>
      </c>
      <c r="O25" s="4" t="inlineStr">
        <is>
          <t>대출관련수수료</t>
        </is>
      </c>
    </row>
    <row r="26">
      <c r="A26" s="4" t="n">
        <v>24</v>
      </c>
      <c r="B26" s="5">
        <f>'2.대출관련수수료'!B23</f>
        <v/>
      </c>
      <c r="C26" s="4">
        <f>IF('2.대출관련수수료'!C23="","",'2.대출관련수수료'!C23)</f>
        <v/>
      </c>
      <c r="D26" s="6">
        <f>'2.대출관련수수료'!D23</f>
        <v/>
      </c>
      <c r="E26" s="4">
        <f>'2.대출관련수수료'!E23</f>
        <v/>
      </c>
      <c r="F26" s="4">
        <f>'2.대출관련수수료'!F23</f>
        <v/>
      </c>
      <c r="G26" s="4">
        <f>'2.대출관련수수료'!G23</f>
        <v/>
      </c>
      <c r="H26" s="4">
        <f>'2.대출관련수수료'!H23</f>
        <v/>
      </c>
      <c r="I26" s="5">
        <f>'2.대출관련수수료'!I23</f>
        <v/>
      </c>
      <c r="J26" s="4">
        <f>'2.대출관련수수료'!J23</f>
        <v/>
      </c>
      <c r="K26" s="4">
        <f>'2.대출관련수수료'!K23</f>
        <v/>
      </c>
      <c r="L26" s="6">
        <f>'2.대출관련수수료'!L23</f>
        <v/>
      </c>
      <c r="M26" s="6">
        <f>'2.대출관련수수료'!M23</f>
        <v/>
      </c>
      <c r="N26" s="5">
        <f>'2.대출관련수수료'!N23</f>
        <v/>
      </c>
      <c r="O26" s="4" t="inlineStr">
        <is>
          <t>대출관련수수료</t>
        </is>
      </c>
    </row>
    <row r="27">
      <c r="A27" s="4" t="n">
        <v>25</v>
      </c>
      <c r="B27" s="5">
        <f>'2.대출관련수수료'!B24</f>
        <v/>
      </c>
      <c r="C27" s="4">
        <f>IF('2.대출관련수수료'!C24="","",'2.대출관련수수료'!C24)</f>
        <v/>
      </c>
      <c r="D27" s="6">
        <f>'2.대출관련수수료'!D24</f>
        <v/>
      </c>
      <c r="E27" s="4">
        <f>'2.대출관련수수료'!E24</f>
        <v/>
      </c>
      <c r="F27" s="4">
        <f>'2.대출관련수수료'!F24</f>
        <v/>
      </c>
      <c r="G27" s="4">
        <f>'2.대출관련수수료'!G24</f>
        <v/>
      </c>
      <c r="H27" s="4">
        <f>'2.대출관련수수료'!H24</f>
        <v/>
      </c>
      <c r="I27" s="5">
        <f>'2.대출관련수수료'!I24</f>
        <v/>
      </c>
      <c r="J27" s="4">
        <f>'2.대출관련수수료'!J24</f>
        <v/>
      </c>
      <c r="K27" s="4">
        <f>'2.대출관련수수료'!K24</f>
        <v/>
      </c>
      <c r="L27" s="6">
        <f>'2.대출관련수수료'!L24</f>
        <v/>
      </c>
      <c r="M27" s="6">
        <f>'2.대출관련수수료'!M24</f>
        <v/>
      </c>
      <c r="N27" s="5">
        <f>'2.대출관련수수료'!N24</f>
        <v/>
      </c>
      <c r="O27" s="4" t="inlineStr">
        <is>
          <t>대출관련수수료</t>
        </is>
      </c>
    </row>
    <row r="28">
      <c r="A28" s="4" t="n">
        <v>26</v>
      </c>
      <c r="B28" s="5">
        <f>'2.대출관련수수료'!B25</f>
        <v/>
      </c>
      <c r="C28" s="4">
        <f>IF('2.대출관련수수료'!C25="","",'2.대출관련수수료'!C25)</f>
        <v/>
      </c>
      <c r="D28" s="6">
        <f>'2.대출관련수수료'!D25</f>
        <v/>
      </c>
      <c r="E28" s="4">
        <f>'2.대출관련수수료'!E25</f>
        <v/>
      </c>
      <c r="F28" s="4">
        <f>'2.대출관련수수료'!F25</f>
        <v/>
      </c>
      <c r="G28" s="4">
        <f>'2.대출관련수수료'!G25</f>
        <v/>
      </c>
      <c r="H28" s="4">
        <f>'2.대출관련수수료'!H25</f>
        <v/>
      </c>
      <c r="I28" s="5">
        <f>'2.대출관련수수료'!I25</f>
        <v/>
      </c>
      <c r="J28" s="4">
        <f>'2.대출관련수수료'!J25</f>
        <v/>
      </c>
      <c r="K28" s="4">
        <f>'2.대출관련수수료'!K25</f>
        <v/>
      </c>
      <c r="L28" s="6">
        <f>'2.대출관련수수료'!L25</f>
        <v/>
      </c>
      <c r="M28" s="6">
        <f>'2.대출관련수수료'!M25</f>
        <v/>
      </c>
      <c r="N28" s="5">
        <f>'2.대출관련수수료'!N25</f>
        <v/>
      </c>
      <c r="O28" s="4" t="inlineStr">
        <is>
          <t>대출관련수수료</t>
        </is>
      </c>
    </row>
    <row r="29">
      <c r="A29" s="4" t="n">
        <v>27</v>
      </c>
      <c r="B29" s="5">
        <f>'2.대출관련수수료'!B26</f>
        <v/>
      </c>
      <c r="C29" s="4">
        <f>IF('2.대출관련수수료'!C26="","",'2.대출관련수수료'!C26)</f>
        <v/>
      </c>
      <c r="D29" s="6">
        <f>'2.대출관련수수료'!D26</f>
        <v/>
      </c>
      <c r="E29" s="4">
        <f>'2.대출관련수수료'!E26</f>
        <v/>
      </c>
      <c r="F29" s="4">
        <f>'2.대출관련수수료'!F26</f>
        <v/>
      </c>
      <c r="G29" s="4">
        <f>'2.대출관련수수료'!G26</f>
        <v/>
      </c>
      <c r="H29" s="4">
        <f>'2.대출관련수수료'!H26</f>
        <v/>
      </c>
      <c r="I29" s="5">
        <f>'2.대출관련수수료'!I26</f>
        <v/>
      </c>
      <c r="J29" s="4">
        <f>'2.대출관련수수료'!J26</f>
        <v/>
      </c>
      <c r="K29" s="4">
        <f>'2.대출관련수수료'!K26</f>
        <v/>
      </c>
      <c r="L29" s="6">
        <f>'2.대출관련수수료'!L26</f>
        <v/>
      </c>
      <c r="M29" s="6">
        <f>'2.대출관련수수료'!M26</f>
        <v/>
      </c>
      <c r="N29" s="5">
        <f>'2.대출관련수수료'!N26</f>
        <v/>
      </c>
      <c r="O29" s="4" t="inlineStr">
        <is>
          <t>대출관련수수료</t>
        </is>
      </c>
    </row>
    <row r="30">
      <c r="A30" s="4" t="n">
        <v>28</v>
      </c>
      <c r="B30" s="5">
        <f>'2.대출관련수수료'!B27</f>
        <v/>
      </c>
      <c r="C30" s="4">
        <f>IF('2.대출관련수수료'!C27="","",'2.대출관련수수료'!C27)</f>
        <v/>
      </c>
      <c r="D30" s="6">
        <f>'2.대출관련수수료'!D27</f>
        <v/>
      </c>
      <c r="E30" s="4">
        <f>'2.대출관련수수료'!E27</f>
        <v/>
      </c>
      <c r="F30" s="4">
        <f>'2.대출관련수수료'!F27</f>
        <v/>
      </c>
      <c r="G30" s="4">
        <f>'2.대출관련수수료'!G27</f>
        <v/>
      </c>
      <c r="H30" s="4">
        <f>'2.대출관련수수료'!H27</f>
        <v/>
      </c>
      <c r="I30" s="5">
        <f>'2.대출관련수수료'!I27</f>
        <v/>
      </c>
      <c r="J30" s="4">
        <f>'2.대출관련수수료'!J27</f>
        <v/>
      </c>
      <c r="K30" s="4">
        <f>'2.대출관련수수료'!K27</f>
        <v/>
      </c>
      <c r="L30" s="6">
        <f>'2.대출관련수수료'!L27</f>
        <v/>
      </c>
      <c r="M30" s="6">
        <f>'2.대출관련수수료'!M27</f>
        <v/>
      </c>
      <c r="N30" s="5">
        <f>'2.대출관련수수료'!N27</f>
        <v/>
      </c>
      <c r="O30" s="4" t="inlineStr">
        <is>
          <t>대출관련수수료</t>
        </is>
      </c>
    </row>
    <row r="31">
      <c r="A31" s="4" t="n">
        <v>29</v>
      </c>
      <c r="B31" s="5">
        <f>'2.대출관련수수료'!B28</f>
        <v/>
      </c>
      <c r="C31" s="4">
        <f>IF('2.대출관련수수료'!C28="","",'2.대출관련수수료'!C28)</f>
        <v/>
      </c>
      <c r="D31" s="6">
        <f>'2.대출관련수수료'!D28</f>
        <v/>
      </c>
      <c r="E31" s="4">
        <f>'2.대출관련수수료'!E28</f>
        <v/>
      </c>
      <c r="F31" s="4">
        <f>'2.대출관련수수료'!F28</f>
        <v/>
      </c>
      <c r="G31" s="4">
        <f>'2.대출관련수수료'!G28</f>
        <v/>
      </c>
      <c r="H31" s="4">
        <f>'2.대출관련수수료'!H28</f>
        <v/>
      </c>
      <c r="I31" s="5">
        <f>'2.대출관련수수료'!I28</f>
        <v/>
      </c>
      <c r="J31" s="4">
        <f>'2.대출관련수수료'!J28</f>
        <v/>
      </c>
      <c r="K31" s="4">
        <f>'2.대출관련수수료'!K28</f>
        <v/>
      </c>
      <c r="L31" s="6">
        <f>'2.대출관련수수료'!L28</f>
        <v/>
      </c>
      <c r="M31" s="6">
        <f>'2.대출관련수수료'!M28</f>
        <v/>
      </c>
      <c r="N31" s="5">
        <f>'2.대출관련수수료'!N28</f>
        <v/>
      </c>
      <c r="O31" s="4" t="inlineStr">
        <is>
          <t>대출관련수수료</t>
        </is>
      </c>
    </row>
    <row r="32">
      <c r="A32" s="4" t="n">
        <v>30</v>
      </c>
      <c r="B32" s="5">
        <f>'3.담보신탁보수'!B3</f>
        <v/>
      </c>
      <c r="C32" s="4">
        <f>IF('3.담보신탁보수'!C3="","",'3.담보신탁보수'!C3)</f>
        <v/>
      </c>
      <c r="D32" s="6">
        <f>'3.담보신탁보수'!D3</f>
        <v/>
      </c>
      <c r="E32" s="4">
        <f>'3.담보신탁보수'!E3</f>
        <v/>
      </c>
      <c r="F32" s="4">
        <f>'3.담보신탁보수'!F3</f>
        <v/>
      </c>
      <c r="G32" s="4">
        <f>'3.담보신탁보수'!G3</f>
        <v/>
      </c>
      <c r="H32" s="4">
        <f>'3.담보신탁보수'!H3</f>
        <v/>
      </c>
      <c r="I32" s="5">
        <f>'3.담보신탁보수'!I3</f>
        <v/>
      </c>
      <c r="J32" s="4">
        <f>'3.담보신탁보수'!J3</f>
        <v/>
      </c>
      <c r="K32" s="4">
        <f>'3.담보신탁보수'!K3</f>
        <v/>
      </c>
      <c r="L32" s="6">
        <f>'3.담보신탁보수'!L3</f>
        <v/>
      </c>
      <c r="M32" s="6">
        <f>'3.담보신탁보수'!M3</f>
        <v/>
      </c>
      <c r="N32" s="5">
        <f>'3.담보신탁보수'!N3</f>
        <v/>
      </c>
      <c r="O32" s="4" t="inlineStr">
        <is>
          <t>담보신탁보수</t>
        </is>
      </c>
    </row>
    <row r="33">
      <c r="A33" s="4" t="n">
        <v>31</v>
      </c>
      <c r="B33" s="5">
        <f>'4.이자유보금예치'!B3</f>
        <v/>
      </c>
      <c r="C33" s="4">
        <f>IF('4.이자유보금예치'!C3="","",'4.이자유보금예치'!C3)</f>
        <v/>
      </c>
      <c r="D33" s="6">
        <f>'4.이자유보금예치'!D3</f>
        <v/>
      </c>
      <c r="E33" s="4">
        <f>'4.이자유보금예치'!E3</f>
        <v/>
      </c>
      <c r="F33" s="4">
        <f>'4.이자유보금예치'!F3</f>
        <v/>
      </c>
      <c r="G33" s="4">
        <f>'4.이자유보금예치'!G3</f>
        <v/>
      </c>
      <c r="H33" s="4">
        <f>'4.이자유보금예치'!H3</f>
        <v/>
      </c>
      <c r="I33" s="5">
        <f>'4.이자유보금예치'!I3</f>
        <v/>
      </c>
      <c r="J33" s="4">
        <f>'4.이자유보금예치'!J3</f>
        <v/>
      </c>
      <c r="K33" s="4">
        <f>'4.이자유보금예치'!K3</f>
        <v/>
      </c>
      <c r="L33" s="6">
        <f>'4.이자유보금예치'!L3</f>
        <v/>
      </c>
      <c r="M33" s="6">
        <f>'4.이자유보금예치'!M3</f>
        <v/>
      </c>
      <c r="N33" s="5">
        <f>'4.이자유보금예치'!N3</f>
        <v/>
      </c>
      <c r="O33" s="4" t="inlineStr">
        <is>
          <t>이자유보금 예치</t>
        </is>
      </c>
    </row>
    <row r="34">
      <c r="A34" s="4" t="n">
        <v>32</v>
      </c>
      <c r="B34" s="5">
        <f>'4.이자유보금예치'!B4</f>
        <v/>
      </c>
      <c r="C34" s="4">
        <f>IF('4.이자유보금예치'!C4="","",'4.이자유보금예치'!C4)</f>
        <v/>
      </c>
      <c r="D34" s="6">
        <f>'4.이자유보금예치'!D4</f>
        <v/>
      </c>
      <c r="E34" s="4">
        <f>'4.이자유보금예치'!E4</f>
        <v/>
      </c>
      <c r="F34" s="4">
        <f>'4.이자유보금예치'!F4</f>
        <v/>
      </c>
      <c r="G34" s="4">
        <f>'4.이자유보금예치'!G4</f>
        <v/>
      </c>
      <c r="H34" s="4">
        <f>'4.이자유보금예치'!H4</f>
        <v/>
      </c>
      <c r="I34" s="5">
        <f>'4.이자유보금예치'!I4</f>
        <v/>
      </c>
      <c r="J34" s="4">
        <f>'4.이자유보금예치'!J4</f>
        <v/>
      </c>
      <c r="K34" s="4">
        <f>'4.이자유보금예치'!K4</f>
        <v/>
      </c>
      <c r="L34" s="6">
        <f>'4.이자유보금예치'!L4</f>
        <v/>
      </c>
      <c r="M34" s="6">
        <f>'4.이자유보금예치'!M4</f>
        <v/>
      </c>
      <c r="N34" s="5">
        <f>'4.이자유보금예치'!N4</f>
        <v/>
      </c>
      <c r="O34" s="4" t="inlineStr">
        <is>
          <t>이자유보금 예치</t>
        </is>
      </c>
    </row>
    <row r="35">
      <c r="A35" s="4" t="n">
        <v>33</v>
      </c>
      <c r="B35" s="5">
        <f>'4.이자유보금예치'!B5</f>
        <v/>
      </c>
      <c r="C35" s="4">
        <f>IF('4.이자유보금예치'!C5="","",'4.이자유보금예치'!C5)</f>
        <v/>
      </c>
      <c r="D35" s="6">
        <f>'4.이자유보금예치'!D5</f>
        <v/>
      </c>
      <c r="E35" s="4">
        <f>'4.이자유보금예치'!E5</f>
        <v/>
      </c>
      <c r="F35" s="4">
        <f>'4.이자유보금예치'!F5</f>
        <v/>
      </c>
      <c r="G35" s="4">
        <f>'4.이자유보금예치'!G5</f>
        <v/>
      </c>
      <c r="H35" s="4">
        <f>'4.이자유보금예치'!H5</f>
        <v/>
      </c>
      <c r="I35" s="5">
        <f>'4.이자유보금예치'!I5</f>
        <v/>
      </c>
      <c r="J35" s="4">
        <f>'4.이자유보금예치'!J5</f>
        <v/>
      </c>
      <c r="K35" s="4">
        <f>'4.이자유보금예치'!K5</f>
        <v/>
      </c>
      <c r="L35" s="6">
        <f>'4.이자유보금예치'!L5</f>
        <v/>
      </c>
      <c r="M35" s="6">
        <f>'4.이자유보금예치'!M5</f>
        <v/>
      </c>
      <c r="N35" s="5">
        <f>'4.이자유보금예치'!N5</f>
        <v/>
      </c>
      <c r="O35" s="4" t="inlineStr">
        <is>
          <t>이자유보금 예치</t>
        </is>
      </c>
    </row>
    <row r="36">
      <c r="A36" s="8" t="n"/>
      <c r="B36" s="8" t="inlineStr">
        <is>
          <t>합계</t>
        </is>
      </c>
      <c r="C36" s="8" t="n"/>
      <c r="D36" s="9">
        <f>SUM(D3:D35)</f>
        <v/>
      </c>
      <c r="E36" s="8" t="n"/>
      <c r="F36" s="8" t="n"/>
      <c r="G36" s="8" t="n"/>
      <c r="H36" s="8" t="n"/>
      <c r="I36" s="8" t="n"/>
      <c r="J36" s="8" t="n"/>
      <c r="K36" s="8" t="n"/>
      <c r="L36" s="9">
        <f>SUM(L3:L35)</f>
        <v/>
      </c>
      <c r="M36" s="9">
        <f>SUM(M3:M35)</f>
        <v/>
      </c>
      <c r="N36" s="8" t="n"/>
      <c r="O36" s="8" t="n"/>
    </row>
    <row r="37">
      <c r="A37" s="10" t="n"/>
      <c r="B37" s="10" t="inlineStr">
        <is>
          <t xml:space="preserve">  └ Equity 인수수수료</t>
        </is>
      </c>
      <c r="C37" s="10" t="n"/>
      <c r="D37" s="11">
        <f>SUMIF($O$3:$O$35,"Equity 인수수수료",D$3:D$35)</f>
        <v/>
      </c>
      <c r="E37" s="10" t="n"/>
      <c r="F37" s="10" t="n"/>
      <c r="G37" s="10" t="n"/>
      <c r="H37" s="10" t="n"/>
      <c r="I37" s="10" t="n"/>
      <c r="J37" s="10" t="n"/>
      <c r="K37" s="10" t="n"/>
      <c r="L37" s="11">
        <f>SUMIF($O$3:$O$35,"Equity 인수수수료",L$3:L$35)</f>
        <v/>
      </c>
      <c r="M37" s="11">
        <f>SUMIF($O$3:$O$35,"Equity 인수수수료",M$3:M$35)</f>
        <v/>
      </c>
      <c r="N37" s="10" t="n"/>
      <c r="O37" s="10" t="n"/>
    </row>
    <row r="38">
      <c r="A38" s="10" t="n"/>
      <c r="B38" s="10" t="inlineStr">
        <is>
          <t xml:space="preserve">  └ 대출관련수수료</t>
        </is>
      </c>
      <c r="C38" s="10" t="n"/>
      <c r="D38" s="11">
        <f>SUMIF($O$3:$O$35,"대출관련수수료",D$3:D$35)</f>
        <v/>
      </c>
      <c r="E38" s="10" t="n"/>
      <c r="F38" s="10" t="n"/>
      <c r="G38" s="10" t="n"/>
      <c r="H38" s="10" t="n"/>
      <c r="I38" s="10" t="n"/>
      <c r="J38" s="10" t="n"/>
      <c r="K38" s="10" t="n"/>
      <c r="L38" s="11">
        <f>SUMIF($O$3:$O$35,"대출관련수수료",L$3:L$35)</f>
        <v/>
      </c>
      <c r="M38" s="11">
        <f>SUMIF($O$3:$O$35,"대출관련수수료",M$3:M$35)</f>
        <v/>
      </c>
      <c r="N38" s="10" t="n"/>
      <c r="O38" s="10" t="n"/>
    </row>
    <row r="39">
      <c r="A39" s="10" t="n"/>
      <c r="B39" s="10" t="inlineStr">
        <is>
          <t xml:space="preserve">  └ 담보신탁보수</t>
        </is>
      </c>
      <c r="C39" s="10" t="n"/>
      <c r="D39" s="11">
        <f>SUMIF($O$3:$O$35,"담보신탁보수",D$3:D$35)</f>
        <v/>
      </c>
      <c r="E39" s="10" t="n"/>
      <c r="F39" s="10" t="n"/>
      <c r="G39" s="10" t="n"/>
      <c r="H39" s="10" t="n"/>
      <c r="I39" s="10" t="n"/>
      <c r="J39" s="10" t="n"/>
      <c r="K39" s="10" t="n"/>
      <c r="L39" s="11">
        <f>SUMIF($O$3:$O$35,"담보신탁보수",L$3:L$35)</f>
        <v/>
      </c>
      <c r="M39" s="11">
        <f>SUMIF($O$3:$O$35,"담보신탁보수",M$3:M$35)</f>
        <v/>
      </c>
      <c r="N39" s="10" t="n"/>
      <c r="O39" s="10" t="n"/>
    </row>
    <row r="40">
      <c r="A40" s="10" t="n"/>
      <c r="B40" s="10" t="inlineStr">
        <is>
          <t xml:space="preserve">  └ 이자유보금 예치</t>
        </is>
      </c>
      <c r="C40" s="10" t="n"/>
      <c r="D40" s="11">
        <f>SUMIF($O$3:$O$35,"이자유보금 예치",D$3:D$35)</f>
        <v/>
      </c>
      <c r="E40" s="10" t="n"/>
      <c r="F40" s="10" t="n"/>
      <c r="G40" s="10" t="n"/>
      <c r="H40" s="10" t="n"/>
      <c r="I40" s="10" t="n"/>
      <c r="J40" s="10" t="n"/>
      <c r="K40" s="10" t="n"/>
      <c r="L40" s="11">
        <f>SUMIF($O$3:$O$35,"이자유보금 예치",L$3:L$35)</f>
        <v/>
      </c>
      <c r="M40" s="11">
        <f>SUMIF($O$3:$O$35,"이자유보금 예치",M$3:M$35)</f>
        <v/>
      </c>
      <c r="N40" s="10" t="n"/>
      <c r="O40" s="10" t="n"/>
    </row>
    <row r="42">
      <c r="A42" s="12" t="inlineStr">
        <is>
          <t>· 1~4탭 데이터 행을 수식으로 가져옵니다. 금액·계좌는 각 탭에서 고치면 여기도 바뀝니다.</t>
        </is>
      </c>
    </row>
    <row r="43">
      <c r="A43" s="12" t="inlineStr">
        <is>
          <t>· '금액'은 공급가액, '실제 이체금액'은 과세 건 부가세 10% 포함 금액입니다. 삼성증권 인수수수료는 면세(비과세) 기준입니다.</t>
        </is>
      </c>
    </row>
    <row r="44">
      <c r="A44" s="12" t="inlineStr">
        <is>
          <t>· 근거(약정서 조항·통장사본)는 각 탭 O열을 참고하세요.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8" customWidth="1" min="3" max="3"/>
    <col width="15" customWidth="1" min="4" max="4"/>
    <col width="18" customWidth="1" min="5" max="5"/>
    <col width="60" customWidth="1" min="6" max="6"/>
  </cols>
  <sheetData>
    <row r="1">
      <c r="A1" s="13" t="inlineStr">
        <is>
          <t>기표일(2026-10-29) 수수료·보수·이자유보금 이체내역 요약</t>
        </is>
      </c>
    </row>
    <row r="3">
      <c r="A3" s="3" t="inlineStr">
        <is>
          <t>구분</t>
        </is>
      </c>
      <c r="B3" s="3" t="inlineStr">
        <is>
          <t>건수</t>
        </is>
      </c>
      <c r="C3" s="3" t="inlineStr">
        <is>
          <t>금액(공급가액)</t>
        </is>
      </c>
      <c r="D3" s="3" t="inlineStr">
        <is>
          <t>부가세</t>
        </is>
      </c>
      <c r="E3" s="3" t="inlineStr">
        <is>
          <t>실제 이체금액</t>
        </is>
      </c>
      <c r="F3" s="3" t="inlineStr">
        <is>
          <t>비고</t>
        </is>
      </c>
    </row>
    <row r="4">
      <c r="A4" s="10" t="inlineStr">
        <is>
          <t>1.Equity인수수수료</t>
        </is>
      </c>
      <c r="B4" s="14" t="n">
        <v>3</v>
      </c>
      <c r="C4" s="11">
        <f>'1.Equity인수수수료'!D9</f>
        <v/>
      </c>
      <c r="D4" s="11">
        <f>'1.Equity인수수수료'!L9</f>
        <v/>
      </c>
      <c r="E4" s="11">
        <f>'1.Equity인수수수료'!M9</f>
        <v/>
      </c>
      <c r="F4" s="10" t="inlineStr">
        <is>
          <t>우리투자증권·엠지캐피탈 과세(계약서 '부가가치세 별도'), 삼성증권 면세(비과세) 기준</t>
        </is>
      </c>
    </row>
    <row r="5">
      <c r="A5" s="10" t="inlineStr">
        <is>
          <t>2.대출관련수수료</t>
        </is>
      </c>
      <c r="B5" s="14" t="n">
        <v>26</v>
      </c>
      <c r="C5" s="11">
        <f>'2.대출관련수수료'!D32</f>
        <v/>
      </c>
      <c r="D5" s="11">
        <f>'2.대출관련수수료'!L32</f>
        <v/>
      </c>
      <c r="E5" s="11">
        <f>'2.대출관련수수료'!M32</f>
        <v/>
      </c>
      <c r="F5" s="10" t="inlineStr">
        <is>
          <t>25개 대주(우리은행 주선·참여 2건), 전부 부가가치세 없음</t>
        </is>
      </c>
    </row>
    <row r="6">
      <c r="A6" s="10" t="inlineStr">
        <is>
          <t>3.담보신탁보수</t>
        </is>
      </c>
      <c r="B6" s="14" t="n">
        <v>1</v>
      </c>
      <c r="C6" s="11">
        <f>'3.담보신탁보수'!D7</f>
        <v/>
      </c>
      <c r="D6" s="11">
        <f>'3.담보신탁보수'!L7</f>
        <v/>
      </c>
      <c r="E6" s="11">
        <f>'3.담보신탁보수'!M7</f>
        <v/>
      </c>
      <c r="F6" s="10" t="inlineStr">
        <is>
          <t>신탁재산 관리보수, 부가가치세 없음</t>
        </is>
      </c>
    </row>
    <row r="7">
      <c r="A7" s="10" t="inlineStr">
        <is>
          <t>4.이자유보금예치</t>
        </is>
      </c>
      <c r="B7" s="14" t="n">
        <v>3</v>
      </c>
      <c r="C7" s="11">
        <f>'4.이자유보금예치'!D9</f>
        <v/>
      </c>
      <c r="D7" s="11">
        <f>'4.이자유보금예치'!L9</f>
        <v/>
      </c>
      <c r="E7" s="11">
        <f>'4.이자유보금예치'!M9</f>
        <v/>
      </c>
      <c r="F7" s="10" t="inlineStr">
        <is>
          <t>Tranche A(A-1+A-2)·B 이자유보계좌</t>
        </is>
      </c>
    </row>
    <row r="8">
      <c r="A8" s="8" t="inlineStr">
        <is>
          <t>합계</t>
        </is>
      </c>
      <c r="B8" s="8">
        <f>SUM(B4:B7)</f>
        <v/>
      </c>
      <c r="C8" s="9">
        <f>SUM(C4:C7)</f>
        <v/>
      </c>
      <c r="D8" s="9">
        <f>SUM(D4:D7)</f>
        <v/>
      </c>
      <c r="E8" s="9">
        <f>SUM(E4:E7)</f>
        <v/>
      </c>
      <c r="F8" s="8" t="n"/>
    </row>
    <row r="10">
      <c r="A10" s="12" t="inlineStr">
        <is>
          <t>· 각 탭 A~K열은 운용역 제공 이체 양식(순번·항목·계정·금액·과세유형·출금처·출금은행·출금계좌·입금처·입금은행·입금계좌)과 같고, L~O열(부가세·실제 이체금액·지급기한·근거)은 확인용으로 덧붙였습니다.</t>
        </is>
      </c>
    </row>
    <row r="11">
      <c r="A11" s="12" t="inlineStr">
        <is>
          <t>· '금액'은 양식 예시(인수수수료 36,000,000 과세)와 같이 공급가액 기준이며, 과세 건은 부가세 10%를 더한 '실제 이체금액'을 함께 표시합니다.</t>
        </is>
      </c>
    </row>
    <row r="12">
      <c r="A12" s="12" t="inlineStr">
        <is>
          <t>· 출금처는 양식 기본값(운영계좌 우리은행 1005-804-963776)으로 채웠습니다. 계정 열은 비워 두었습니다.</t>
        </is>
      </c>
    </row>
    <row r="13">
      <c r="A13" s="12" t="inlineStr">
        <is>
          <t>· 노란 칸은 확인이 필요한 항목입니다(신협중앙회 통장사본 미접수). 삼성증권 인수수수료는 면세(비과세) 기준으로 반영했습니다.</t>
        </is>
      </c>
    </row>
    <row r="14">
      <c r="A14" s="12" t="inlineStr">
        <is>
          <t>· '0.통합리스트' 탭은 1~4탭 데이터 행을 수식으로 그대로 가져오므로, 각 탭을 고치면 자동 반영됩니다(탭에 행을 추가하면 통합리스트에도 행 추가 필요).</t>
        </is>
      </c>
    </row>
    <row r="15">
      <c r="A15" s="12" t="inlineStr">
        <is>
          <t>· 수익 확약이 아닌 이체 준비용 집계표이며, 금액·계좌는 체결본 약정서와 통장사본을 기준으로 합니다.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7" customWidth="1" min="4" max="4"/>
    <col width="10" customWidth="1" min="5" max="5"/>
    <col width="11" customWidth="1" min="6" max="6"/>
    <col width="10" customWidth="1" min="7" max="7"/>
    <col width="17" customWidth="1" min="8" max="8"/>
    <col width="30" customWidth="1" min="9" max="9"/>
    <col width="10" customWidth="1" min="10" max="10"/>
    <col width="20" customWidth="1" min="11" max="11"/>
    <col width="14" customWidth="1" min="12" max="12"/>
    <col width="17" customWidth="1" min="13" max="13"/>
    <col width="22" customWidth="1" min="14" max="14"/>
    <col width="60" customWidth="1" min="15" max="15"/>
  </cols>
  <sheetData>
    <row r="1">
      <c r="A1" s="1" t="inlineStr">
        <is>
          <t>필수입력</t>
        </is>
      </c>
      <c r="B1" s="2" t="inlineStr">
        <is>
          <t>Equity 인수수수료 이체내역 (종류주식 인수계약 체결본 2026-10-26 기준)</t>
        </is>
      </c>
    </row>
    <row r="2">
      <c r="A2" s="3" t="inlineStr">
        <is>
          <t>순번</t>
        </is>
      </c>
      <c r="B2" s="3" t="inlineStr">
        <is>
          <t>항목</t>
        </is>
      </c>
      <c r="C2" s="3" t="inlineStr">
        <is>
          <t>계정</t>
        </is>
      </c>
      <c r="D2" s="3" t="inlineStr">
        <is>
          <t>금액</t>
        </is>
      </c>
      <c r="E2" s="3" t="inlineStr">
        <is>
          <t>과세유형</t>
        </is>
      </c>
      <c r="F2" s="3" t="inlineStr">
        <is>
          <t>출금처</t>
        </is>
      </c>
      <c r="G2" s="3" t="inlineStr">
        <is>
          <t>출금은행</t>
        </is>
      </c>
      <c r="H2" s="3" t="inlineStr">
        <is>
          <t>출금계좌</t>
        </is>
      </c>
      <c r="I2" s="3" t="inlineStr">
        <is>
          <t>입금처</t>
        </is>
      </c>
      <c r="J2" s="3" t="inlineStr">
        <is>
          <t>입금은행</t>
        </is>
      </c>
      <c r="K2" s="3" t="inlineStr">
        <is>
          <t>입금계좌</t>
        </is>
      </c>
      <c r="L2" s="3" t="inlineStr">
        <is>
          <t>부가세(10%)</t>
        </is>
      </c>
      <c r="M2" s="3" t="inlineStr">
        <is>
          <t>실제 이체금액</t>
        </is>
      </c>
      <c r="N2" s="3" t="inlineStr">
        <is>
          <t>지급기한</t>
        </is>
      </c>
      <c r="O2" s="3" t="inlineStr">
        <is>
          <t>근거·비고</t>
        </is>
      </c>
    </row>
    <row r="3">
      <c r="A3" s="4" t="n">
        <v>1</v>
      </c>
      <c r="B3" s="5" t="inlineStr">
        <is>
          <t>인수수수료(제1종 종류주식, 주선 및 잔액인수)</t>
        </is>
      </c>
      <c r="C3" s="4" t="inlineStr"/>
      <c r="D3" s="6" t="n">
        <v>480000000</v>
      </c>
      <c r="E3" s="4" t="inlineStr">
        <is>
          <t>과세</t>
        </is>
      </c>
      <c r="F3" s="4" t="inlineStr">
        <is>
          <t>운영계좌</t>
        </is>
      </c>
      <c r="G3" s="4" t="inlineStr">
        <is>
          <t>우리은행</t>
        </is>
      </c>
      <c r="H3" s="4" t="inlineStr">
        <is>
          <t>1005-804-963776</t>
        </is>
      </c>
      <c r="I3" s="5" t="inlineStr">
        <is>
          <t>주식회사 우리투자증권</t>
        </is>
      </c>
      <c r="J3" s="4" t="inlineStr">
        <is>
          <t>우리은행</t>
        </is>
      </c>
      <c r="K3" s="4" t="inlineStr">
        <is>
          <t>1003-700-005935</t>
        </is>
      </c>
      <c r="L3" s="6">
        <f>IF(E3="과세",ROUNDDOWN(D3*0.1,0),0)</f>
        <v/>
      </c>
      <c r="M3" s="6">
        <f>D3+L3</f>
        <v/>
      </c>
      <c r="N3" s="5" t="inlineStr">
        <is>
          <t>거래종결일로부터 1영업일 이내</t>
        </is>
      </c>
      <c r="O3" s="5" t="inlineStr">
        <is>
          <t>인수약정금 240억원 × 2% (부가가치세 별도). [채결본] 인수계약서(제1종 종류주식)_우리투자증권_20261026 제5조 제1항 / 계좌: 주식회사 우리투자증권_우리은행 계좌 사본</t>
        </is>
      </c>
    </row>
    <row r="4">
      <c r="A4" s="4" t="n">
        <v>2</v>
      </c>
      <c r="B4" s="5" t="inlineStr">
        <is>
          <t>인수수수료(제1종 종류주식)</t>
        </is>
      </c>
      <c r="C4" s="4" t="inlineStr"/>
      <c r="D4" s="6" t="n">
        <v>36000000</v>
      </c>
      <c r="E4" s="4" t="inlineStr">
        <is>
          <t>과세</t>
        </is>
      </c>
      <c r="F4" s="4" t="inlineStr">
        <is>
          <t>운영계좌</t>
        </is>
      </c>
      <c r="G4" s="4" t="inlineStr">
        <is>
          <t>우리은행</t>
        </is>
      </c>
      <c r="H4" s="4" t="inlineStr">
        <is>
          <t>1005-804-963776</t>
        </is>
      </c>
      <c r="I4" s="5" t="inlineStr">
        <is>
          <t>엠지캐피탈(주)</t>
        </is>
      </c>
      <c r="J4" s="4" t="inlineStr">
        <is>
          <t>우리은행</t>
        </is>
      </c>
      <c r="K4" s="4" t="inlineStr">
        <is>
          <t>894-000383-01-015</t>
        </is>
      </c>
      <c r="L4" s="6">
        <f>IF(E4="과세",ROUNDDOWN(D4*0.1,0),0)</f>
        <v/>
      </c>
      <c r="M4" s="6">
        <f>D4+L4</f>
        <v/>
      </c>
      <c r="N4" s="5" t="inlineStr">
        <is>
          <t>거래종결일로부터 5영업일 이내</t>
        </is>
      </c>
      <c r="O4" s="5" t="inlineStr">
        <is>
          <t>인수약정금 30억원 × 1.2% (부가가치세 별도). [채결본] 인수계약서(제1종 종류주식)_엠지캐피탈_20261026 제5조 / 계좌: [엠지캐피탈] 우리은행 모계좌 (계약서 기재 계좌와 동일)</t>
        </is>
      </c>
    </row>
    <row r="5">
      <c r="A5" s="4" t="n">
        <v>3</v>
      </c>
      <c r="B5" s="5" t="inlineStr">
        <is>
          <t>인수수수료(삼성증권, 제2종 종류주식 주선 및 잔액인수)</t>
        </is>
      </c>
      <c r="C5" s="4" t="inlineStr"/>
      <c r="D5" s="6" t="n">
        <v>1200000000</v>
      </c>
      <c r="E5" s="4" t="inlineStr">
        <is>
          <t>비과세</t>
        </is>
      </c>
      <c r="F5" s="4" t="inlineStr">
        <is>
          <t>운영계좌</t>
        </is>
      </c>
      <c r="G5" s="4" t="inlineStr">
        <is>
          <t>우리은행</t>
        </is>
      </c>
      <c r="H5" s="4" t="inlineStr">
        <is>
          <t>1005-804-963776</t>
        </is>
      </c>
      <c r="I5" s="5" t="inlineStr">
        <is>
          <t>삼성증권(주)</t>
        </is>
      </c>
      <c r="J5" s="4" t="inlineStr">
        <is>
          <t>우리은행</t>
        </is>
      </c>
      <c r="K5" s="4" t="inlineStr">
        <is>
          <t>061-219568-03-103</t>
        </is>
      </c>
      <c r="L5" s="6">
        <f>IF(E5="과세",ROUNDDOWN(D5*0.1,0),0)</f>
        <v/>
      </c>
      <c r="M5" s="6">
        <f>D5+L5</f>
        <v/>
      </c>
      <c r="N5" s="5" t="inlineStr">
        <is>
          <t>거래종결일로부터 5영업일 이내</t>
        </is>
      </c>
      <c r="O5" s="5" t="inlineStr">
        <is>
          <t>인수약정금 500억원 × 2.4%. [채결본] 주선 및 인수계약서_삼성증권_20261026 제5조(부가가치세 문구 없음). 면세 기준: 증권사의 주선(투자중개업)·잔액인수(투자매매업) 용역 → 금융용역 면세(부가가치세법 제26조 제1항 제11호, 시행령 제40조) [내부 검토, 삼성증권 계산서 발행 여부 확인] / 계좌: [삼성증권] 계좌사본_우리은행</t>
        </is>
      </c>
    </row>
    <row r="6">
      <c r="A6" s="4" t="n">
        <v>4</v>
      </c>
      <c r="B6" s="4" t="inlineStr"/>
      <c r="C6" s="4" t="inlineStr"/>
      <c r="D6" s="4" t="n"/>
      <c r="E6" s="4" t="inlineStr"/>
      <c r="F6" s="4" t="inlineStr">
        <is>
          <t>운영계좌</t>
        </is>
      </c>
      <c r="G6" s="4" t="inlineStr">
        <is>
          <t>우리은행</t>
        </is>
      </c>
      <c r="H6" s="4" t="inlineStr">
        <is>
          <t>1005-804-963776</t>
        </is>
      </c>
      <c r="I6" s="4" t="inlineStr"/>
      <c r="J6" s="4" t="inlineStr"/>
      <c r="K6" s="4" t="inlineStr"/>
      <c r="L6" s="4" t="n"/>
      <c r="M6" s="4" t="n"/>
      <c r="N6" s="4" t="inlineStr"/>
      <c r="O6" s="4" t="inlineStr"/>
    </row>
    <row r="7">
      <c r="A7" s="4" t="n">
        <v>5</v>
      </c>
      <c r="B7" s="4" t="inlineStr"/>
      <c r="C7" s="4" t="inlineStr"/>
      <c r="D7" s="4" t="n"/>
      <c r="E7" s="4" t="inlineStr"/>
      <c r="F7" s="4" t="inlineStr">
        <is>
          <t>운영계좌</t>
        </is>
      </c>
      <c r="G7" s="4" t="inlineStr">
        <is>
          <t>우리은행</t>
        </is>
      </c>
      <c r="H7" s="4" t="inlineStr">
        <is>
          <t>1005-804-963776</t>
        </is>
      </c>
      <c r="I7" s="4" t="inlineStr"/>
      <c r="J7" s="4" t="inlineStr"/>
      <c r="K7" s="4" t="inlineStr"/>
      <c r="L7" s="4" t="n"/>
      <c r="M7" s="4" t="n"/>
      <c r="N7" s="4" t="inlineStr"/>
      <c r="O7" s="4" t="inlineStr"/>
    </row>
    <row r="8">
      <c r="A8" s="4" t="n">
        <v>6</v>
      </c>
      <c r="B8" s="4" t="inlineStr"/>
      <c r="C8" s="4" t="inlineStr"/>
      <c r="D8" s="4" t="n"/>
      <c r="E8" s="4" t="inlineStr"/>
      <c r="F8" s="4" t="inlineStr">
        <is>
          <t>운영계좌</t>
        </is>
      </c>
      <c r="G8" s="4" t="inlineStr">
        <is>
          <t>우리은행</t>
        </is>
      </c>
      <c r="H8" s="4" t="inlineStr">
        <is>
          <t>1005-804-963776</t>
        </is>
      </c>
      <c r="I8" s="4" t="inlineStr"/>
      <c r="J8" s="4" t="inlineStr"/>
      <c r="K8" s="4" t="inlineStr"/>
      <c r="L8" s="4" t="n"/>
      <c r="M8" s="4" t="n"/>
      <c r="N8" s="4" t="inlineStr"/>
      <c r="O8" s="4" t="inlineStr"/>
    </row>
    <row r="9">
      <c r="A9" s="8" t="n"/>
      <c r="B9" s="8" t="inlineStr">
        <is>
          <t>합계</t>
        </is>
      </c>
      <c r="C9" s="8" t="n"/>
      <c r="D9" s="9">
        <f>SUM(D3:D8)</f>
        <v/>
      </c>
      <c r="E9" s="8" t="n"/>
      <c r="F9" s="8" t="n"/>
      <c r="G9" s="8" t="n"/>
      <c r="H9" s="8" t="n"/>
      <c r="I9" s="8" t="n"/>
      <c r="J9" s="8" t="n"/>
      <c r="K9" s="8" t="n"/>
      <c r="L9" s="9">
        <f>SUM(L3:L8)</f>
        <v/>
      </c>
      <c r="M9" s="9">
        <f>SUM(M3:M8)</f>
        <v/>
      </c>
      <c r="N9" s="8" t="n"/>
      <c r="O9" s="8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7" customWidth="1" min="4" max="4"/>
    <col width="10" customWidth="1" min="5" max="5"/>
    <col width="11" customWidth="1" min="6" max="6"/>
    <col width="10" customWidth="1" min="7" max="7"/>
    <col width="17" customWidth="1" min="8" max="8"/>
    <col width="30" customWidth="1" min="9" max="9"/>
    <col width="10" customWidth="1" min="10" max="10"/>
    <col width="20" customWidth="1" min="11" max="11"/>
    <col width="14" customWidth="1" min="12" max="12"/>
    <col width="17" customWidth="1" min="13" max="13"/>
    <col width="22" customWidth="1" min="14" max="14"/>
    <col width="60" customWidth="1" min="15" max="15"/>
  </cols>
  <sheetData>
    <row r="1">
      <c r="A1" s="1" t="inlineStr">
        <is>
          <t>필수입력</t>
        </is>
      </c>
      <c r="B1" s="2" t="inlineStr">
        <is>
          <t>대출관련수수료 이체내역 (수수료약정서 체결본 2026-10-27 기준, 25개 대주·26건)</t>
        </is>
      </c>
    </row>
    <row r="2">
      <c r="A2" s="3" t="inlineStr">
        <is>
          <t>순번</t>
        </is>
      </c>
      <c r="B2" s="3" t="inlineStr">
        <is>
          <t>항목</t>
        </is>
      </c>
      <c r="C2" s="3" t="inlineStr">
        <is>
          <t>계정</t>
        </is>
      </c>
      <c r="D2" s="3" t="inlineStr">
        <is>
          <t>금액</t>
        </is>
      </c>
      <c r="E2" s="3" t="inlineStr">
        <is>
          <t>과세유형</t>
        </is>
      </c>
      <c r="F2" s="3" t="inlineStr">
        <is>
          <t>출금처</t>
        </is>
      </c>
      <c r="G2" s="3" t="inlineStr">
        <is>
          <t>출금은행</t>
        </is>
      </c>
      <c r="H2" s="3" t="inlineStr">
        <is>
          <t>출금계좌</t>
        </is>
      </c>
      <c r="I2" s="3" t="inlineStr">
        <is>
          <t>입금처</t>
        </is>
      </c>
      <c r="J2" s="3" t="inlineStr">
        <is>
          <t>입금은행</t>
        </is>
      </c>
      <c r="K2" s="3" t="inlineStr">
        <is>
          <t>입금계좌</t>
        </is>
      </c>
      <c r="L2" s="3" t="inlineStr">
        <is>
          <t>부가세(10%)</t>
        </is>
      </c>
      <c r="M2" s="3" t="inlineStr">
        <is>
          <t>실제 이체금액</t>
        </is>
      </c>
      <c r="N2" s="3" t="inlineStr">
        <is>
          <t>지급기한</t>
        </is>
      </c>
      <c r="O2" s="3" t="inlineStr">
        <is>
          <t>근거·비고</t>
        </is>
      </c>
    </row>
    <row r="3">
      <c r="A3" s="4" t="n">
        <v>1</v>
      </c>
      <c r="B3" s="5" t="inlineStr">
        <is>
          <t>대출참여수수료(Tr.A-1 롯데캐피탈)</t>
        </is>
      </c>
      <c r="C3" s="4" t="inlineStr"/>
      <c r="D3" s="6" t="n">
        <v>540000000</v>
      </c>
      <c r="E3" s="4" t="inlineStr">
        <is>
          <t>비과세</t>
        </is>
      </c>
      <c r="F3" s="4" t="inlineStr">
        <is>
          <t>운영계좌</t>
        </is>
      </c>
      <c r="G3" s="4" t="inlineStr">
        <is>
          <t>우리은행</t>
        </is>
      </c>
      <c r="H3" s="4" t="inlineStr">
        <is>
          <t>1005-804-963776</t>
        </is>
      </c>
      <c r="I3" s="5" t="inlineStr">
        <is>
          <t>롯데캐피탈(주)</t>
        </is>
      </c>
      <c r="J3" s="4" t="inlineStr">
        <is>
          <t>우리은행</t>
        </is>
      </c>
      <c r="K3" s="4" t="inlineStr">
        <is>
          <t>364-032300-03-001</t>
        </is>
      </c>
      <c r="L3" s="6">
        <f>IF(E3="과세",ROUNDDOWN(D3*0.1,0),0)</f>
        <v/>
      </c>
      <c r="M3" s="6">
        <f>D3+L3</f>
        <v/>
      </c>
      <c r="N3" s="5" t="inlineStr">
        <is>
          <t>인출일(2026-10-29)</t>
        </is>
      </c>
      <c r="O3" s="5" t="inlineStr">
        <is>
          <t>부가가치세 없음. 300억 × 1.8%. [체결본] 대출참여수수료약정서(Tr_A-1_롯데캐피탈) 제2조 / 계좌: ■롯데캐피탈 입금계좌 사본</t>
        </is>
      </c>
    </row>
    <row r="4">
      <c r="A4" s="4" t="n">
        <v>2</v>
      </c>
      <c r="B4" s="5" t="inlineStr">
        <is>
          <t>대출참여수수료(Tr.A-1 우리카드)</t>
        </is>
      </c>
      <c r="C4" s="4" t="inlineStr"/>
      <c r="D4" s="6" t="n">
        <v>120000000</v>
      </c>
      <c r="E4" s="4" t="inlineStr">
        <is>
          <t>비과세</t>
        </is>
      </c>
      <c r="F4" s="4" t="inlineStr">
        <is>
          <t>운영계좌</t>
        </is>
      </c>
      <c r="G4" s="4" t="inlineStr">
        <is>
          <t>우리은행</t>
        </is>
      </c>
      <c r="H4" s="4" t="inlineStr">
        <is>
          <t>1005-804-963776</t>
        </is>
      </c>
      <c r="I4" s="5" t="inlineStr">
        <is>
          <t>(주)우리카드</t>
        </is>
      </c>
      <c r="J4" s="4" t="inlineStr">
        <is>
          <t>우리은행</t>
        </is>
      </c>
      <c r="K4" s="4" t="inlineStr">
        <is>
          <t>1005-504-287838</t>
        </is>
      </c>
      <c r="L4" s="6">
        <f>IF(E4="과세",ROUNDDOWN(D4*0.1,0),0)</f>
        <v/>
      </c>
      <c r="M4" s="6">
        <f>D4+L4</f>
        <v/>
      </c>
      <c r="N4" s="5" t="inlineStr">
        <is>
          <t>인출일(2026-10-29)</t>
        </is>
      </c>
      <c r="O4" s="5" t="inlineStr">
        <is>
          <t>부가가치세 없음. 100억 × 1.2%. [체결본] 대출참여수수료약정서(Tr_A-1_우리카드) 제2조 / 계좌: [우리카드] 수수료 및 원리금 상환 통장표지</t>
        </is>
      </c>
    </row>
    <row r="5">
      <c r="A5" s="4" t="n">
        <v>3</v>
      </c>
      <c r="B5" s="5" t="inlineStr">
        <is>
          <t>대출참여수수료(Tr.A-1 신용협동조합중앙회)</t>
        </is>
      </c>
      <c r="C5" s="4" t="inlineStr"/>
      <c r="D5" s="6" t="n">
        <v>1000000</v>
      </c>
      <c r="E5" s="7" t="inlineStr">
        <is>
          <t>비과세</t>
        </is>
      </c>
      <c r="F5" s="4" t="inlineStr">
        <is>
          <t>운영계좌</t>
        </is>
      </c>
      <c r="G5" s="4" t="inlineStr">
        <is>
          <t>우리은행</t>
        </is>
      </c>
      <c r="H5" s="4" t="inlineStr">
        <is>
          <t>1005-804-963776</t>
        </is>
      </c>
      <c r="I5" s="5" t="inlineStr">
        <is>
          <t>신협중앙회</t>
        </is>
      </c>
      <c r="J5" s="4" t="inlineStr">
        <is>
          <t>농협은행</t>
        </is>
      </c>
      <c r="K5" s="4" t="inlineStr">
        <is>
          <t>081-01-168860</t>
        </is>
      </c>
      <c r="L5" s="6">
        <f>IF(E5="과세",ROUNDDOWN(D5*0.1,0),0)</f>
        <v/>
      </c>
      <c r="M5" s="6">
        <f>D5+L5</f>
        <v/>
      </c>
      <c r="N5" s="5" t="inlineStr">
        <is>
          <t>인출일(2026-10-29)</t>
        </is>
      </c>
      <c r="O5" s="15" t="inlineStr">
        <is>
          <t>부가가치세 없음. [체결본] 대출참여수수료약정서(Tr_A-1_신협대주단)_20261027 제2조 표(대출약정금의 1.0%) / 계좌: 대주 통지처(261023 vf) 기재 수취계좌 — 통장사본 미접수</t>
        </is>
      </c>
    </row>
    <row r="6">
      <c r="A6" s="4" t="n">
        <v>4</v>
      </c>
      <c r="B6" s="5" t="inlineStr">
        <is>
          <t>대출참여수수료(Tr.A-1 서로신협)</t>
        </is>
      </c>
      <c r="C6" s="4" t="inlineStr"/>
      <c r="D6" s="6" t="n">
        <v>40000000</v>
      </c>
      <c r="E6" s="4" t="inlineStr">
        <is>
          <t>비과세</t>
        </is>
      </c>
      <c r="F6" s="4" t="inlineStr">
        <is>
          <t>운영계좌</t>
        </is>
      </c>
      <c r="G6" s="4" t="inlineStr">
        <is>
          <t>우리은행</t>
        </is>
      </c>
      <c r="H6" s="4" t="inlineStr">
        <is>
          <t>1005-804-963776</t>
        </is>
      </c>
      <c r="I6" s="5" t="inlineStr">
        <is>
          <t>서로신용협동조합</t>
        </is>
      </c>
      <c r="J6" s="4" t="inlineStr">
        <is>
          <t>신협</t>
        </is>
      </c>
      <c r="K6" s="4" t="inlineStr">
        <is>
          <t>131-000-941666</t>
        </is>
      </c>
      <c r="L6" s="6">
        <f>IF(E6="과세",ROUNDDOWN(D6*0.1,0),0)</f>
        <v/>
      </c>
      <c r="M6" s="6">
        <f>D6+L6</f>
        <v/>
      </c>
      <c r="N6" s="5" t="inlineStr">
        <is>
          <t>인출일(2026-10-29)</t>
        </is>
      </c>
      <c r="O6" s="5" t="inlineStr">
        <is>
          <t>부가가치세 없음. [체결본] 대출참여수수료약정서(Tr_A-1_신협대주단)_20261027 제2조 표(대출약정금의 1.0%) / 계좌: 서로 사업자등록증,계좌</t>
        </is>
      </c>
    </row>
    <row r="7">
      <c r="A7" s="4" t="n">
        <v>5</v>
      </c>
      <c r="B7" s="5" t="inlineStr">
        <is>
          <t>대출참여수수료(Tr.A-1 수지신협)</t>
        </is>
      </c>
      <c r="C7" s="4" t="inlineStr"/>
      <c r="D7" s="6" t="n">
        <v>28000000</v>
      </c>
      <c r="E7" s="4" t="inlineStr">
        <is>
          <t>비과세</t>
        </is>
      </c>
      <c r="F7" s="4" t="inlineStr">
        <is>
          <t>운영계좌</t>
        </is>
      </c>
      <c r="G7" s="4" t="inlineStr">
        <is>
          <t>우리은행</t>
        </is>
      </c>
      <c r="H7" s="4" t="inlineStr">
        <is>
          <t>1005-804-963776</t>
        </is>
      </c>
      <c r="I7" s="5" t="inlineStr">
        <is>
          <t>수지신협</t>
        </is>
      </c>
      <c r="J7" s="4" t="inlineStr">
        <is>
          <t>신협</t>
        </is>
      </c>
      <c r="K7" s="4" t="inlineStr">
        <is>
          <t>131-014-493393</t>
        </is>
      </c>
      <c r="L7" s="6">
        <f>IF(E7="과세",ROUNDDOWN(D7*0.1,0),0)</f>
        <v/>
      </c>
      <c r="M7" s="6">
        <f>D7+L7</f>
        <v/>
      </c>
      <c r="N7" s="5" t="inlineStr">
        <is>
          <t>인출일(2026-10-29)</t>
        </is>
      </c>
      <c r="O7" s="5" t="inlineStr">
        <is>
          <t>부가가치세 없음. [체결본] 대출참여수수료약정서(Tr_A-1_신협대주단)_20261027 제2조 표(대출약정금의 1.0%) / 계좌: 수지 사업자등록증,계좌</t>
        </is>
      </c>
    </row>
    <row r="8">
      <c r="A8" s="4" t="n">
        <v>6</v>
      </c>
      <c r="B8" s="5" t="inlineStr">
        <is>
          <t>대출참여수수료(Tr.A-1 정선신협)</t>
        </is>
      </c>
      <c r="C8" s="4" t="inlineStr"/>
      <c r="D8" s="6" t="n">
        <v>24000000</v>
      </c>
      <c r="E8" s="4" t="inlineStr">
        <is>
          <t>비과세</t>
        </is>
      </c>
      <c r="F8" s="4" t="inlineStr">
        <is>
          <t>운영계좌</t>
        </is>
      </c>
      <c r="G8" s="4" t="inlineStr">
        <is>
          <t>우리은행</t>
        </is>
      </c>
      <c r="H8" s="4" t="inlineStr">
        <is>
          <t>1005-804-963776</t>
        </is>
      </c>
      <c r="I8" s="5" t="inlineStr">
        <is>
          <t>정선신용협동조합</t>
        </is>
      </c>
      <c r="J8" s="4" t="inlineStr">
        <is>
          <t>신협</t>
        </is>
      </c>
      <c r="K8" s="4" t="inlineStr">
        <is>
          <t>131-019-058167</t>
        </is>
      </c>
      <c r="L8" s="6">
        <f>IF(E8="과세",ROUNDDOWN(D8*0.1,0),0)</f>
        <v/>
      </c>
      <c r="M8" s="6">
        <f>D8+L8</f>
        <v/>
      </c>
      <c r="N8" s="5" t="inlineStr">
        <is>
          <t>인출일(2026-10-29)</t>
        </is>
      </c>
      <c r="O8" s="5" t="inlineStr">
        <is>
          <t>부가가치세 없음. [체결본] 대출참여수수료약정서(Tr_A-1_신협대주단)_20261027 제2조 표(대출약정금의 1.0%) / 계좌: 정선 사업자등록증,계좌</t>
        </is>
      </c>
    </row>
    <row r="9">
      <c r="A9" s="4" t="n">
        <v>7</v>
      </c>
      <c r="B9" s="5" t="inlineStr">
        <is>
          <t>대출참여수수료(Tr.A-1 연희신협)</t>
        </is>
      </c>
      <c r="C9" s="4" t="inlineStr"/>
      <c r="D9" s="6" t="n">
        <v>14000000</v>
      </c>
      <c r="E9" s="4" t="inlineStr">
        <is>
          <t>비과세</t>
        </is>
      </c>
      <c r="F9" s="4" t="inlineStr">
        <is>
          <t>운영계좌</t>
        </is>
      </c>
      <c r="G9" s="4" t="inlineStr">
        <is>
          <t>우리은행</t>
        </is>
      </c>
      <c r="H9" s="4" t="inlineStr">
        <is>
          <t>1005-804-963776</t>
        </is>
      </c>
      <c r="I9" s="5" t="inlineStr">
        <is>
          <t>연희신협</t>
        </is>
      </c>
      <c r="J9" s="4" t="inlineStr">
        <is>
          <t>신협</t>
        </is>
      </c>
      <c r="K9" s="4" t="inlineStr">
        <is>
          <t>131-000-189579</t>
        </is>
      </c>
      <c r="L9" s="6">
        <f>IF(E9="과세",ROUNDDOWN(D9*0.1,0),0)</f>
        <v/>
      </c>
      <c r="M9" s="6">
        <f>D9+L9</f>
        <v/>
      </c>
      <c r="N9" s="5" t="inlineStr">
        <is>
          <t>인출일(2026-10-29)</t>
        </is>
      </c>
      <c r="O9" s="5" t="inlineStr">
        <is>
          <t>부가가치세 없음. [체결본] 대출참여수수료약정서(Tr_A-1_신협대주단)_20261027 제2조 표(대출약정금의 1.0%) / 계좌: 연희 사업자등록증,계좌</t>
        </is>
      </c>
    </row>
    <row r="10">
      <c r="A10" s="4" t="n">
        <v>8</v>
      </c>
      <c r="B10" s="5" t="inlineStr">
        <is>
          <t>대출참여수수료(Tr.A-1 금모래신협)</t>
        </is>
      </c>
      <c r="C10" s="4" t="inlineStr"/>
      <c r="D10" s="6" t="n">
        <v>18000000</v>
      </c>
      <c r="E10" s="4" t="inlineStr">
        <is>
          <t>비과세</t>
        </is>
      </c>
      <c r="F10" s="4" t="inlineStr">
        <is>
          <t>운영계좌</t>
        </is>
      </c>
      <c r="G10" s="4" t="inlineStr">
        <is>
          <t>우리은행</t>
        </is>
      </c>
      <c r="H10" s="4" t="inlineStr">
        <is>
          <t>1005-804-963776</t>
        </is>
      </c>
      <c r="I10" s="5" t="inlineStr">
        <is>
          <t>금모래신협</t>
        </is>
      </c>
      <c r="J10" s="4" t="inlineStr">
        <is>
          <t>신협</t>
        </is>
      </c>
      <c r="K10" s="4" t="inlineStr">
        <is>
          <t>131-000-001170</t>
        </is>
      </c>
      <c r="L10" s="6">
        <f>IF(E10="과세",ROUNDDOWN(D10*0.1,0),0)</f>
        <v/>
      </c>
      <c r="M10" s="6">
        <f>D10+L10</f>
        <v/>
      </c>
      <c r="N10" s="5" t="inlineStr">
        <is>
          <t>인출일(2026-10-29)</t>
        </is>
      </c>
      <c r="O10" s="5" t="inlineStr">
        <is>
          <t>부가가치세 없음. [체결본] 대출참여수수료약정서(Tr_A-1_신협대주단)_20261027 제2조 표(대출약정금의 1.0%) / 계좌: 금모래 사업자등록증,계좌</t>
        </is>
      </c>
    </row>
    <row r="11">
      <c r="A11" s="4" t="n">
        <v>9</v>
      </c>
      <c r="B11" s="5" t="inlineStr">
        <is>
          <t>대출참여수수료(Tr.A-1 남인천신협)</t>
        </is>
      </c>
      <c r="C11" s="4" t="inlineStr"/>
      <c r="D11" s="6" t="n">
        <v>10000000</v>
      </c>
      <c r="E11" s="4" t="inlineStr">
        <is>
          <t>비과세</t>
        </is>
      </c>
      <c r="F11" s="4" t="inlineStr">
        <is>
          <t>운영계좌</t>
        </is>
      </c>
      <c r="G11" s="4" t="inlineStr">
        <is>
          <t>우리은행</t>
        </is>
      </c>
      <c r="H11" s="4" t="inlineStr">
        <is>
          <t>1005-804-963776</t>
        </is>
      </c>
      <c r="I11" s="5" t="inlineStr">
        <is>
          <t>남인천신협</t>
        </is>
      </c>
      <c r="J11" s="4" t="inlineStr">
        <is>
          <t>신협</t>
        </is>
      </c>
      <c r="K11" s="4" t="inlineStr">
        <is>
          <t>131-000-942952</t>
        </is>
      </c>
      <c r="L11" s="6">
        <f>IF(E11="과세",ROUNDDOWN(D11*0.1,0),0)</f>
        <v/>
      </c>
      <c r="M11" s="6">
        <f>D11+L11</f>
        <v/>
      </c>
      <c r="N11" s="5" t="inlineStr">
        <is>
          <t>인출일(2026-10-29)</t>
        </is>
      </c>
      <c r="O11" s="5" t="inlineStr">
        <is>
          <t>부가가치세 없음. [체결본] 대출참여수수료약정서(Tr_A-1_신협대주단)_20261027 제2조 표(대출약정금의 1.0%) / 계좌: 남인천 사업자등록증,계좌</t>
        </is>
      </c>
    </row>
    <row r="12">
      <c r="A12" s="4" t="n">
        <v>10</v>
      </c>
      <c r="B12" s="5" t="inlineStr">
        <is>
          <t>대출참여수수료(Tr.A-1 미호신협)</t>
        </is>
      </c>
      <c r="C12" s="4" t="inlineStr"/>
      <c r="D12" s="6" t="n">
        <v>13000000</v>
      </c>
      <c r="E12" s="4" t="inlineStr">
        <is>
          <t>비과세</t>
        </is>
      </c>
      <c r="F12" s="4" t="inlineStr">
        <is>
          <t>운영계좌</t>
        </is>
      </c>
      <c r="G12" s="4" t="inlineStr">
        <is>
          <t>우리은행</t>
        </is>
      </c>
      <c r="H12" s="4" t="inlineStr">
        <is>
          <t>1005-804-963776</t>
        </is>
      </c>
      <c r="I12" s="5" t="inlineStr">
        <is>
          <t>미호신협</t>
        </is>
      </c>
      <c r="J12" s="4" t="inlineStr">
        <is>
          <t>신협</t>
        </is>
      </c>
      <c r="K12" s="4" t="inlineStr">
        <is>
          <t>131-002-821894</t>
        </is>
      </c>
      <c r="L12" s="6">
        <f>IF(E12="과세",ROUNDDOWN(D12*0.1,0),0)</f>
        <v/>
      </c>
      <c r="M12" s="6">
        <f>D12+L12</f>
        <v/>
      </c>
      <c r="N12" s="5" t="inlineStr">
        <is>
          <t>인출일(2026-10-29)</t>
        </is>
      </c>
      <c r="O12" s="5" t="inlineStr">
        <is>
          <t>부가가치세 없음. [체결본] 대출참여수수료약정서(Tr_A-1_신협대주단)_20261027 제2조 표(대출약정금의 1.0%) / 계좌: 미호신협 사업자등록증,계좌</t>
        </is>
      </c>
    </row>
    <row r="13">
      <c r="A13" s="4" t="n">
        <v>11</v>
      </c>
      <c r="B13" s="5" t="inlineStr">
        <is>
          <t>대출참여수수료(Tr.A-1 대구대서신협)</t>
        </is>
      </c>
      <c r="C13" s="4" t="inlineStr"/>
      <c r="D13" s="6" t="n">
        <v>13000000</v>
      </c>
      <c r="E13" s="4" t="inlineStr">
        <is>
          <t>비과세</t>
        </is>
      </c>
      <c r="F13" s="4" t="inlineStr">
        <is>
          <t>운영계좌</t>
        </is>
      </c>
      <c r="G13" s="4" t="inlineStr">
        <is>
          <t>우리은행</t>
        </is>
      </c>
      <c r="H13" s="4" t="inlineStr">
        <is>
          <t>1005-804-963776</t>
        </is>
      </c>
      <c r="I13" s="5" t="inlineStr">
        <is>
          <t>대구대서신협</t>
        </is>
      </c>
      <c r="J13" s="4" t="inlineStr">
        <is>
          <t>신협</t>
        </is>
      </c>
      <c r="K13" s="4" t="inlineStr">
        <is>
          <t>131-005-005290</t>
        </is>
      </c>
      <c r="L13" s="6">
        <f>IF(E13="과세",ROUNDDOWN(D13*0.1,0),0)</f>
        <v/>
      </c>
      <c r="M13" s="6">
        <f>D13+L13</f>
        <v/>
      </c>
      <c r="N13" s="5" t="inlineStr">
        <is>
          <t>인출일(2026-10-29)</t>
        </is>
      </c>
      <c r="O13" s="5" t="inlineStr">
        <is>
          <t>부가가치세 없음. [체결본] 대출참여수수료약정서(Tr_A-1_신협대주단)_20261027 제2조 표(대출약정금의 1.0%) / 계좌: 대구대서 사업자등록증,계좌</t>
        </is>
      </c>
    </row>
    <row r="14">
      <c r="A14" s="4" t="n">
        <v>12</v>
      </c>
      <c r="B14" s="5" t="inlineStr">
        <is>
          <t>대출참여수수료(Tr.A-1 한빛신협)</t>
        </is>
      </c>
      <c r="C14" s="4" t="inlineStr"/>
      <c r="D14" s="6" t="n">
        <v>17000000</v>
      </c>
      <c r="E14" s="4" t="inlineStr">
        <is>
          <t>비과세</t>
        </is>
      </c>
      <c r="F14" s="4" t="inlineStr">
        <is>
          <t>운영계좌</t>
        </is>
      </c>
      <c r="G14" s="4" t="inlineStr">
        <is>
          <t>우리은행</t>
        </is>
      </c>
      <c r="H14" s="4" t="inlineStr">
        <is>
          <t>1005-804-963776</t>
        </is>
      </c>
      <c r="I14" s="5" t="inlineStr">
        <is>
          <t>한빛신용협동조합</t>
        </is>
      </c>
      <c r="J14" s="4" t="inlineStr">
        <is>
          <t>신협</t>
        </is>
      </c>
      <c r="K14" s="4" t="inlineStr">
        <is>
          <t>131-003-657209</t>
        </is>
      </c>
      <c r="L14" s="6">
        <f>IF(E14="과세",ROUNDDOWN(D14*0.1,0),0)</f>
        <v/>
      </c>
      <c r="M14" s="6">
        <f>D14+L14</f>
        <v/>
      </c>
      <c r="N14" s="5" t="inlineStr">
        <is>
          <t>인출일(2026-10-29)</t>
        </is>
      </c>
      <c r="O14" s="5" t="inlineStr">
        <is>
          <t>부가가치세 없음. [체결본] 대출참여수수료약정서(Tr_A-1_신협대주단)_20261027 제2조 표(대출약정금의 1.0%) / 계좌: 한빛 사업자등록증,계좌</t>
        </is>
      </c>
    </row>
    <row r="15">
      <c r="A15" s="4" t="n">
        <v>13</v>
      </c>
      <c r="B15" s="5" t="inlineStr">
        <is>
          <t>대출참여수수료(Tr.A-1 양동행복신협)</t>
        </is>
      </c>
      <c r="C15" s="4" t="inlineStr"/>
      <c r="D15" s="6" t="n">
        <v>19000000</v>
      </c>
      <c r="E15" s="4" t="inlineStr">
        <is>
          <t>비과세</t>
        </is>
      </c>
      <c r="F15" s="4" t="inlineStr">
        <is>
          <t>운영계좌</t>
        </is>
      </c>
      <c r="G15" s="4" t="inlineStr">
        <is>
          <t>우리은행</t>
        </is>
      </c>
      <c r="H15" s="4" t="inlineStr">
        <is>
          <t>1005-804-963776</t>
        </is>
      </c>
      <c r="I15" s="5" t="inlineStr">
        <is>
          <t>양동행복신협</t>
        </is>
      </c>
      <c r="J15" s="4" t="inlineStr">
        <is>
          <t>신협</t>
        </is>
      </c>
      <c r="K15" s="4" t="inlineStr">
        <is>
          <t>131-021-819738</t>
        </is>
      </c>
      <c r="L15" s="6">
        <f>IF(E15="과세",ROUNDDOWN(D15*0.1,0),0)</f>
        <v/>
      </c>
      <c r="M15" s="6">
        <f>D15+L15</f>
        <v/>
      </c>
      <c r="N15" s="5" t="inlineStr">
        <is>
          <t>인출일(2026-10-29)</t>
        </is>
      </c>
      <c r="O15" s="5" t="inlineStr">
        <is>
          <t>부가가치세 없음. [체결본] 대출참여수수료약정서(Tr_A-1_신협대주단)_20261027 제2조 표(대출약정금의 1.0%) / 계좌: 양동행복 사업자등록증,계좌</t>
        </is>
      </c>
    </row>
    <row r="16">
      <c r="A16" s="4" t="n">
        <v>14</v>
      </c>
      <c r="B16" s="5" t="inlineStr">
        <is>
          <t>대출참여수수료(Tr.A-1 서귀포동부신협)</t>
        </is>
      </c>
      <c r="C16" s="4" t="inlineStr"/>
      <c r="D16" s="6" t="n">
        <v>12000000</v>
      </c>
      <c r="E16" s="4" t="inlineStr">
        <is>
          <t>비과세</t>
        </is>
      </c>
      <c r="F16" s="4" t="inlineStr">
        <is>
          <t>운영계좌</t>
        </is>
      </c>
      <c r="G16" s="4" t="inlineStr">
        <is>
          <t>우리은행</t>
        </is>
      </c>
      <c r="H16" s="4" t="inlineStr">
        <is>
          <t>1005-804-963776</t>
        </is>
      </c>
      <c r="I16" s="5" t="inlineStr">
        <is>
          <t>서귀포동부신협</t>
        </is>
      </c>
      <c r="J16" s="4" t="inlineStr">
        <is>
          <t>신협</t>
        </is>
      </c>
      <c r="K16" s="4" t="inlineStr">
        <is>
          <t>131-005-410020</t>
        </is>
      </c>
      <c r="L16" s="6">
        <f>IF(E16="과세",ROUNDDOWN(D16*0.1,0),0)</f>
        <v/>
      </c>
      <c r="M16" s="6">
        <f>D16+L16</f>
        <v/>
      </c>
      <c r="N16" s="5" t="inlineStr">
        <is>
          <t>인출일(2026-10-29)</t>
        </is>
      </c>
      <c r="O16" s="5" t="inlineStr">
        <is>
          <t>부가가치세 없음. [체결본] 대출참여수수료약정서(Tr_A-1_신협대주단)_20261027 제2조 표(대출약정금의 1.0%) / 계좌: 서귀포동부 사업자등록증,계좌</t>
        </is>
      </c>
    </row>
    <row r="17">
      <c r="A17" s="4" t="n">
        <v>15</v>
      </c>
      <c r="B17" s="5" t="inlineStr">
        <is>
          <t>대출참여수수료(Tr.A-1 광주어룡신협)</t>
        </is>
      </c>
      <c r="C17" s="4" t="inlineStr"/>
      <c r="D17" s="6" t="n">
        <v>27000000</v>
      </c>
      <c r="E17" s="4" t="inlineStr">
        <is>
          <t>비과세</t>
        </is>
      </c>
      <c r="F17" s="4" t="inlineStr">
        <is>
          <t>운영계좌</t>
        </is>
      </c>
      <c r="G17" s="4" t="inlineStr">
        <is>
          <t>우리은행</t>
        </is>
      </c>
      <c r="H17" s="4" t="inlineStr">
        <is>
          <t>1005-804-963776</t>
        </is>
      </c>
      <c r="I17" s="5" t="inlineStr">
        <is>
          <t>광주어룡신협</t>
        </is>
      </c>
      <c r="J17" s="4" t="inlineStr">
        <is>
          <t>신협</t>
        </is>
      </c>
      <c r="K17" s="4" t="inlineStr">
        <is>
          <t>131-004-571106</t>
        </is>
      </c>
      <c r="L17" s="6">
        <f>IF(E17="과세",ROUNDDOWN(D17*0.1,0),0)</f>
        <v/>
      </c>
      <c r="M17" s="6">
        <f>D17+L17</f>
        <v/>
      </c>
      <c r="N17" s="5" t="inlineStr">
        <is>
          <t>인출일(2026-10-29)</t>
        </is>
      </c>
      <c r="O17" s="5" t="inlineStr">
        <is>
          <t>부가가치세 없음. [체결본] 대출참여수수료약정서(Tr_A-1_신협대주단)_20261027 제2조 표(대출약정금의 1.0%) / 계좌: 광주어룡 사업자등록증,계좌</t>
        </is>
      </c>
    </row>
    <row r="18">
      <c r="A18" s="4" t="n">
        <v>16</v>
      </c>
      <c r="B18" s="5" t="inlineStr">
        <is>
          <t>대출참여수수료(Tr.A-1 광주미래신협)</t>
        </is>
      </c>
      <c r="C18" s="4" t="inlineStr"/>
      <c r="D18" s="6" t="n">
        <v>14000000</v>
      </c>
      <c r="E18" s="4" t="inlineStr">
        <is>
          <t>비과세</t>
        </is>
      </c>
      <c r="F18" s="4" t="inlineStr">
        <is>
          <t>운영계좌</t>
        </is>
      </c>
      <c r="G18" s="4" t="inlineStr">
        <is>
          <t>우리은행</t>
        </is>
      </c>
      <c r="H18" s="4" t="inlineStr">
        <is>
          <t>1005-804-963776</t>
        </is>
      </c>
      <c r="I18" s="5" t="inlineStr">
        <is>
          <t>광주미래신용협동조합</t>
        </is>
      </c>
      <c r="J18" s="4" t="inlineStr">
        <is>
          <t>신협</t>
        </is>
      </c>
      <c r="K18" s="4" t="inlineStr">
        <is>
          <t>131-004-612864</t>
        </is>
      </c>
      <c r="L18" s="6">
        <f>IF(E18="과세",ROUNDDOWN(D18*0.1,0),0)</f>
        <v/>
      </c>
      <c r="M18" s="6">
        <f>D18+L18</f>
        <v/>
      </c>
      <c r="N18" s="5" t="inlineStr">
        <is>
          <t>인출일(2026-10-29)</t>
        </is>
      </c>
      <c r="O18" s="5" t="inlineStr">
        <is>
          <t>부가가치세 없음. [체결본] 대출참여수수료약정서(Tr_A-1_신협대주단)_20261027 제2조 표(대출약정금의 1.0%) / 계좌: 광주미래 사업자등록증,계좌</t>
        </is>
      </c>
    </row>
    <row r="19">
      <c r="A19" s="4" t="n">
        <v>17</v>
      </c>
      <c r="B19" s="5" t="inlineStr">
        <is>
          <t>대출참여수수료(Tr.A-1 새안양신협)</t>
        </is>
      </c>
      <c r="C19" s="4" t="inlineStr"/>
      <c r="D19" s="6" t="n">
        <v>40000000</v>
      </c>
      <c r="E19" s="4" t="inlineStr">
        <is>
          <t>비과세</t>
        </is>
      </c>
      <c r="F19" s="4" t="inlineStr">
        <is>
          <t>운영계좌</t>
        </is>
      </c>
      <c r="G19" s="4" t="inlineStr">
        <is>
          <t>우리은행</t>
        </is>
      </c>
      <c r="H19" s="4" t="inlineStr">
        <is>
          <t>1005-804-963776</t>
        </is>
      </c>
      <c r="I19" s="5" t="inlineStr">
        <is>
          <t>새안양신용협동조합</t>
        </is>
      </c>
      <c r="J19" s="4" t="inlineStr">
        <is>
          <t>신협</t>
        </is>
      </c>
      <c r="K19" s="4" t="inlineStr">
        <is>
          <t>131-001-041701</t>
        </is>
      </c>
      <c r="L19" s="6">
        <f>IF(E19="과세",ROUNDDOWN(D19*0.1,0),0)</f>
        <v/>
      </c>
      <c r="M19" s="6">
        <f>D19+L19</f>
        <v/>
      </c>
      <c r="N19" s="5" t="inlineStr">
        <is>
          <t>인출일(2026-10-29)</t>
        </is>
      </c>
      <c r="O19" s="5" t="inlineStr">
        <is>
          <t>부가가치세 없음. [체결본] 대출참여수수료약정서(Tr_A-1_신협대주단)_20261027 제2조 표(대출약정금의 1.0%) / 계좌: 새안양 사업자등록증,계좌</t>
        </is>
      </c>
    </row>
    <row r="20">
      <c r="A20" s="4" t="n">
        <v>18</v>
      </c>
      <c r="B20" s="5" t="inlineStr">
        <is>
          <t>대출참여수수료(Tr.A-1 남수원신협)</t>
        </is>
      </c>
      <c r="C20" s="4" t="inlineStr"/>
      <c r="D20" s="6" t="n">
        <v>3000000</v>
      </c>
      <c r="E20" s="4" t="inlineStr">
        <is>
          <t>비과세</t>
        </is>
      </c>
      <c r="F20" s="4" t="inlineStr">
        <is>
          <t>운영계좌</t>
        </is>
      </c>
      <c r="G20" s="4" t="inlineStr">
        <is>
          <t>우리은행</t>
        </is>
      </c>
      <c r="H20" s="4" t="inlineStr">
        <is>
          <t>1005-804-963776</t>
        </is>
      </c>
      <c r="I20" s="5" t="inlineStr">
        <is>
          <t>남수원신용협동조합</t>
        </is>
      </c>
      <c r="J20" s="4" t="inlineStr">
        <is>
          <t>신협</t>
        </is>
      </c>
      <c r="K20" s="4" t="inlineStr">
        <is>
          <t>131-001-156258</t>
        </is>
      </c>
      <c r="L20" s="6">
        <f>IF(E20="과세",ROUNDDOWN(D20*0.1,0),0)</f>
        <v/>
      </c>
      <c r="M20" s="6">
        <f>D20+L20</f>
        <v/>
      </c>
      <c r="N20" s="5" t="inlineStr">
        <is>
          <t>인출일(2026-10-29)</t>
        </is>
      </c>
      <c r="O20" s="5" t="inlineStr">
        <is>
          <t>부가가치세 없음. [체결본] 대출참여수수료약정서(Tr_A-1_신협대주단)_20261027 제2조 표(대출약정금의 1.0%) / 계좌: 남수원 사업자등록증,계좌</t>
        </is>
      </c>
    </row>
    <row r="21">
      <c r="A21" s="4" t="n">
        <v>19</v>
      </c>
      <c r="B21" s="5" t="inlineStr">
        <is>
          <t>대출참여수수료(Tr.A-1 북인천신협)</t>
        </is>
      </c>
      <c r="C21" s="4" t="inlineStr"/>
      <c r="D21" s="6" t="n">
        <v>7000000</v>
      </c>
      <c r="E21" s="4" t="inlineStr">
        <is>
          <t>비과세</t>
        </is>
      </c>
      <c r="F21" s="4" t="inlineStr">
        <is>
          <t>운영계좌</t>
        </is>
      </c>
      <c r="G21" s="4" t="inlineStr">
        <is>
          <t>우리은행</t>
        </is>
      </c>
      <c r="H21" s="4" t="inlineStr">
        <is>
          <t>1005-804-963776</t>
        </is>
      </c>
      <c r="I21" s="5" t="inlineStr">
        <is>
          <t>북인천신용협동조합</t>
        </is>
      </c>
      <c r="J21" s="4" t="inlineStr">
        <is>
          <t>신협</t>
        </is>
      </c>
      <c r="K21" s="4" t="inlineStr">
        <is>
          <t>131-002-051950</t>
        </is>
      </c>
      <c r="L21" s="6">
        <f>IF(E21="과세",ROUNDDOWN(D21*0.1,0),0)</f>
        <v/>
      </c>
      <c r="M21" s="6">
        <f>D21+L21</f>
        <v/>
      </c>
      <c r="N21" s="5" t="inlineStr">
        <is>
          <t>인출일(2026-10-29)</t>
        </is>
      </c>
      <c r="O21" s="5" t="inlineStr">
        <is>
          <t>부가가치세 없음. [체결본] 대출참여수수료약정서(Tr_A-1_신협대주단)_20261027 제2조 표(대출약정금의 1.0%) / 계좌: 북인천신협 사업자등록증,계좌</t>
        </is>
      </c>
    </row>
    <row r="22">
      <c r="A22" s="4" t="n">
        <v>20</v>
      </c>
      <c r="B22" s="5" t="inlineStr">
        <is>
          <t>대출참여수수료(Tr.A-1 수협은행)</t>
        </is>
      </c>
      <c r="C22" s="4" t="inlineStr"/>
      <c r="D22" s="6" t="n">
        <v>100000000</v>
      </c>
      <c r="E22" s="4" t="inlineStr">
        <is>
          <t>비과세</t>
        </is>
      </c>
      <c r="F22" s="4" t="inlineStr">
        <is>
          <t>운영계좌</t>
        </is>
      </c>
      <c r="G22" s="4" t="inlineStr">
        <is>
          <t>우리은행</t>
        </is>
      </c>
      <c r="H22" s="4" t="inlineStr">
        <is>
          <t>1005-804-963776</t>
        </is>
      </c>
      <c r="I22" s="5" t="inlineStr">
        <is>
          <t>수협은행사당역지점</t>
        </is>
      </c>
      <c r="J22" s="4" t="inlineStr">
        <is>
          <t>수협은행</t>
        </is>
      </c>
      <c r="K22" s="4" t="inlineStr">
        <is>
          <t>1010-1159-8651</t>
        </is>
      </c>
      <c r="L22" s="6">
        <f>IF(E22="과세",ROUNDDOWN(D22*0.1,0),0)</f>
        <v/>
      </c>
      <c r="M22" s="6">
        <f>D22+L22</f>
        <v/>
      </c>
      <c r="N22" s="5" t="inlineStr">
        <is>
          <t>인출일(2026-10-29)</t>
        </is>
      </c>
      <c r="O22" s="5" t="inlineStr">
        <is>
          <t>부가가치세 없음. 100억 × 1.0%. [체결본] 대출참여수수료약정서(Tr_A-1_수협은행) 제2조 / 계좌: 수협은행 업무용통장 사본(사당역지점)</t>
        </is>
      </c>
    </row>
    <row r="23">
      <c r="A23" s="4" t="n">
        <v>21</v>
      </c>
      <c r="B23" s="5" t="inlineStr">
        <is>
          <t>대출주선수수료(Tr.A-1 에스비아이저축은행)</t>
        </is>
      </c>
      <c r="C23" s="4" t="inlineStr"/>
      <c r="D23" s="6" t="n">
        <v>100000000</v>
      </c>
      <c r="E23" s="4" t="inlineStr">
        <is>
          <t>비과세</t>
        </is>
      </c>
      <c r="F23" s="4" t="inlineStr">
        <is>
          <t>운영계좌</t>
        </is>
      </c>
      <c r="G23" s="4" t="inlineStr">
        <is>
          <t>우리은행</t>
        </is>
      </c>
      <c r="H23" s="4" t="inlineStr">
        <is>
          <t>1005-804-963776</t>
        </is>
      </c>
      <c r="I23" s="5" t="inlineStr">
        <is>
          <t>(주)에스비아이저축은행</t>
        </is>
      </c>
      <c r="J23" s="4" t="inlineStr">
        <is>
          <t>우리은행</t>
        </is>
      </c>
      <c r="K23" s="4" t="inlineStr">
        <is>
          <t>1005-704-857219</t>
        </is>
      </c>
      <c r="L23" s="6">
        <f>IF(E23="과세",ROUNDDOWN(D23*0.1,0),0)</f>
        <v/>
      </c>
      <c r="M23" s="6">
        <f>D23+L23</f>
        <v/>
      </c>
      <c r="N23" s="5" t="inlineStr">
        <is>
          <t>인출일(2026-10-29)</t>
        </is>
      </c>
      <c r="O23" s="5" t="inlineStr">
        <is>
          <t>부가가치세 없음. 정액 1억원. [체결본] 대출주선수수료약정서(Tr_A_1_SBI저축은행) 제2조 / 계좌: [SBI기업금융1팀] 예치금계좌_우리은행_통장사본</t>
        </is>
      </c>
    </row>
    <row r="24">
      <c r="A24" s="4" t="n">
        <v>22</v>
      </c>
      <c r="B24" s="5" t="inlineStr">
        <is>
          <t>대출주선수수료(Tr.A-2 우리은행)</t>
        </is>
      </c>
      <c r="C24" s="4" t="inlineStr"/>
      <c r="D24" s="6" t="n">
        <v>830000000</v>
      </c>
      <c r="E24" s="4" t="inlineStr">
        <is>
          <t>비과세</t>
        </is>
      </c>
      <c r="F24" s="4" t="inlineStr">
        <is>
          <t>운영계좌</t>
        </is>
      </c>
      <c r="G24" s="4" t="inlineStr">
        <is>
          <t>우리은행</t>
        </is>
      </c>
      <c r="H24" s="4" t="inlineStr">
        <is>
          <t>1005-804-963776</t>
        </is>
      </c>
      <c r="I24" s="5" t="inlineStr">
        <is>
          <t>(주)우리은행 투자금융1부</t>
        </is>
      </c>
      <c r="J24" s="4" t="inlineStr">
        <is>
          <t>우리은행</t>
        </is>
      </c>
      <c r="K24" s="4" t="inlineStr">
        <is>
          <t>1005-001-222719</t>
        </is>
      </c>
      <c r="L24" s="6">
        <f>IF(E24="과세",ROUNDDOWN(D24*0.1,0),0)</f>
        <v/>
      </c>
      <c r="M24" s="6">
        <f>D24+L24</f>
        <v/>
      </c>
      <c r="N24" s="5" t="inlineStr">
        <is>
          <t>인출일(2026-10-29)</t>
        </is>
      </c>
      <c r="O24" s="5" t="inlineStr">
        <is>
          <t>부가가치세 없음. 정액 8.3억원. [체결본] 대출주선수수료약정서(Tr_A_2_우리은행) 제3조 / 계좌: 【우리은행】통장사본_투자금융부_222719</t>
        </is>
      </c>
    </row>
    <row r="25">
      <c r="A25" s="4" t="n">
        <v>23</v>
      </c>
      <c r="B25" s="5" t="inlineStr">
        <is>
          <t>대출참여수수료(Tr.A-2 우리은행)</t>
        </is>
      </c>
      <c r="C25" s="4" t="inlineStr"/>
      <c r="D25" s="6" t="n">
        <v>560000000</v>
      </c>
      <c r="E25" s="4" t="inlineStr">
        <is>
          <t>비과세</t>
        </is>
      </c>
      <c r="F25" s="4" t="inlineStr">
        <is>
          <t>운영계좌</t>
        </is>
      </c>
      <c r="G25" s="4" t="inlineStr">
        <is>
          <t>우리은행</t>
        </is>
      </c>
      <c r="H25" s="4" t="inlineStr">
        <is>
          <t>1005-804-963776</t>
        </is>
      </c>
      <c r="I25" s="5" t="inlineStr">
        <is>
          <t>(주)우리은행 투자금융1부</t>
        </is>
      </c>
      <c r="J25" s="4" t="inlineStr">
        <is>
          <t>우리은행</t>
        </is>
      </c>
      <c r="K25" s="4" t="inlineStr">
        <is>
          <t>1005-001-222719</t>
        </is>
      </c>
      <c r="L25" s="6">
        <f>IF(E25="과세",ROUNDDOWN(D25*0.1,0),0)</f>
        <v/>
      </c>
      <c r="M25" s="6">
        <f>D25+L25</f>
        <v/>
      </c>
      <c r="N25" s="5" t="inlineStr">
        <is>
          <t>인출일(2026-10-29)</t>
        </is>
      </c>
      <c r="O25" s="5" t="inlineStr">
        <is>
          <t>부가가치세 없음. 700억 × 0.8%. [체결본] 대출참여수수료약정서(Tr_A_2_우리은행) 제2조 / 계좌: 【우리은행】통장사본_투자금융부_222719 (주선수수료와 같은 계좌로 기재 — 구분 입금 여부 우리은행 확인)</t>
        </is>
      </c>
    </row>
    <row r="26">
      <c r="A26" s="4" t="n">
        <v>24</v>
      </c>
      <c r="B26" s="5" t="inlineStr">
        <is>
          <t>대출취급수수료(Tr.B 키움캐피탈)</t>
        </is>
      </c>
      <c r="C26" s="4" t="inlineStr"/>
      <c r="D26" s="6" t="n">
        <v>200000000</v>
      </c>
      <c r="E26" s="4" t="inlineStr">
        <is>
          <t>비과세</t>
        </is>
      </c>
      <c r="F26" s="4" t="inlineStr">
        <is>
          <t>운영계좌</t>
        </is>
      </c>
      <c r="G26" s="4" t="inlineStr">
        <is>
          <t>우리은행</t>
        </is>
      </c>
      <c r="H26" s="4" t="inlineStr">
        <is>
          <t>1005-804-963776</t>
        </is>
      </c>
      <c r="I26" s="5" t="inlineStr">
        <is>
          <t>키움캐피탈 주식회사</t>
        </is>
      </c>
      <c r="J26" s="4" t="inlineStr">
        <is>
          <t>우리은행</t>
        </is>
      </c>
      <c r="K26" s="4" t="inlineStr">
        <is>
          <t>1005-003-573134</t>
        </is>
      </c>
      <c r="L26" s="6">
        <f>IF(E26="과세",ROUNDDOWN(D26*0.1,0),0)</f>
        <v/>
      </c>
      <c r="M26" s="6">
        <f>D26+L26</f>
        <v/>
      </c>
      <c r="N26" s="5" t="inlineStr">
        <is>
          <t>인출일(2026-10-29)</t>
        </is>
      </c>
      <c r="O26" s="5" t="inlineStr">
        <is>
          <t>부가가치세 없음. 200억 × 1.0%. [체결본] 대출취급수수료약정서(Tr_B_키움캐피탈) 제2조 / 계좌: 키움캐피탈 기업금융2팀 통장사본</t>
        </is>
      </c>
    </row>
    <row r="27">
      <c r="A27" s="4" t="n">
        <v>25</v>
      </c>
      <c r="B27" s="5" t="inlineStr">
        <is>
          <t>대출취급수수료(Tr.B 엠지캐피탈)</t>
        </is>
      </c>
      <c r="C27" s="4" t="inlineStr"/>
      <c r="D27" s="6" t="n">
        <v>64000000</v>
      </c>
      <c r="E27" s="4" t="inlineStr">
        <is>
          <t>비과세</t>
        </is>
      </c>
      <c r="F27" s="4" t="inlineStr">
        <is>
          <t>운영계좌</t>
        </is>
      </c>
      <c r="G27" s="4" t="inlineStr">
        <is>
          <t>우리은행</t>
        </is>
      </c>
      <c r="H27" s="4" t="inlineStr">
        <is>
          <t>1005-804-963776</t>
        </is>
      </c>
      <c r="I27" s="5" t="inlineStr">
        <is>
          <t>엠지캐피탈(주)</t>
        </is>
      </c>
      <c r="J27" s="4" t="inlineStr">
        <is>
          <t>우리은행</t>
        </is>
      </c>
      <c r="K27" s="4" t="inlineStr">
        <is>
          <t>894-000383-01-015</t>
        </is>
      </c>
      <c r="L27" s="6">
        <f>IF(E27="과세",ROUNDDOWN(D27*0.1,0),0)</f>
        <v/>
      </c>
      <c r="M27" s="6">
        <f>D27+L27</f>
        <v/>
      </c>
      <c r="N27" s="5" t="inlineStr">
        <is>
          <t>인출일(2026-10-29)</t>
        </is>
      </c>
      <c r="O27" s="5" t="inlineStr">
        <is>
          <t>부가가치세 없음. 100억 × 0.64%. [체결본] 대출취급수수료약정서(Tr_B_MG캐피탈) 제2조 / 계좌: [엠지캐피탈] 우리은행 모계좌</t>
        </is>
      </c>
    </row>
    <row r="28">
      <c r="A28" s="4" t="n">
        <v>26</v>
      </c>
      <c r="B28" s="5" t="inlineStr">
        <is>
          <t>대출참여수수료(Tr.B 디비저축은행)</t>
        </is>
      </c>
      <c r="C28" s="4" t="inlineStr"/>
      <c r="D28" s="6" t="n">
        <v>80000000</v>
      </c>
      <c r="E28" s="4" t="inlineStr">
        <is>
          <t>비과세</t>
        </is>
      </c>
      <c r="F28" s="4" t="inlineStr">
        <is>
          <t>운영계좌</t>
        </is>
      </c>
      <c r="G28" s="4" t="inlineStr">
        <is>
          <t>우리은행</t>
        </is>
      </c>
      <c r="H28" s="4" t="inlineStr">
        <is>
          <t>1005-804-963776</t>
        </is>
      </c>
      <c r="I28" s="5" t="inlineStr">
        <is>
          <t>(주)디비저축은행</t>
        </is>
      </c>
      <c r="J28" s="4" t="inlineStr">
        <is>
          <t>국민은행</t>
        </is>
      </c>
      <c r="K28" s="4" t="inlineStr">
        <is>
          <t>006-01-0381-794</t>
        </is>
      </c>
      <c r="L28" s="6">
        <f>IF(E28="과세",ROUNDDOWN(D28*0.1,0),0)</f>
        <v/>
      </c>
      <c r="M28" s="6">
        <f>D28+L28</f>
        <v/>
      </c>
      <c r="N28" s="5" t="inlineStr">
        <is>
          <t>인출일(2026-10-29)</t>
        </is>
      </c>
      <c r="O28" s="5" t="inlineStr">
        <is>
          <t>부가가치세 없음. 80억 × 1.0%. [체결본] 대출참여수수료약정서(Tr_B_DB저축은행) 제2조 / 계좌: [DB저축은행]_국민은행 예치금계좌</t>
        </is>
      </c>
    </row>
    <row r="29">
      <c r="A29" s="4" t="n">
        <v>27</v>
      </c>
      <c r="B29" s="4" t="inlineStr"/>
      <c r="C29" s="4" t="inlineStr"/>
      <c r="D29" s="4" t="n"/>
      <c r="E29" s="4" t="inlineStr"/>
      <c r="F29" s="4" t="inlineStr">
        <is>
          <t>운영계좌</t>
        </is>
      </c>
      <c r="G29" s="4" t="inlineStr">
        <is>
          <t>우리은행</t>
        </is>
      </c>
      <c r="H29" s="4" t="inlineStr">
        <is>
          <t>1005-804-963776</t>
        </is>
      </c>
      <c r="I29" s="4" t="inlineStr"/>
      <c r="J29" s="4" t="inlineStr"/>
      <c r="K29" s="4" t="inlineStr"/>
      <c r="L29" s="4" t="n"/>
      <c r="M29" s="4" t="n"/>
      <c r="N29" s="4" t="inlineStr"/>
      <c r="O29" s="4" t="inlineStr"/>
    </row>
    <row r="30">
      <c r="A30" s="4" t="n">
        <v>28</v>
      </c>
      <c r="B30" s="4" t="inlineStr"/>
      <c r="C30" s="4" t="inlineStr"/>
      <c r="D30" s="4" t="n"/>
      <c r="E30" s="4" t="inlineStr"/>
      <c r="F30" s="4" t="inlineStr">
        <is>
          <t>운영계좌</t>
        </is>
      </c>
      <c r="G30" s="4" t="inlineStr">
        <is>
          <t>우리은행</t>
        </is>
      </c>
      <c r="H30" s="4" t="inlineStr">
        <is>
          <t>1005-804-963776</t>
        </is>
      </c>
      <c r="I30" s="4" t="inlineStr"/>
      <c r="J30" s="4" t="inlineStr"/>
      <c r="K30" s="4" t="inlineStr"/>
      <c r="L30" s="4" t="n"/>
      <c r="M30" s="4" t="n"/>
      <c r="N30" s="4" t="inlineStr"/>
      <c r="O30" s="4" t="inlineStr"/>
    </row>
    <row r="31">
      <c r="A31" s="4" t="n">
        <v>29</v>
      </c>
      <c r="B31" s="4" t="inlineStr"/>
      <c r="C31" s="4" t="inlineStr"/>
      <c r="D31" s="4" t="n"/>
      <c r="E31" s="4" t="inlineStr"/>
      <c r="F31" s="4" t="inlineStr">
        <is>
          <t>운영계좌</t>
        </is>
      </c>
      <c r="G31" s="4" t="inlineStr">
        <is>
          <t>우리은행</t>
        </is>
      </c>
      <c r="H31" s="4" t="inlineStr">
        <is>
          <t>1005-804-963776</t>
        </is>
      </c>
      <c r="I31" s="4" t="inlineStr"/>
      <c r="J31" s="4" t="inlineStr"/>
      <c r="K31" s="4" t="inlineStr"/>
      <c r="L31" s="4" t="n"/>
      <c r="M31" s="4" t="n"/>
      <c r="N31" s="4" t="inlineStr"/>
      <c r="O31" s="4" t="inlineStr"/>
    </row>
    <row r="32">
      <c r="A32" s="8" t="n"/>
      <c r="B32" s="8" t="inlineStr">
        <is>
          <t>합계</t>
        </is>
      </c>
      <c r="C32" s="8" t="n"/>
      <c r="D32" s="9">
        <f>SUM(D3:D31)</f>
        <v/>
      </c>
      <c r="E32" s="8" t="n"/>
      <c r="F32" s="8" t="n"/>
      <c r="G32" s="8" t="n"/>
      <c r="H32" s="8" t="n"/>
      <c r="I32" s="8" t="n"/>
      <c r="J32" s="8" t="n"/>
      <c r="K32" s="8" t="n"/>
      <c r="L32" s="9">
        <f>SUM(L3:L31)</f>
        <v/>
      </c>
      <c r="M32" s="9">
        <f>SUM(M3:M31)</f>
        <v/>
      </c>
      <c r="N32" s="8" t="n"/>
      <c r="O32" s="8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7" customWidth="1" min="4" max="4"/>
    <col width="10" customWidth="1" min="5" max="5"/>
    <col width="11" customWidth="1" min="6" max="6"/>
    <col width="10" customWidth="1" min="7" max="7"/>
    <col width="17" customWidth="1" min="8" max="8"/>
    <col width="30" customWidth="1" min="9" max="9"/>
    <col width="10" customWidth="1" min="10" max="10"/>
    <col width="20" customWidth="1" min="11" max="11"/>
    <col width="14" customWidth="1" min="12" max="12"/>
    <col width="17" customWidth="1" min="13" max="13"/>
    <col width="22" customWidth="1" min="14" max="14"/>
    <col width="60" customWidth="1" min="15" max="15"/>
  </cols>
  <sheetData>
    <row r="1">
      <c r="A1" s="1" t="inlineStr">
        <is>
          <t>필수입력</t>
        </is>
      </c>
      <c r="B1" s="2" t="inlineStr">
        <is>
          <t>담보신탁보수 이체내역 (수탁자: 우리은행)</t>
        </is>
      </c>
    </row>
    <row r="2">
      <c r="A2" s="3" t="inlineStr">
        <is>
          <t>순번</t>
        </is>
      </c>
      <c r="B2" s="3" t="inlineStr">
        <is>
          <t>항목</t>
        </is>
      </c>
      <c r="C2" s="3" t="inlineStr">
        <is>
          <t>계정</t>
        </is>
      </c>
      <c r="D2" s="3" t="inlineStr">
        <is>
          <t>금액</t>
        </is>
      </c>
      <c r="E2" s="3" t="inlineStr">
        <is>
          <t>과세유형</t>
        </is>
      </c>
      <c r="F2" s="3" t="inlineStr">
        <is>
          <t>출금처</t>
        </is>
      </c>
      <c r="G2" s="3" t="inlineStr">
        <is>
          <t>출금은행</t>
        </is>
      </c>
      <c r="H2" s="3" t="inlineStr">
        <is>
          <t>출금계좌</t>
        </is>
      </c>
      <c r="I2" s="3" t="inlineStr">
        <is>
          <t>입금처</t>
        </is>
      </c>
      <c r="J2" s="3" t="inlineStr">
        <is>
          <t>입금은행</t>
        </is>
      </c>
      <c r="K2" s="3" t="inlineStr">
        <is>
          <t>입금계좌</t>
        </is>
      </c>
      <c r="L2" s="3" t="inlineStr">
        <is>
          <t>부가세(10%)</t>
        </is>
      </c>
      <c r="M2" s="3" t="inlineStr">
        <is>
          <t>실제 이체금액</t>
        </is>
      </c>
      <c r="N2" s="3" t="inlineStr">
        <is>
          <t>지급기한</t>
        </is>
      </c>
      <c r="O2" s="3" t="inlineStr">
        <is>
          <t>근거·비고</t>
        </is>
      </c>
    </row>
    <row r="3">
      <c r="A3" s="4" t="n">
        <v>1</v>
      </c>
      <c r="B3" s="5" t="inlineStr">
        <is>
          <t>담보신탁보수(신탁재산 관리보수)</t>
        </is>
      </c>
      <c r="C3" s="4" t="inlineStr"/>
      <c r="D3" s="6" t="n">
        <v>50000000</v>
      </c>
      <c r="E3" s="4" t="inlineStr">
        <is>
          <t>비과세</t>
        </is>
      </c>
      <c r="F3" s="4" t="inlineStr">
        <is>
          <t>운영계좌</t>
        </is>
      </c>
      <c r="G3" s="4" t="inlineStr">
        <is>
          <t>우리은행</t>
        </is>
      </c>
      <c r="H3" s="4" t="inlineStr">
        <is>
          <t>1005-804-963776</t>
        </is>
      </c>
      <c r="I3" s="5" t="inlineStr">
        <is>
          <t>(주)우리은행 신탁부</t>
        </is>
      </c>
      <c r="J3" s="4" t="inlineStr">
        <is>
          <t>우리은행</t>
        </is>
      </c>
      <c r="K3" s="4" t="inlineStr">
        <is>
          <t>003-441153-01-001</t>
        </is>
      </c>
      <c r="L3" s="6">
        <f>IF(E3="과세",ROUNDDOWN(D3*0.1,0),0)</f>
        <v/>
      </c>
      <c r="M3" s="6">
        <f>D3+L3</f>
        <v/>
      </c>
      <c r="N3" s="5" t="inlineStr">
        <is>
          <t>수익권증서 발급 시(일시 선납)</t>
        </is>
      </c>
      <c r="O3" s="5" t="inlineStr">
        <is>
          <t>금 5천만원, 부가가치세 없음. 부동산담보신탁계약서(2026-10-20 v02.3) 제18조·별지3 / 계좌: □신탁보수입금계좌표제부_우리은행신탁부. ※ 신탁원부 변경등기 시 관리보수 150만원 별도(특약 제16조) — 이번 이체 대상 아님</t>
        </is>
      </c>
    </row>
    <row r="4">
      <c r="A4" s="4" t="n">
        <v>2</v>
      </c>
      <c r="B4" s="4" t="inlineStr"/>
      <c r="C4" s="4" t="inlineStr"/>
      <c r="D4" s="4" t="n"/>
      <c r="E4" s="4" t="inlineStr"/>
      <c r="F4" s="4" t="inlineStr">
        <is>
          <t>운영계좌</t>
        </is>
      </c>
      <c r="G4" s="4" t="inlineStr">
        <is>
          <t>우리은행</t>
        </is>
      </c>
      <c r="H4" s="4" t="inlineStr">
        <is>
          <t>1005-804-963776</t>
        </is>
      </c>
      <c r="I4" s="4" t="inlineStr"/>
      <c r="J4" s="4" t="inlineStr"/>
      <c r="K4" s="4" t="inlineStr"/>
      <c r="L4" s="4" t="n"/>
      <c r="M4" s="4" t="n"/>
      <c r="N4" s="4" t="inlineStr"/>
      <c r="O4" s="4" t="inlineStr"/>
    </row>
    <row r="5">
      <c r="A5" s="4" t="n">
        <v>3</v>
      </c>
      <c r="B5" s="4" t="inlineStr"/>
      <c r="C5" s="4" t="inlineStr"/>
      <c r="D5" s="4" t="n"/>
      <c r="E5" s="4" t="inlineStr"/>
      <c r="F5" s="4" t="inlineStr">
        <is>
          <t>운영계좌</t>
        </is>
      </c>
      <c r="G5" s="4" t="inlineStr">
        <is>
          <t>우리은행</t>
        </is>
      </c>
      <c r="H5" s="4" t="inlineStr">
        <is>
          <t>1005-804-963776</t>
        </is>
      </c>
      <c r="I5" s="4" t="inlineStr"/>
      <c r="J5" s="4" t="inlineStr"/>
      <c r="K5" s="4" t="inlineStr"/>
      <c r="L5" s="4" t="n"/>
      <c r="M5" s="4" t="n"/>
      <c r="N5" s="4" t="inlineStr"/>
      <c r="O5" s="4" t="inlineStr"/>
    </row>
    <row r="6">
      <c r="A6" s="4" t="n">
        <v>4</v>
      </c>
      <c r="B6" s="4" t="inlineStr"/>
      <c r="C6" s="4" t="inlineStr"/>
      <c r="D6" s="4" t="n"/>
      <c r="E6" s="4" t="inlineStr"/>
      <c r="F6" s="4" t="inlineStr">
        <is>
          <t>운영계좌</t>
        </is>
      </c>
      <c r="G6" s="4" t="inlineStr">
        <is>
          <t>우리은행</t>
        </is>
      </c>
      <c r="H6" s="4" t="inlineStr">
        <is>
          <t>1005-804-963776</t>
        </is>
      </c>
      <c r="I6" s="4" t="inlineStr"/>
      <c r="J6" s="4" t="inlineStr"/>
      <c r="K6" s="4" t="inlineStr"/>
      <c r="L6" s="4" t="n"/>
      <c r="M6" s="4" t="n"/>
      <c r="N6" s="4" t="inlineStr"/>
      <c r="O6" s="4" t="inlineStr"/>
    </row>
    <row r="7">
      <c r="A7" s="8" t="n"/>
      <c r="B7" s="8" t="inlineStr">
        <is>
          <t>합계</t>
        </is>
      </c>
      <c r="C7" s="8" t="n"/>
      <c r="D7" s="9">
        <f>SUM(D3:D6)</f>
        <v/>
      </c>
      <c r="E7" s="8" t="n"/>
      <c r="F7" s="8" t="n"/>
      <c r="G7" s="8" t="n"/>
      <c r="H7" s="8" t="n"/>
      <c r="I7" s="8" t="n"/>
      <c r="J7" s="8" t="n"/>
      <c r="K7" s="8" t="n"/>
      <c r="L7" s="9">
        <f>SUM(L3:L6)</f>
        <v/>
      </c>
      <c r="M7" s="9">
        <f>SUM(M3:M6)</f>
        <v/>
      </c>
      <c r="N7" s="8" t="n"/>
      <c r="O7" s="8" t="n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9"/>
  <sheetViews>
    <sheetView zoomScale="9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7" customWidth="1" min="4" max="4"/>
    <col width="10" customWidth="1" min="5" max="5"/>
    <col width="11" customWidth="1" min="6" max="6"/>
    <col width="10" customWidth="1" min="7" max="7"/>
    <col width="17" customWidth="1" min="8" max="8"/>
    <col width="30" customWidth="1" min="9" max="9"/>
    <col width="10" customWidth="1" min="10" max="10"/>
    <col width="20" customWidth="1" min="11" max="11"/>
    <col width="14" customWidth="1" min="12" max="12"/>
    <col width="17" customWidth="1" min="13" max="13"/>
    <col width="22" customWidth="1" min="14" max="14"/>
    <col width="60" customWidth="1" min="15" max="15"/>
  </cols>
  <sheetData>
    <row r="1">
      <c r="A1" s="1" t="inlineStr">
        <is>
          <t>필수입력</t>
        </is>
      </c>
      <c r="B1" s="2" t="inlineStr">
        <is>
          <t>이자유보계좌 이자적립금 예치 내역 (대출약정서 v.final, 인출일 당일 3개월분 이자)</t>
        </is>
      </c>
    </row>
    <row r="2">
      <c r="A2" s="3" t="inlineStr">
        <is>
          <t>순번</t>
        </is>
      </c>
      <c r="B2" s="3" t="inlineStr">
        <is>
          <t>항목</t>
        </is>
      </c>
      <c r="C2" s="3" t="inlineStr">
        <is>
          <t>계정</t>
        </is>
      </c>
      <c r="D2" s="3" t="inlineStr">
        <is>
          <t>금액</t>
        </is>
      </c>
      <c r="E2" s="3" t="inlineStr">
        <is>
          <t>과세유형</t>
        </is>
      </c>
      <c r="F2" s="3" t="inlineStr">
        <is>
          <t>출금처</t>
        </is>
      </c>
      <c r="G2" s="3" t="inlineStr">
        <is>
          <t>출금은행</t>
        </is>
      </c>
      <c r="H2" s="3" t="inlineStr">
        <is>
          <t>출금계좌</t>
        </is>
      </c>
      <c r="I2" s="3" t="inlineStr">
        <is>
          <t>입금처</t>
        </is>
      </c>
      <c r="J2" s="3" t="inlineStr">
        <is>
          <t>입금은행</t>
        </is>
      </c>
      <c r="K2" s="3" t="inlineStr">
        <is>
          <t>입금계좌</t>
        </is>
      </c>
      <c r="L2" s="3" t="inlineStr">
        <is>
          <t>부가세(10%)</t>
        </is>
      </c>
      <c r="M2" s="3" t="inlineStr">
        <is>
          <t>실제 이체금액</t>
        </is>
      </c>
      <c r="N2" s="3" t="inlineStr">
        <is>
          <t>지급기한</t>
        </is>
      </c>
      <c r="O2" s="3" t="inlineStr">
        <is>
          <t>근거·비고</t>
        </is>
      </c>
    </row>
    <row r="3">
      <c r="A3" s="4" t="n">
        <v>1</v>
      </c>
      <c r="B3" s="5" t="inlineStr">
        <is>
          <t>이자적립금 예치(Tranche A-1, 3개월분)</t>
        </is>
      </c>
      <c r="C3" s="4" t="inlineStr"/>
      <c r="D3" s="6">
        <f>'이자유보금_계산'!G45</f>
        <v/>
      </c>
      <c r="E3" s="4" t="inlineStr">
        <is>
          <t>비과세</t>
        </is>
      </c>
      <c r="F3" s="4" t="inlineStr">
        <is>
          <t>운영계좌</t>
        </is>
      </c>
      <c r="G3" s="4" t="inlineStr">
        <is>
          <t>우리은행</t>
        </is>
      </c>
      <c r="H3" s="4" t="inlineStr">
        <is>
          <t>1005-804-963776</t>
        </is>
      </c>
      <c r="I3" s="5" t="inlineStr">
        <is>
          <t>Tranche A 이자유보계좌(차주 명의)</t>
        </is>
      </c>
      <c r="J3" s="4" t="inlineStr">
        <is>
          <t>우리은행</t>
        </is>
      </c>
      <c r="K3" s="4" t="inlineStr">
        <is>
          <t>1005-504-965088</t>
        </is>
      </c>
      <c r="L3" s="6">
        <f>IF(E3="과세",ROUNDDOWN(D3*0.1,0),0)</f>
        <v/>
      </c>
      <c r="M3" s="6">
        <f>D3+L3</f>
        <v/>
      </c>
      <c r="N3" s="5" t="inlineStr">
        <is>
          <t>인출일 당일(2026-10-29)</t>
        </is>
      </c>
      <c r="O3" s="5" t="inlineStr">
        <is>
          <t>연 5.00%, 2026-10-29~2027-01-29(92일). 계산: '이자유보금_계산' 탭 / 대출약정서상 대출금입금계좌(1005-504-949583)에서 직접 이체할 수 있음 — 출금계좌 확인</t>
        </is>
      </c>
    </row>
    <row r="4">
      <c r="A4" s="4" t="n">
        <v>2</v>
      </c>
      <c r="B4" s="5" t="inlineStr">
        <is>
          <t>이자적립금 예치(Tranche A-2, 3개월분)</t>
        </is>
      </c>
      <c r="C4" s="4" t="inlineStr"/>
      <c r="D4" s="6">
        <f>'이자유보금_계산'!G46</f>
        <v/>
      </c>
      <c r="E4" s="4" t="inlineStr">
        <is>
          <t>비과세</t>
        </is>
      </c>
      <c r="F4" s="4" t="inlineStr">
        <is>
          <t>운영계좌</t>
        </is>
      </c>
      <c r="G4" s="4" t="inlineStr">
        <is>
          <t>우리은행</t>
        </is>
      </c>
      <c r="H4" s="4" t="inlineStr">
        <is>
          <t>1005-804-963776</t>
        </is>
      </c>
      <c r="I4" s="5" t="inlineStr">
        <is>
          <t>Tranche A 이자유보계좌(차주 명의)</t>
        </is>
      </c>
      <c r="J4" s="4" t="inlineStr">
        <is>
          <t>우리은행</t>
        </is>
      </c>
      <c r="K4" s="4" t="inlineStr">
        <is>
          <t>1005-504-965088</t>
        </is>
      </c>
      <c r="L4" s="6">
        <f>IF(E4="과세",ROUNDDOWN(D4*0.1,0),0)</f>
        <v/>
      </c>
      <c r="M4" s="6">
        <f>D4+L4</f>
        <v/>
      </c>
      <c r="N4" s="5" t="inlineStr">
        <is>
          <t>인출일 당일(2026-10-29)</t>
        </is>
      </c>
      <c r="O4" s="5" t="inlineStr">
        <is>
          <t>CD 3.27%(10/26 3.26%·10/27 3.27%·10/28 3.27% 평균, 셋째 자리 반올림) + 1.43% = 연 4.70%, 92일. 계산: '이자유보금_계산' 탭 / 대출약정서상 대출금입금계좌(1005-504-949583)에서 직접 이체할 수 있음 — 출금계좌 확인</t>
        </is>
      </c>
    </row>
    <row r="5">
      <c r="A5" s="4" t="n">
        <v>3</v>
      </c>
      <c r="B5" s="5" t="inlineStr">
        <is>
          <t>이자적립금 예치(Tranche B, 3개월분)</t>
        </is>
      </c>
      <c r="C5" s="4" t="inlineStr"/>
      <c r="D5" s="6">
        <f>'이자유보금_계산'!G47</f>
        <v/>
      </c>
      <c r="E5" s="4" t="inlineStr">
        <is>
          <t>비과세</t>
        </is>
      </c>
      <c r="F5" s="4" t="inlineStr">
        <is>
          <t>운영계좌</t>
        </is>
      </c>
      <c r="G5" s="4" t="inlineStr">
        <is>
          <t>우리은행</t>
        </is>
      </c>
      <c r="H5" s="4" t="inlineStr">
        <is>
          <t>1005-804-963776</t>
        </is>
      </c>
      <c r="I5" s="5" t="inlineStr">
        <is>
          <t>Tranche B 이자유보계좌(차주 명의)</t>
        </is>
      </c>
      <c r="J5" s="4" t="inlineStr">
        <is>
          <t>우리은행</t>
        </is>
      </c>
      <c r="K5" s="4" t="inlineStr">
        <is>
          <t>1005-504-970089</t>
        </is>
      </c>
      <c r="L5" s="6">
        <f>IF(E5="과세",ROUNDDOWN(D5*0.1,0),0)</f>
        <v/>
      </c>
      <c r="M5" s="6">
        <f>D5+L5</f>
        <v/>
      </c>
      <c r="N5" s="5" t="inlineStr">
        <is>
          <t>인출일 당일(2026-10-29)</t>
        </is>
      </c>
      <c r="O5" s="5" t="inlineStr">
        <is>
          <t>연 6.00%, 92일. 계산: '이자유보금_계산' 탭 / 대출약정서상 대출금입금계좌(1005-504-949583)에서 직접 이체할 수 있음 — 출금계좌 확인</t>
        </is>
      </c>
    </row>
    <row r="6">
      <c r="A6" s="4" t="n">
        <v>4</v>
      </c>
      <c r="B6" s="4" t="inlineStr"/>
      <c r="C6" s="4" t="inlineStr"/>
      <c r="D6" s="4" t="n"/>
      <c r="E6" s="4" t="inlineStr"/>
      <c r="F6" s="4" t="inlineStr">
        <is>
          <t>운영계좌</t>
        </is>
      </c>
      <c r="G6" s="4" t="inlineStr">
        <is>
          <t>우리은행</t>
        </is>
      </c>
      <c r="H6" s="4" t="inlineStr">
        <is>
          <t>1005-804-963776</t>
        </is>
      </c>
      <c r="I6" s="4" t="inlineStr"/>
      <c r="J6" s="4" t="inlineStr"/>
      <c r="K6" s="4" t="inlineStr"/>
      <c r="L6" s="4" t="n"/>
      <c r="M6" s="4" t="n"/>
      <c r="N6" s="4" t="inlineStr"/>
      <c r="O6" s="4" t="inlineStr"/>
    </row>
    <row r="7">
      <c r="A7" s="4" t="n">
        <v>5</v>
      </c>
      <c r="B7" s="4" t="inlineStr"/>
      <c r="C7" s="4" t="inlineStr"/>
      <c r="D7" s="4" t="n"/>
      <c r="E7" s="4" t="inlineStr"/>
      <c r="F7" s="4" t="inlineStr">
        <is>
          <t>운영계좌</t>
        </is>
      </c>
      <c r="G7" s="4" t="inlineStr">
        <is>
          <t>우리은행</t>
        </is>
      </c>
      <c r="H7" s="4" t="inlineStr">
        <is>
          <t>1005-804-963776</t>
        </is>
      </c>
      <c r="I7" s="4" t="inlineStr"/>
      <c r="J7" s="4" t="inlineStr"/>
      <c r="K7" s="4" t="inlineStr"/>
      <c r="L7" s="4" t="n"/>
      <c r="M7" s="4" t="n"/>
      <c r="N7" s="4" t="inlineStr"/>
      <c r="O7" s="4" t="inlineStr"/>
    </row>
    <row r="8">
      <c r="A8" s="4" t="n">
        <v>6</v>
      </c>
      <c r="B8" s="4" t="inlineStr"/>
      <c r="C8" s="4" t="inlineStr"/>
      <c r="D8" s="4" t="n"/>
      <c r="E8" s="4" t="inlineStr"/>
      <c r="F8" s="4" t="inlineStr">
        <is>
          <t>운영계좌</t>
        </is>
      </c>
      <c r="G8" s="4" t="inlineStr">
        <is>
          <t>우리은행</t>
        </is>
      </c>
      <c r="H8" s="4" t="inlineStr">
        <is>
          <t>1005-804-963776</t>
        </is>
      </c>
      <c r="I8" s="4" t="inlineStr"/>
      <c r="J8" s="4" t="inlineStr"/>
      <c r="K8" s="4" t="inlineStr"/>
      <c r="L8" s="4" t="n"/>
      <c r="M8" s="4" t="n"/>
      <c r="N8" s="4" t="inlineStr"/>
      <c r="O8" s="4" t="inlineStr"/>
    </row>
    <row r="9">
      <c r="A9" s="8" t="n"/>
      <c r="B9" s="8" t="inlineStr">
        <is>
          <t>합계</t>
        </is>
      </c>
      <c r="C9" s="8" t="n"/>
      <c r="D9" s="9">
        <f>SUM(D3:D8)</f>
        <v/>
      </c>
      <c r="E9" s="8" t="n"/>
      <c r="F9" s="8" t="n"/>
      <c r="G9" s="8" t="n"/>
      <c r="H9" s="8" t="n"/>
      <c r="I9" s="8" t="n"/>
      <c r="J9" s="8" t="n"/>
      <c r="K9" s="8" t="n"/>
      <c r="L9" s="9">
        <f>SUM(L3:L8)</f>
        <v/>
      </c>
      <c r="M9" s="9">
        <f>SUM(M3:M8)</f>
        <v/>
      </c>
      <c r="N9" s="8" t="n"/>
      <c r="O9" s="8" t="n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2" customWidth="1" min="4" max="4"/>
    <col width="12" customWidth="1" min="5" max="5"/>
    <col width="12" customWidth="1" min="6" max="6"/>
    <col width="18" customWidth="1" min="7" max="7"/>
    <col width="40" customWidth="1" min="8" max="8"/>
  </cols>
  <sheetData>
    <row r="1">
      <c r="A1" s="13" t="inlineStr">
        <is>
          <t>이자유보계좌 이자적립금(3개월분) 계산 — 인출일 2026-10-29</t>
        </is>
      </c>
    </row>
    <row r="2" ht="30" customHeight="1">
      <c r="A2" s="16" t="inlineStr">
        <is>
          <t>대출약정서(v.final): 차주는 인출일 당일 Tranche A·B 대출금의 각 3개월분 이자 상당액을 각 이자유보계좌에 적립. 이자 = 원금 × 연이율 × 일수 ÷ 365, 초일 산입·말일 불산입, 대주별 원 미만 절사.</t>
        </is>
      </c>
    </row>
    <row r="3">
      <c r="A3" s="3" t="inlineStr">
        <is>
          <t>항목</t>
        </is>
      </c>
      <c r="B3" s="3" t="inlineStr">
        <is>
          <t>값</t>
        </is>
      </c>
      <c r="C3" s="3" t="inlineStr">
        <is>
          <t>비고</t>
        </is>
      </c>
      <c r="D3" s="17" t="n"/>
      <c r="E3" s="18" t="n"/>
    </row>
    <row r="4">
      <c r="A4" s="10" t="inlineStr">
        <is>
          <t>인출일(최초 이자기간 시작일)</t>
        </is>
      </c>
      <c r="B4" s="19" t="n">
        <v>46324</v>
      </c>
      <c r="C4" s="10" t="inlineStr">
        <is>
          <t>기준 일정</t>
        </is>
      </c>
      <c r="D4" s="17" t="n"/>
      <c r="E4" s="18" t="n"/>
    </row>
    <row r="5">
      <c r="A5" s="10" t="inlineStr">
        <is>
          <t>최초 이자지급일(3개월 응당일)</t>
        </is>
      </c>
      <c r="B5" s="19" t="n">
        <v>46416</v>
      </c>
      <c r="C5" s="10" t="inlineStr">
        <is>
          <t>2027-01-29(금) 영업일 — 조정 없음</t>
        </is>
      </c>
      <c r="D5" s="17" t="n"/>
      <c r="E5" s="18" t="n"/>
    </row>
    <row r="6">
      <c r="A6" s="10" t="inlineStr">
        <is>
          <t>이자기간 일수</t>
        </is>
      </c>
      <c r="B6" s="20">
        <f>B5-B4</f>
        <v/>
      </c>
      <c r="C6" s="10" t="inlineStr">
        <is>
          <t>초일 산입·말일 불산입</t>
        </is>
      </c>
      <c r="D6" s="17" t="n"/>
      <c r="E6" s="18" t="n"/>
    </row>
    <row r="7">
      <c r="A7" s="10" t="inlineStr">
        <is>
          <t>연 일수</t>
        </is>
      </c>
      <c r="B7" s="20" t="n">
        <v>365</v>
      </c>
      <c r="C7" s="10" t="inlineStr">
        <is>
          <t>2026~2027년 평년</t>
        </is>
      </c>
      <c r="D7" s="17" t="n"/>
      <c r="E7" s="18" t="n"/>
    </row>
    <row r="8">
      <c r="A8" s="10" t="inlineStr">
        <is>
          <t>CD금리 ① 2026-10-26(월)</t>
        </is>
      </c>
      <c r="B8" s="21" t="n">
        <v>0.0326</v>
      </c>
      <c r="C8" s="10" t="inlineStr">
        <is>
          <t>운용역 제공</t>
        </is>
      </c>
      <c r="D8" s="17" t="n"/>
      <c r="E8" s="18" t="n"/>
    </row>
    <row r="9">
      <c r="A9" s="10" t="inlineStr">
        <is>
          <t>CD금리 ② 2026-10-27(화)</t>
        </is>
      </c>
      <c r="B9" s="21" t="n">
        <v>0.0327</v>
      </c>
      <c r="C9" s="10" t="inlineStr">
        <is>
          <t>운용역 제공</t>
        </is>
      </c>
      <c r="D9" s="17" t="n"/>
      <c r="E9" s="18" t="n"/>
    </row>
    <row r="10">
      <c r="A10" s="10" t="inlineStr">
        <is>
          <t>CD금리 ③ 2026-10-28(수)</t>
        </is>
      </c>
      <c r="B10" s="21" t="n">
        <v>0.0327</v>
      </c>
      <c r="C10" s="10" t="inlineStr">
        <is>
          <t>운용역 제공</t>
        </is>
      </c>
      <c r="D10" s="17" t="n"/>
      <c r="E10" s="18" t="n"/>
    </row>
    <row r="11">
      <c r="A11" s="10" t="inlineStr">
        <is>
          <t>CD금리 3영업일 단순평균</t>
        </is>
      </c>
      <c r="B11" s="22">
        <f>AVERAGE(B8:B10)</f>
        <v/>
      </c>
      <c r="C11" s="10" t="inlineStr">
        <is>
          <t>반올림 전</t>
        </is>
      </c>
      <c r="D11" s="17" t="n"/>
      <c r="E11" s="18" t="n"/>
    </row>
    <row r="12">
      <c r="A12" s="10" t="inlineStr">
        <is>
          <t>A-2 기준금리</t>
        </is>
      </c>
      <c r="B12" s="22">
        <f>ROUND(B11,4)</f>
        <v/>
      </c>
      <c r="C12" s="10" t="inlineStr">
        <is>
          <t>소수점 아래 셋째 자리에서 반올림(%) → 3.27%</t>
        </is>
      </c>
      <c r="D12" s="17" t="n"/>
      <c r="E12" s="18" t="n"/>
    </row>
    <row r="13">
      <c r="A13" s="10" t="inlineStr">
        <is>
          <t>A-2 가산금리</t>
        </is>
      </c>
      <c r="B13" s="22" t="n">
        <v>0.0143</v>
      </c>
      <c r="C13" s="10" t="inlineStr">
        <is>
          <t>대출약정서 제5조</t>
        </is>
      </c>
      <c r="D13" s="17" t="n"/>
      <c r="E13" s="18" t="n"/>
    </row>
    <row r="14">
      <c r="A14" s="10" t="inlineStr">
        <is>
          <t>Tranche A-1 금리(고정)</t>
        </is>
      </c>
      <c r="B14" s="22" t="n">
        <v>0.05</v>
      </c>
      <c r="C14" s="10" t="inlineStr">
        <is>
          <t>대출약정서 제5조</t>
        </is>
      </c>
      <c r="D14" s="17" t="n"/>
      <c r="E14" s="18" t="n"/>
    </row>
    <row r="15">
      <c r="A15" s="10" t="inlineStr">
        <is>
          <t>Tranche A-2 적용금리</t>
        </is>
      </c>
      <c r="B15" s="22">
        <f>B12+B13</f>
        <v/>
      </c>
      <c r="C15" s="10" t="inlineStr">
        <is>
          <t>기준금리 + 1.43%</t>
        </is>
      </c>
      <c r="D15" s="17" t="n"/>
      <c r="E15" s="18" t="n"/>
    </row>
    <row r="16">
      <c r="A16" s="10" t="inlineStr">
        <is>
          <t>Tranche B 금리(고정)</t>
        </is>
      </c>
      <c r="B16" s="22" t="n">
        <v>0.06</v>
      </c>
      <c r="C16" s="10" t="inlineStr">
        <is>
          <t>대출약정서 제5조</t>
        </is>
      </c>
      <c r="D16" s="17" t="n"/>
      <c r="E16" s="18" t="n"/>
    </row>
    <row r="19">
      <c r="A19" s="3" t="inlineStr">
        <is>
          <t>대주</t>
        </is>
      </c>
      <c r="B19" s="3" t="inlineStr">
        <is>
          <t>Tranche</t>
        </is>
      </c>
      <c r="C19" s="3" t="inlineStr">
        <is>
          <t>대출약정금</t>
        </is>
      </c>
      <c r="D19" s="3" t="inlineStr">
        <is>
          <t>적용금리</t>
        </is>
      </c>
      <c r="E19" s="3" t="inlineStr">
        <is>
          <t>일수</t>
        </is>
      </c>
      <c r="F19" s="3" t="inlineStr">
        <is>
          <t>연일수</t>
        </is>
      </c>
      <c r="G19" s="3" t="inlineStr">
        <is>
          <t>3개월분 이자(원 미만 절사)</t>
        </is>
      </c>
      <c r="H19" s="3" t="inlineStr">
        <is>
          <t>입금 이자유보계좌</t>
        </is>
      </c>
    </row>
    <row r="20">
      <c r="A20" s="10" t="inlineStr">
        <is>
          <t>롯데캐피탈(주)</t>
        </is>
      </c>
      <c r="B20" s="14" t="inlineStr">
        <is>
          <t>A-1</t>
        </is>
      </c>
      <c r="C20" s="11" t="n">
        <v>30000000000</v>
      </c>
      <c r="D20" s="23">
        <f>$B$14</f>
        <v/>
      </c>
      <c r="E20" s="24">
        <f>$B$6</f>
        <v/>
      </c>
      <c r="F20" s="24">
        <f>$B$7</f>
        <v/>
      </c>
      <c r="G20" s="11">
        <f>ROUNDDOWN(C20*D20*E20/F20,0)</f>
        <v/>
      </c>
      <c r="H20" s="10" t="inlineStr">
        <is>
          <t>Tranche A 이자유보계좌 1005-504-965088</t>
        </is>
      </c>
    </row>
    <row r="21">
      <c r="A21" s="10" t="inlineStr">
        <is>
          <t>(주)우리카드</t>
        </is>
      </c>
      <c r="B21" s="14" t="inlineStr">
        <is>
          <t>A-1</t>
        </is>
      </c>
      <c r="C21" s="11" t="n">
        <v>10000000000</v>
      </c>
      <c r="D21" s="23">
        <f>$B$14</f>
        <v/>
      </c>
      <c r="E21" s="24">
        <f>$B$6</f>
        <v/>
      </c>
      <c r="F21" s="24">
        <f>$B$7</f>
        <v/>
      </c>
      <c r="G21" s="11">
        <f>ROUNDDOWN(C21*D21*E21/F21,0)</f>
        <v/>
      </c>
      <c r="H21" s="10" t="inlineStr">
        <is>
          <t>Tranche A 이자유보계좌 1005-504-965088</t>
        </is>
      </c>
    </row>
    <row r="22">
      <c r="A22" s="10" t="inlineStr">
        <is>
          <t>신용협동조합중앙회</t>
        </is>
      </c>
      <c r="B22" s="14" t="inlineStr">
        <is>
          <t>A-1</t>
        </is>
      </c>
      <c r="C22" s="11" t="n">
        <v>100000000</v>
      </c>
      <c r="D22" s="23">
        <f>$B$14</f>
        <v/>
      </c>
      <c r="E22" s="24">
        <f>$B$6</f>
        <v/>
      </c>
      <c r="F22" s="24">
        <f>$B$7</f>
        <v/>
      </c>
      <c r="G22" s="11">
        <f>ROUNDDOWN(C22*D22*E22/F22,0)</f>
        <v/>
      </c>
      <c r="H22" s="10" t="inlineStr">
        <is>
          <t>Tranche A 이자유보계좌 1005-504-965088</t>
        </is>
      </c>
    </row>
    <row r="23">
      <c r="A23" s="10" t="inlineStr">
        <is>
          <t>서로신용협동조합</t>
        </is>
      </c>
      <c r="B23" s="14" t="inlineStr">
        <is>
          <t>A-1</t>
        </is>
      </c>
      <c r="C23" s="11" t="n">
        <v>4000000000</v>
      </c>
      <c r="D23" s="23">
        <f>$B$14</f>
        <v/>
      </c>
      <c r="E23" s="24">
        <f>$B$6</f>
        <v/>
      </c>
      <c r="F23" s="24">
        <f>$B$7</f>
        <v/>
      </c>
      <c r="G23" s="11">
        <f>ROUNDDOWN(C23*D23*E23/F23,0)</f>
        <v/>
      </c>
      <c r="H23" s="10" t="inlineStr">
        <is>
          <t>Tranche A 이자유보계좌 1005-504-965088</t>
        </is>
      </c>
    </row>
    <row r="24">
      <c r="A24" s="10" t="inlineStr">
        <is>
          <t>수지신용협동조합</t>
        </is>
      </c>
      <c r="B24" s="14" t="inlineStr">
        <is>
          <t>A-1</t>
        </is>
      </c>
      <c r="C24" s="11" t="n">
        <v>2800000000</v>
      </c>
      <c r="D24" s="23">
        <f>$B$14</f>
        <v/>
      </c>
      <c r="E24" s="24">
        <f>$B$6</f>
        <v/>
      </c>
      <c r="F24" s="24">
        <f>$B$7</f>
        <v/>
      </c>
      <c r="G24" s="11">
        <f>ROUNDDOWN(C24*D24*E24/F24,0)</f>
        <v/>
      </c>
      <c r="H24" s="10" t="inlineStr">
        <is>
          <t>Tranche A 이자유보계좌 1005-504-965088</t>
        </is>
      </c>
    </row>
    <row r="25">
      <c r="A25" s="10" t="inlineStr">
        <is>
          <t>정선신용협동조합</t>
        </is>
      </c>
      <c r="B25" s="14" t="inlineStr">
        <is>
          <t>A-1</t>
        </is>
      </c>
      <c r="C25" s="11" t="n">
        <v>2400000000</v>
      </c>
      <c r="D25" s="23">
        <f>$B$14</f>
        <v/>
      </c>
      <c r="E25" s="24">
        <f>$B$6</f>
        <v/>
      </c>
      <c r="F25" s="24">
        <f>$B$7</f>
        <v/>
      </c>
      <c r="G25" s="11">
        <f>ROUNDDOWN(C25*D25*E25/F25,0)</f>
        <v/>
      </c>
      <c r="H25" s="10" t="inlineStr">
        <is>
          <t>Tranche A 이자유보계좌 1005-504-965088</t>
        </is>
      </c>
    </row>
    <row r="26">
      <c r="A26" s="10" t="inlineStr">
        <is>
          <t>연희신용협동조합</t>
        </is>
      </c>
      <c r="B26" s="14" t="inlineStr">
        <is>
          <t>A-1</t>
        </is>
      </c>
      <c r="C26" s="11" t="n">
        <v>1400000000</v>
      </c>
      <c r="D26" s="23">
        <f>$B$14</f>
        <v/>
      </c>
      <c r="E26" s="24">
        <f>$B$6</f>
        <v/>
      </c>
      <c r="F26" s="24">
        <f>$B$7</f>
        <v/>
      </c>
      <c r="G26" s="11">
        <f>ROUNDDOWN(C26*D26*E26/F26,0)</f>
        <v/>
      </c>
      <c r="H26" s="10" t="inlineStr">
        <is>
          <t>Tranche A 이자유보계좌 1005-504-965088</t>
        </is>
      </c>
    </row>
    <row r="27">
      <c r="A27" s="10" t="inlineStr">
        <is>
          <t>금모래신용협동조합</t>
        </is>
      </c>
      <c r="B27" s="14" t="inlineStr">
        <is>
          <t>A-1</t>
        </is>
      </c>
      <c r="C27" s="11" t="n">
        <v>1800000000</v>
      </c>
      <c r="D27" s="23">
        <f>$B$14</f>
        <v/>
      </c>
      <c r="E27" s="24">
        <f>$B$6</f>
        <v/>
      </c>
      <c r="F27" s="24">
        <f>$B$7</f>
        <v/>
      </c>
      <c r="G27" s="11">
        <f>ROUNDDOWN(C27*D27*E27/F27,0)</f>
        <v/>
      </c>
      <c r="H27" s="10" t="inlineStr">
        <is>
          <t>Tranche A 이자유보계좌 1005-504-965088</t>
        </is>
      </c>
    </row>
    <row r="28">
      <c r="A28" s="10" t="inlineStr">
        <is>
          <t>남인천신용협동조합</t>
        </is>
      </c>
      <c r="B28" s="14" t="inlineStr">
        <is>
          <t>A-1</t>
        </is>
      </c>
      <c r="C28" s="11" t="n">
        <v>1000000000</v>
      </c>
      <c r="D28" s="23">
        <f>$B$14</f>
        <v/>
      </c>
      <c r="E28" s="24">
        <f>$B$6</f>
        <v/>
      </c>
      <c r="F28" s="24">
        <f>$B$7</f>
        <v/>
      </c>
      <c r="G28" s="11">
        <f>ROUNDDOWN(C28*D28*E28/F28,0)</f>
        <v/>
      </c>
      <c r="H28" s="10" t="inlineStr">
        <is>
          <t>Tranche A 이자유보계좌 1005-504-965088</t>
        </is>
      </c>
    </row>
    <row r="29">
      <c r="A29" s="10" t="inlineStr">
        <is>
          <t>미호신용협동조합</t>
        </is>
      </c>
      <c r="B29" s="14" t="inlineStr">
        <is>
          <t>A-1</t>
        </is>
      </c>
      <c r="C29" s="11" t="n">
        <v>1300000000</v>
      </c>
      <c r="D29" s="23">
        <f>$B$14</f>
        <v/>
      </c>
      <c r="E29" s="24">
        <f>$B$6</f>
        <v/>
      </c>
      <c r="F29" s="24">
        <f>$B$7</f>
        <v/>
      </c>
      <c r="G29" s="11">
        <f>ROUNDDOWN(C29*D29*E29/F29,0)</f>
        <v/>
      </c>
      <c r="H29" s="10" t="inlineStr">
        <is>
          <t>Tranche A 이자유보계좌 1005-504-965088</t>
        </is>
      </c>
    </row>
    <row r="30">
      <c r="A30" s="10" t="inlineStr">
        <is>
          <t>대구대서신용협동조합</t>
        </is>
      </c>
      <c r="B30" s="14" t="inlineStr">
        <is>
          <t>A-1</t>
        </is>
      </c>
      <c r="C30" s="11" t="n">
        <v>1300000000</v>
      </c>
      <c r="D30" s="23">
        <f>$B$14</f>
        <v/>
      </c>
      <c r="E30" s="24">
        <f>$B$6</f>
        <v/>
      </c>
      <c r="F30" s="24">
        <f>$B$7</f>
        <v/>
      </c>
      <c r="G30" s="11">
        <f>ROUNDDOWN(C30*D30*E30/F30,0)</f>
        <v/>
      </c>
      <c r="H30" s="10" t="inlineStr">
        <is>
          <t>Tranche A 이자유보계좌 1005-504-965088</t>
        </is>
      </c>
    </row>
    <row r="31">
      <c r="A31" s="10" t="inlineStr">
        <is>
          <t>한빛신용협동조합</t>
        </is>
      </c>
      <c r="B31" s="14" t="inlineStr">
        <is>
          <t>A-1</t>
        </is>
      </c>
      <c r="C31" s="11" t="n">
        <v>1700000000</v>
      </c>
      <c r="D31" s="23">
        <f>$B$14</f>
        <v/>
      </c>
      <c r="E31" s="24">
        <f>$B$6</f>
        <v/>
      </c>
      <c r="F31" s="24">
        <f>$B$7</f>
        <v/>
      </c>
      <c r="G31" s="11">
        <f>ROUNDDOWN(C31*D31*E31/F31,0)</f>
        <v/>
      </c>
      <c r="H31" s="10" t="inlineStr">
        <is>
          <t>Tranche A 이자유보계좌 1005-504-965088</t>
        </is>
      </c>
    </row>
    <row r="32">
      <c r="A32" s="10" t="inlineStr">
        <is>
          <t>양동행복신용협동조합</t>
        </is>
      </c>
      <c r="B32" s="14" t="inlineStr">
        <is>
          <t>A-1</t>
        </is>
      </c>
      <c r="C32" s="11" t="n">
        <v>1900000000</v>
      </c>
      <c r="D32" s="23">
        <f>$B$14</f>
        <v/>
      </c>
      <c r="E32" s="24">
        <f>$B$6</f>
        <v/>
      </c>
      <c r="F32" s="24">
        <f>$B$7</f>
        <v/>
      </c>
      <c r="G32" s="11">
        <f>ROUNDDOWN(C32*D32*E32/F32,0)</f>
        <v/>
      </c>
      <c r="H32" s="10" t="inlineStr">
        <is>
          <t>Tranche A 이자유보계좌 1005-504-965088</t>
        </is>
      </c>
    </row>
    <row r="33">
      <c r="A33" s="10" t="inlineStr">
        <is>
          <t>서귀포동부신용협동조합</t>
        </is>
      </c>
      <c r="B33" s="14" t="inlineStr">
        <is>
          <t>A-1</t>
        </is>
      </c>
      <c r="C33" s="11" t="n">
        <v>1200000000</v>
      </c>
      <c r="D33" s="23">
        <f>$B$14</f>
        <v/>
      </c>
      <c r="E33" s="24">
        <f>$B$6</f>
        <v/>
      </c>
      <c r="F33" s="24">
        <f>$B$7</f>
        <v/>
      </c>
      <c r="G33" s="11">
        <f>ROUNDDOWN(C33*D33*E33/F33,0)</f>
        <v/>
      </c>
      <c r="H33" s="10" t="inlineStr">
        <is>
          <t>Tranche A 이자유보계좌 1005-504-965088</t>
        </is>
      </c>
    </row>
    <row r="34">
      <c r="A34" s="10" t="inlineStr">
        <is>
          <t>광주어룡신용협동조합</t>
        </is>
      </c>
      <c r="B34" s="14" t="inlineStr">
        <is>
          <t>A-1</t>
        </is>
      </c>
      <c r="C34" s="11" t="n">
        <v>2700000000</v>
      </c>
      <c r="D34" s="23">
        <f>$B$14</f>
        <v/>
      </c>
      <c r="E34" s="24">
        <f>$B$6</f>
        <v/>
      </c>
      <c r="F34" s="24">
        <f>$B$7</f>
        <v/>
      </c>
      <c r="G34" s="11">
        <f>ROUNDDOWN(C34*D34*E34/F34,0)</f>
        <v/>
      </c>
      <c r="H34" s="10" t="inlineStr">
        <is>
          <t>Tranche A 이자유보계좌 1005-504-965088</t>
        </is>
      </c>
    </row>
    <row r="35">
      <c r="A35" s="10" t="inlineStr">
        <is>
          <t>광주미래신용협동조합</t>
        </is>
      </c>
      <c r="B35" s="14" t="inlineStr">
        <is>
          <t>A-1</t>
        </is>
      </c>
      <c r="C35" s="11" t="n">
        <v>1400000000</v>
      </c>
      <c r="D35" s="23">
        <f>$B$14</f>
        <v/>
      </c>
      <c r="E35" s="24">
        <f>$B$6</f>
        <v/>
      </c>
      <c r="F35" s="24">
        <f>$B$7</f>
        <v/>
      </c>
      <c r="G35" s="11">
        <f>ROUNDDOWN(C35*D35*E35/F35,0)</f>
        <v/>
      </c>
      <c r="H35" s="10" t="inlineStr">
        <is>
          <t>Tranche A 이자유보계좌 1005-504-965088</t>
        </is>
      </c>
    </row>
    <row r="36">
      <c r="A36" s="10" t="inlineStr">
        <is>
          <t>새안양신용협동조합</t>
        </is>
      </c>
      <c r="B36" s="14" t="inlineStr">
        <is>
          <t>A-1</t>
        </is>
      </c>
      <c r="C36" s="11" t="n">
        <v>4000000000</v>
      </c>
      <c r="D36" s="23">
        <f>$B$14</f>
        <v/>
      </c>
      <c r="E36" s="24">
        <f>$B$6</f>
        <v/>
      </c>
      <c r="F36" s="24">
        <f>$B$7</f>
        <v/>
      </c>
      <c r="G36" s="11">
        <f>ROUNDDOWN(C36*D36*E36/F36,0)</f>
        <v/>
      </c>
      <c r="H36" s="10" t="inlineStr">
        <is>
          <t>Tranche A 이자유보계좌 1005-504-965088</t>
        </is>
      </c>
    </row>
    <row r="37">
      <c r="A37" s="10" t="inlineStr">
        <is>
          <t>남수원신용협동조합</t>
        </is>
      </c>
      <c r="B37" s="14" t="inlineStr">
        <is>
          <t>A-1</t>
        </is>
      </c>
      <c r="C37" s="11" t="n">
        <v>300000000</v>
      </c>
      <c r="D37" s="23">
        <f>$B$14</f>
        <v/>
      </c>
      <c r="E37" s="24">
        <f>$B$6</f>
        <v/>
      </c>
      <c r="F37" s="24">
        <f>$B$7</f>
        <v/>
      </c>
      <c r="G37" s="11">
        <f>ROUNDDOWN(C37*D37*E37/F37,0)</f>
        <v/>
      </c>
      <c r="H37" s="10" t="inlineStr">
        <is>
          <t>Tranche A 이자유보계좌 1005-504-965088</t>
        </is>
      </c>
    </row>
    <row r="38">
      <c r="A38" s="10" t="inlineStr">
        <is>
          <t>북인천신용협동조합</t>
        </is>
      </c>
      <c r="B38" s="14" t="inlineStr">
        <is>
          <t>A-1</t>
        </is>
      </c>
      <c r="C38" s="11" t="n">
        <v>700000000</v>
      </c>
      <c r="D38" s="23">
        <f>$B$14</f>
        <v/>
      </c>
      <c r="E38" s="24">
        <f>$B$6</f>
        <v/>
      </c>
      <c r="F38" s="24">
        <f>$B$7</f>
        <v/>
      </c>
      <c r="G38" s="11">
        <f>ROUNDDOWN(C38*D38*E38/F38,0)</f>
        <v/>
      </c>
      <c r="H38" s="10" t="inlineStr">
        <is>
          <t>Tranche A 이자유보계좌 1005-504-965088</t>
        </is>
      </c>
    </row>
    <row r="39">
      <c r="A39" s="10" t="inlineStr">
        <is>
          <t>수협은행</t>
        </is>
      </c>
      <c r="B39" s="14" t="inlineStr">
        <is>
          <t>A-1</t>
        </is>
      </c>
      <c r="C39" s="11" t="n">
        <v>10000000000</v>
      </c>
      <c r="D39" s="23">
        <f>$B$14</f>
        <v/>
      </c>
      <c r="E39" s="24">
        <f>$B$6</f>
        <v/>
      </c>
      <c r="F39" s="24">
        <f>$B$7</f>
        <v/>
      </c>
      <c r="G39" s="11">
        <f>ROUNDDOWN(C39*D39*E39/F39,0)</f>
        <v/>
      </c>
      <c r="H39" s="10" t="inlineStr">
        <is>
          <t>Tranche A 이자유보계좌 1005-504-965088</t>
        </is>
      </c>
    </row>
    <row r="40">
      <c r="A40" s="10" t="inlineStr">
        <is>
          <t>(주)에스비아이저축은행</t>
        </is>
      </c>
      <c r="B40" s="14" t="inlineStr">
        <is>
          <t>A-1</t>
        </is>
      </c>
      <c r="C40" s="11" t="n">
        <v>10000000000</v>
      </c>
      <c r="D40" s="23">
        <f>$B$14</f>
        <v/>
      </c>
      <c r="E40" s="24">
        <f>$B$6</f>
        <v/>
      </c>
      <c r="F40" s="24">
        <f>$B$7</f>
        <v/>
      </c>
      <c r="G40" s="11">
        <f>ROUNDDOWN(C40*D40*E40/F40,0)</f>
        <v/>
      </c>
      <c r="H40" s="10" t="inlineStr">
        <is>
          <t>Tranche A 이자유보계좌 1005-504-965088</t>
        </is>
      </c>
    </row>
    <row r="41">
      <c r="A41" s="10" t="inlineStr">
        <is>
          <t>(주)우리은행</t>
        </is>
      </c>
      <c r="B41" s="14" t="inlineStr">
        <is>
          <t>A-2</t>
        </is>
      </c>
      <c r="C41" s="11" t="n">
        <v>70000000000</v>
      </c>
      <c r="D41" s="23">
        <f>$B$15</f>
        <v/>
      </c>
      <c r="E41" s="24">
        <f>$B$6</f>
        <v/>
      </c>
      <c r="F41" s="24">
        <f>$B$7</f>
        <v/>
      </c>
      <c r="G41" s="11">
        <f>ROUNDDOWN(C41*D41*E41/F41,0)</f>
        <v/>
      </c>
      <c r="H41" s="10" t="inlineStr">
        <is>
          <t>Tranche A 이자유보계좌 1005-504-965088</t>
        </is>
      </c>
    </row>
    <row r="42">
      <c r="A42" s="10" t="inlineStr">
        <is>
          <t>키움캐피탈(주)</t>
        </is>
      </c>
      <c r="B42" s="14" t="inlineStr">
        <is>
          <t>B</t>
        </is>
      </c>
      <c r="C42" s="11" t="n">
        <v>20000000000</v>
      </c>
      <c r="D42" s="23">
        <f>$B$16</f>
        <v/>
      </c>
      <c r="E42" s="24">
        <f>$B$6</f>
        <v/>
      </c>
      <c r="F42" s="24">
        <f>$B$7</f>
        <v/>
      </c>
      <c r="G42" s="11">
        <f>ROUNDDOWN(C42*D42*E42/F42,0)</f>
        <v/>
      </c>
      <c r="H42" s="10" t="inlineStr">
        <is>
          <t>Tranche B 이자유보계좌 1005-504-970089</t>
        </is>
      </c>
    </row>
    <row r="43">
      <c r="A43" s="10" t="inlineStr">
        <is>
          <t>엠지캐피탈(주)</t>
        </is>
      </c>
      <c r="B43" s="14" t="inlineStr">
        <is>
          <t>B</t>
        </is>
      </c>
      <c r="C43" s="11" t="n">
        <v>10000000000</v>
      </c>
      <c r="D43" s="23">
        <f>$B$16</f>
        <v/>
      </c>
      <c r="E43" s="24">
        <f>$B$6</f>
        <v/>
      </c>
      <c r="F43" s="24">
        <f>$B$7</f>
        <v/>
      </c>
      <c r="G43" s="11">
        <f>ROUNDDOWN(C43*D43*E43/F43,0)</f>
        <v/>
      </c>
      <c r="H43" s="10" t="inlineStr">
        <is>
          <t>Tranche B 이자유보계좌 1005-504-970089</t>
        </is>
      </c>
    </row>
    <row r="44">
      <c r="A44" s="10" t="inlineStr">
        <is>
          <t>(주)디비저축은행</t>
        </is>
      </c>
      <c r="B44" s="14" t="inlineStr">
        <is>
          <t>B</t>
        </is>
      </c>
      <c r="C44" s="11" t="n">
        <v>8000000000</v>
      </c>
      <c r="D44" s="23">
        <f>$B$16</f>
        <v/>
      </c>
      <c r="E44" s="24">
        <f>$B$6</f>
        <v/>
      </c>
      <c r="F44" s="24">
        <f>$B$7</f>
        <v/>
      </c>
      <c r="G44" s="11">
        <f>ROUNDDOWN(C44*D44*E44/F44,0)</f>
        <v/>
      </c>
      <c r="H44" s="10" t="inlineStr">
        <is>
          <t>Tranche B 이자유보계좌 1005-504-970089</t>
        </is>
      </c>
    </row>
    <row r="45">
      <c r="A45" s="25" t="inlineStr">
        <is>
          <t>Tranche A-1 소계</t>
        </is>
      </c>
      <c r="B45" s="25" t="n"/>
      <c r="C45" s="9">
        <f>SUMIF($B$20:$B$44,"A-1",$C$20:$C$44)</f>
        <v/>
      </c>
      <c r="D45" s="25" t="n"/>
      <c r="E45" s="25" t="n"/>
      <c r="F45" s="25" t="n"/>
      <c r="G45" s="9">
        <f>SUMIF($B$20:$B$44,"A-1",$G$20:$G$44)</f>
        <v/>
      </c>
      <c r="H45" s="25" t="n"/>
    </row>
    <row r="46">
      <c r="A46" s="25" t="inlineStr">
        <is>
          <t>Tranche A-2 소계</t>
        </is>
      </c>
      <c r="B46" s="25" t="n"/>
      <c r="C46" s="9">
        <f>SUMIF($B$20:$B$44,"A-2",$C$20:$C$44)</f>
        <v/>
      </c>
      <c r="D46" s="25" t="n"/>
      <c r="E46" s="25" t="n"/>
      <c r="F46" s="25" t="n"/>
      <c r="G46" s="9">
        <f>SUMIF($B$20:$B$44,"A-2",$G$20:$G$44)</f>
        <v/>
      </c>
      <c r="H46" s="25" t="n"/>
    </row>
    <row r="47">
      <c r="A47" s="25" t="inlineStr">
        <is>
          <t>Tranche B 소계</t>
        </is>
      </c>
      <c r="B47" s="25" t="n"/>
      <c r="C47" s="9">
        <f>SUMIF($B$20:$B$44,"B",$C$20:$C$44)</f>
        <v/>
      </c>
      <c r="D47" s="25" t="n"/>
      <c r="E47" s="25" t="n"/>
      <c r="F47" s="25" t="n"/>
      <c r="G47" s="9">
        <f>SUMIF($B$20:$B$44,"B",$G$20:$G$44)</f>
        <v/>
      </c>
      <c r="H47" s="25" t="n"/>
    </row>
    <row r="48">
      <c r="A48" s="25" t="inlineStr">
        <is>
          <t>Tranche A 이자적립금 (A-1 + A-2) → 1005-504-965088</t>
        </is>
      </c>
      <c r="B48" s="25" t="n"/>
      <c r="C48" s="9">
        <f>C45+C46</f>
        <v/>
      </c>
      <c r="D48" s="25" t="n"/>
      <c r="E48" s="25" t="n"/>
      <c r="F48" s="25" t="n"/>
      <c r="G48" s="9">
        <f>G45+G46</f>
        <v/>
      </c>
      <c r="H48" s="25" t="n"/>
    </row>
    <row r="49">
      <c r="A49" s="25" t="inlineStr">
        <is>
          <t>Tranche B 이자적립금 → 1005-504-970089</t>
        </is>
      </c>
      <c r="B49" s="25" t="n"/>
      <c r="C49" s="9">
        <f>C47</f>
        <v/>
      </c>
      <c r="D49" s="25" t="n"/>
      <c r="E49" s="25" t="n"/>
      <c r="F49" s="25" t="n"/>
      <c r="G49" s="9">
        <f>G47</f>
        <v/>
      </c>
      <c r="H49" s="25" t="n"/>
    </row>
    <row r="50">
      <c r="A50" s="25" t="inlineStr">
        <is>
          <t>이자적립금 합계</t>
        </is>
      </c>
      <c r="B50" s="25" t="n"/>
      <c r="C50" s="9">
        <f>C48+C49</f>
        <v/>
      </c>
      <c r="D50" s="25" t="n"/>
      <c r="E50" s="25" t="n"/>
      <c r="F50" s="25" t="n"/>
      <c r="G50" s="9">
        <f>G48+G49</f>
        <v/>
      </c>
      <c r="H50" s="25" t="n"/>
    </row>
    <row r="52">
      <c r="A52" s="26" t="inlineStr">
        <is>
          <t>참고: 연이자 × 3/12 방식</t>
        </is>
      </c>
    </row>
    <row r="53">
      <c r="A53" s="27" t="inlineStr">
        <is>
          <t>Tranche A-1</t>
        </is>
      </c>
      <c r="G53" s="28">
        <f>ROUNDDOWN(C45*$B$14*3/12,0)</f>
        <v/>
      </c>
    </row>
    <row r="54">
      <c r="A54" s="27" t="inlineStr">
        <is>
          <t>Tranche A-2</t>
        </is>
      </c>
      <c r="G54" s="28">
        <f>ROUNDDOWN(C46*$B$15*3/12,0)</f>
        <v/>
      </c>
    </row>
    <row r="55">
      <c r="A55" s="27" t="inlineStr">
        <is>
          <t>Tranche B</t>
        </is>
      </c>
      <c r="G55" s="28">
        <f>ROUNDDOWN(C47*$B$16*3/12,0)</f>
        <v/>
      </c>
    </row>
    <row r="57">
      <c r="A57" s="12" t="inlineStr">
        <is>
          <t>※ 적립액은 최초 이자기간(2026-10-29~2027-01-29, 92일) 실제 일수로 대주별 이자를 계산·절사해 합산한 금액이며, 첫 이자지급일에 실제로 지급할 이자와 같습니다(기존 이자적립금 산정 엑셀 v02와 같은 방식).</t>
        </is>
      </c>
    </row>
    <row r="58">
      <c r="A58" s="12" t="inlineStr">
        <is>
          <t>※ '3개월분 이자 상당액'을 연이자×3/12로 볼 경우 위 참고 금액이 됩니다. 산정 방식은 대주(우리은행)와 최종 확인하세요 [확인 필요].</t>
        </is>
      </c>
    </row>
    <row r="59">
      <c r="A59" s="12" t="inlineStr">
        <is>
          <t>※ Tranche A 이자유보계좌는 A-1과 A-2 이자적립금을 함께 받습니다.</t>
        </is>
      </c>
    </row>
  </sheetData>
  <mergeCells count="15">
    <mergeCell ref="C16:E16"/>
    <mergeCell ref="C11:E11"/>
    <mergeCell ref="C14:E14"/>
    <mergeCell ref="C5:E5"/>
    <mergeCell ref="C13:E13"/>
    <mergeCell ref="A2:H2"/>
    <mergeCell ref="C15:E15"/>
    <mergeCell ref="C8:E8"/>
    <mergeCell ref="C9:E9"/>
    <mergeCell ref="C4:E4"/>
    <mergeCell ref="C3:E3"/>
    <mergeCell ref="C7:E7"/>
    <mergeCell ref="C12:E12"/>
    <mergeCell ref="C6:E6"/>
    <mergeCell ref="C10:E1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2026-10-28T05:57:03Z</dcterms:created>
  <dcterms:modified xmlns:dcterms="http://purl.org/dc/terms/" xmlns:xsi="http://www.w3.org/2001/XMLSchema-instance" xsi:type="dcterms:W3CDTF">2026-10-28T05:57:03Z</dcterms:modified>
</cp:coreProperties>
</file>