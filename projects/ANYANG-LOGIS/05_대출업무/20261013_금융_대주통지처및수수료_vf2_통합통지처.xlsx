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7.자산운영(코크렙)\52. 코람코라이프인프라\코크렙안양\대출\"/>
    </mc:Choice>
  </mc:AlternateContent>
  <xr:revisionPtr revIDLastSave="0" documentId="14_{AE900305-B2AC-4D9F-BA6C-762CA9EE9A55}" xr6:coauthVersionLast="47" xr6:coauthVersionMax="47" xr10:uidLastSave="{00000000-0000-0000-0000-000000000000}"/>
  <bookViews>
    <workbookView xWindow="-120" yWindow="-120" windowWidth="29040" windowHeight="15720" xr2:uid="{0FD7D950-3518-4F77-9B3E-CB4604FA2358}"/>
  </bookViews>
  <sheets>
    <sheet name="통합 통지처" sheetId="5" r:id="rId1"/>
    <sheet name="선순위" sheetId="1" r:id="rId2"/>
    <sheet name="신협통지처(최종)" sheetId="4" state="hidden" r:id="rId3"/>
    <sheet name="신협통지처" sheetId="3" state="hidden" r:id="rId4"/>
    <sheet name="중순위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5" l="1"/>
  <c r="D4" i="5"/>
  <c r="E4" i="5"/>
  <c r="G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D5" i="5"/>
  <c r="E5" i="5"/>
  <c r="E26" i="5" s="1"/>
  <c r="G5" i="5"/>
  <c r="D6" i="5"/>
  <c r="E6" i="5"/>
  <c r="G6" i="5"/>
  <c r="D7" i="5"/>
  <c r="E7" i="5"/>
  <c r="G7" i="5"/>
  <c r="D8" i="5"/>
  <c r="E8" i="5"/>
  <c r="G8" i="5"/>
  <c r="D9" i="5"/>
  <c r="E9" i="5"/>
  <c r="G9" i="5"/>
  <c r="D10" i="5"/>
  <c r="E10" i="5"/>
  <c r="G10" i="5"/>
  <c r="D11" i="5"/>
  <c r="E11" i="5"/>
  <c r="G11" i="5"/>
  <c r="D12" i="5"/>
  <c r="E12" i="5"/>
  <c r="G12" i="5"/>
  <c r="D13" i="5"/>
  <c r="E13" i="5"/>
  <c r="G13" i="5"/>
  <c r="D14" i="5"/>
  <c r="E14" i="5"/>
  <c r="G14" i="5"/>
  <c r="D15" i="5"/>
  <c r="E15" i="5"/>
  <c r="G15" i="5"/>
  <c r="D16" i="5"/>
  <c r="E16" i="5"/>
  <c r="G16" i="5"/>
  <c r="D17" i="5"/>
  <c r="E17" i="5"/>
  <c r="G17" i="5"/>
  <c r="D18" i="5"/>
  <c r="E18" i="5"/>
  <c r="G18" i="5"/>
  <c r="D19" i="5"/>
  <c r="E19" i="5"/>
  <c r="G19" i="5"/>
  <c r="D20" i="5"/>
  <c r="E20" i="5"/>
  <c r="G20" i="5"/>
  <c r="D21" i="5"/>
  <c r="E21" i="5"/>
  <c r="G21" i="5"/>
  <c r="D22" i="5"/>
  <c r="E22" i="5"/>
  <c r="G22" i="5"/>
  <c r="D23" i="5"/>
  <c r="E23" i="5"/>
  <c r="G23" i="5"/>
  <c r="D24" i="5"/>
  <c r="E24" i="5"/>
  <c r="G24" i="5"/>
  <c r="D25" i="5"/>
  <c r="E25" i="5"/>
  <c r="G25" i="5"/>
  <c r="B27" i="5"/>
  <c r="E27" i="5"/>
  <c r="G27" i="5"/>
  <c r="B28" i="5"/>
  <c r="B29" i="5" s="1"/>
  <c r="E28" i="5"/>
  <c r="E30" i="5" s="1"/>
  <c r="G28" i="5"/>
  <c r="E29" i="5"/>
  <c r="G29" i="5"/>
  <c r="B41" i="1"/>
  <c r="D41" i="1"/>
  <c r="E41" i="1"/>
  <c r="B42" i="1"/>
  <c r="D42" i="1"/>
  <c r="E42" i="1"/>
  <c r="B43" i="1"/>
  <c r="D43" i="1"/>
  <c r="D58" i="1" s="1"/>
  <c r="E43" i="1"/>
  <c r="B44" i="1"/>
  <c r="D44" i="1"/>
  <c r="E44" i="1"/>
  <c r="B45" i="1"/>
  <c r="D45" i="1"/>
  <c r="E45" i="1"/>
  <c r="B46" i="1"/>
  <c r="D46" i="1"/>
  <c r="E46" i="1"/>
  <c r="B47" i="1"/>
  <c r="D47" i="1"/>
  <c r="E47" i="1"/>
  <c r="B48" i="1"/>
  <c r="D48" i="1"/>
  <c r="E48" i="1"/>
  <c r="B49" i="1"/>
  <c r="D49" i="1"/>
  <c r="E49" i="1"/>
  <c r="B50" i="1"/>
  <c r="D50" i="1"/>
  <c r="E50" i="1"/>
  <c r="B51" i="1"/>
  <c r="D51" i="1"/>
  <c r="E51" i="1"/>
  <c r="B52" i="1"/>
  <c r="D52" i="1"/>
  <c r="E52" i="1"/>
  <c r="B53" i="1"/>
  <c r="D53" i="1"/>
  <c r="E53" i="1"/>
  <c r="B54" i="1"/>
  <c r="D54" i="1"/>
  <c r="E54" i="1"/>
  <c r="B55" i="1"/>
  <c r="D55" i="1"/>
  <c r="E55" i="1"/>
  <c r="B56" i="1"/>
  <c r="D56" i="1"/>
  <c r="E56" i="1"/>
  <c r="B57" i="1"/>
  <c r="D57" i="1"/>
  <c r="E57" i="1"/>
  <c r="C21" i="4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39" i="1"/>
  <c r="A40" i="1" s="1"/>
  <c r="C21" i="3"/>
  <c r="T24" i="1"/>
  <c r="T23" i="1"/>
  <c r="S25" i="1"/>
  <c r="S24" i="1"/>
  <c r="S23" i="1"/>
  <c r="F26" i="5" l="1"/>
  <c r="E31" i="5"/>
  <c r="F13" i="5" s="1"/>
  <c r="F7" i="5"/>
  <c r="F19" i="5"/>
  <c r="F30" i="5"/>
  <c r="F21" i="5"/>
  <c r="F15" i="5"/>
  <c r="F9" i="5"/>
  <c r="F28" i="5"/>
  <c r="F5" i="5"/>
  <c r="T25" i="1"/>
  <c r="F25" i="5" l="1"/>
  <c r="F11" i="5"/>
  <c r="F17" i="5"/>
  <c r="F23" i="5"/>
  <c r="F4" i="5"/>
  <c r="F8" i="5"/>
  <c r="F10" i="5"/>
  <c r="F12" i="5"/>
  <c r="F16" i="5"/>
  <c r="F18" i="5"/>
  <c r="F22" i="5"/>
  <c r="F29" i="5"/>
  <c r="F6" i="5"/>
  <c r="F14" i="5"/>
  <c r="F20" i="5"/>
  <c r="F24" i="5"/>
  <c r="F27" i="5"/>
  <c r="F31" i="5"/>
  <c r="C28" i="2" l="1"/>
  <c r="H19" i="2"/>
  <c r="F19" i="2"/>
  <c r="C15" i="2"/>
  <c r="H14" i="2"/>
  <c r="F14" i="2"/>
  <c r="H13" i="2"/>
  <c r="F13" i="2"/>
  <c r="H12" i="2"/>
  <c r="F12" i="2"/>
  <c r="C7" i="2"/>
  <c r="H6" i="2"/>
  <c r="F6" i="2"/>
  <c r="H5" i="2"/>
  <c r="F5" i="2"/>
  <c r="H4" i="2"/>
  <c r="F4" i="2"/>
  <c r="D26" i="1"/>
  <c r="B26" i="1"/>
  <c r="D25" i="1"/>
  <c r="B25" i="1"/>
  <c r="B24" i="1"/>
  <c r="G23" i="1"/>
  <c r="G22" i="1"/>
  <c r="F22" i="1"/>
  <c r="E22" i="1"/>
  <c r="G21" i="1"/>
  <c r="F21" i="1"/>
  <c r="E21" i="1"/>
  <c r="G20" i="1"/>
  <c r="F20" i="1"/>
  <c r="E20" i="1"/>
  <c r="G19" i="1"/>
  <c r="F19" i="1"/>
  <c r="H19" i="1" s="1"/>
  <c r="E19" i="1"/>
  <c r="G18" i="1"/>
  <c r="F18" i="1"/>
  <c r="E18" i="1"/>
  <c r="G17" i="1"/>
  <c r="F17" i="1"/>
  <c r="H17" i="1" s="1"/>
  <c r="H25" i="1" s="1"/>
  <c r="E17" i="1"/>
  <c r="E25" i="1" s="1"/>
  <c r="S11" i="1"/>
  <c r="R11" i="1"/>
  <c r="O11" i="1"/>
  <c r="P11" i="1" s="1"/>
  <c r="Q11" i="1" s="1"/>
  <c r="O10" i="1"/>
  <c r="P10" i="1" s="1"/>
  <c r="Q10" i="1" s="1"/>
  <c r="O9" i="1"/>
  <c r="P9" i="1" s="1"/>
  <c r="H9" i="1"/>
  <c r="G9" i="1"/>
  <c r="B9" i="1"/>
  <c r="M2" i="1" s="1"/>
  <c r="O8" i="1"/>
  <c r="P8" i="1" s="1"/>
  <c r="Q8" i="1" s="1"/>
  <c r="M8" i="1"/>
  <c r="N8" i="1" s="1"/>
  <c r="S7" i="1"/>
  <c r="R7" i="1"/>
  <c r="I7" i="1"/>
  <c r="O7" i="1" s="1"/>
  <c r="P7" i="1" s="1"/>
  <c r="Q7" i="1" s="1"/>
  <c r="S6" i="1"/>
  <c r="R6" i="1"/>
  <c r="I6" i="1"/>
  <c r="S5" i="1"/>
  <c r="R5" i="1"/>
  <c r="I5" i="1"/>
  <c r="O5" i="1" s="1"/>
  <c r="P5" i="1" s="1"/>
  <c r="Q5" i="1" s="1"/>
  <c r="S4" i="1"/>
  <c r="R4" i="1"/>
  <c r="M4" i="1"/>
  <c r="I4" i="1"/>
  <c r="U4" i="1" s="1"/>
  <c r="S3" i="1"/>
  <c r="R3" i="1"/>
  <c r="I3" i="1"/>
  <c r="O3" i="1" s="1"/>
  <c r="P3" i="1" s="1"/>
  <c r="Q3" i="1" s="1"/>
  <c r="S2" i="1"/>
  <c r="J2" i="1"/>
  <c r="R2" i="1" s="1"/>
  <c r="I20" i="1" l="1"/>
  <c r="F25" i="1"/>
  <c r="U3" i="1"/>
  <c r="T5" i="1"/>
  <c r="M6" i="1"/>
  <c r="T7" i="1"/>
  <c r="I21" i="1"/>
  <c r="I2" i="1"/>
  <c r="O2" i="1" s="1"/>
  <c r="P2" i="1" s="1"/>
  <c r="Q2" i="1" s="1"/>
  <c r="U7" i="1"/>
  <c r="U5" i="1"/>
  <c r="T3" i="1"/>
  <c r="N6" i="1"/>
  <c r="F26" i="1"/>
  <c r="O6" i="1"/>
  <c r="P6" i="1" s="1"/>
  <c r="Q6" i="1" s="1"/>
  <c r="R9" i="1"/>
  <c r="G26" i="1"/>
  <c r="I22" i="1"/>
  <c r="M11" i="1"/>
  <c r="N11" i="1" s="1"/>
  <c r="E26" i="1"/>
  <c r="T6" i="1"/>
  <c r="M9" i="1"/>
  <c r="N9" i="1" s="1"/>
  <c r="T2" i="1"/>
  <c r="M5" i="1"/>
  <c r="N5" i="1" s="1"/>
  <c r="U6" i="1"/>
  <c r="M7" i="1"/>
  <c r="N7" i="1" s="1"/>
  <c r="M3" i="1"/>
  <c r="N3" i="1" s="1"/>
  <c r="I17" i="1"/>
  <c r="I25" i="1" s="1"/>
  <c r="T4" i="1"/>
  <c r="Q9" i="1"/>
  <c r="I19" i="1"/>
  <c r="G25" i="1"/>
  <c r="H10" i="1"/>
  <c r="N4" i="1"/>
  <c r="O4" i="1"/>
  <c r="P4" i="1" s="1"/>
  <c r="Q4" i="1" s="1"/>
  <c r="H20" i="1"/>
  <c r="H18" i="1"/>
  <c r="F24" i="1"/>
  <c r="I18" i="1"/>
  <c r="G24" i="1"/>
  <c r="S9" i="1"/>
  <c r="H21" i="1"/>
  <c r="H22" i="1"/>
  <c r="U2" i="1" l="1"/>
  <c r="U8" i="1" s="1"/>
  <c r="H12" i="1" s="1"/>
  <c r="N2" i="1"/>
  <c r="S10" i="1"/>
  <c r="H26" i="1"/>
  <c r="I26" i="1"/>
  <c r="I24" i="1"/>
</calcChain>
</file>

<file path=xl/sharedStrings.xml><?xml version="1.0" encoding="utf-8"?>
<sst xmlns="http://schemas.openxmlformats.org/spreadsheetml/2006/main" count="607" uniqueCount="293">
  <si>
    <t>구분</t>
    <phoneticPr fontId="3" type="noConversion"/>
  </si>
  <si>
    <t>예상 참여</t>
    <phoneticPr fontId="3" type="noConversion"/>
  </si>
  <si>
    <t>Tr.A-1(고정)</t>
    <phoneticPr fontId="2" type="noConversion"/>
  </si>
  <si>
    <t>Tr.A-2(변동)</t>
    <phoneticPr fontId="2" type="noConversion"/>
  </si>
  <si>
    <t>금리(26.10.12기준)</t>
    <phoneticPr fontId="2" type="noConversion"/>
  </si>
  <si>
    <t>All-in(참여)</t>
    <phoneticPr fontId="2" type="noConversion"/>
  </si>
  <si>
    <t>참여수수료</t>
    <phoneticPr fontId="2" type="noConversion"/>
  </si>
  <si>
    <t>주선수수료</t>
    <phoneticPr fontId="2" type="noConversion"/>
  </si>
  <si>
    <t>주선</t>
    <phoneticPr fontId="2" type="noConversion"/>
  </si>
  <si>
    <t>대주</t>
    <phoneticPr fontId="2" type="noConversion"/>
  </si>
  <si>
    <t>쿠폰</t>
    <phoneticPr fontId="2" type="noConversion"/>
  </si>
  <si>
    <t>취급수수료</t>
    <phoneticPr fontId="2" type="noConversion"/>
  </si>
  <si>
    <t>우리은행</t>
  </si>
  <si>
    <t>o</t>
    <phoneticPr fontId="2" type="noConversion"/>
  </si>
  <si>
    <t>4.67(CD+1.43)</t>
    <phoneticPr fontId="2" type="noConversion"/>
  </si>
  <si>
    <t>롯데캐피탈</t>
  </si>
  <si>
    <t>우리카드</t>
  </si>
  <si>
    <t>신협중앙회</t>
  </si>
  <si>
    <t>수협은행</t>
  </si>
  <si>
    <t>SBI저축은행</t>
    <phoneticPr fontId="3" type="noConversion"/>
  </si>
  <si>
    <t>합계</t>
    <phoneticPr fontId="2" type="noConversion"/>
  </si>
  <si>
    <t>※ 당행 물량중 [400]억원은 기표후 셀다운 예정</t>
    <phoneticPr fontId="2" type="noConversion"/>
  </si>
  <si>
    <t>수수료합계</t>
    <phoneticPr fontId="2" type="noConversion"/>
  </si>
  <si>
    <t>All-in</t>
    <phoneticPr fontId="2" type="noConversion"/>
  </si>
  <si>
    <t>Tr.A-1 변동</t>
    <phoneticPr fontId="2" type="noConversion"/>
  </si>
  <si>
    <t>Tr.A-1 고정</t>
    <phoneticPr fontId="2" type="noConversion"/>
  </si>
  <si>
    <t>■수수료</t>
    <phoneticPr fontId="3" type="noConversion"/>
  </si>
  <si>
    <t>만기</t>
    <phoneticPr fontId="3" type="noConversion"/>
  </si>
  <si>
    <t>[기본 조건]</t>
    <phoneticPr fontId="3" type="noConversion"/>
  </si>
  <si>
    <t>대주명</t>
    <phoneticPr fontId="3" type="noConversion"/>
  </si>
  <si>
    <t>금액</t>
    <phoneticPr fontId="3" type="noConversion"/>
  </si>
  <si>
    <t>금리</t>
    <phoneticPr fontId="3" type="noConversion"/>
  </si>
  <si>
    <t>수수료</t>
    <phoneticPr fontId="3" type="noConversion"/>
  </si>
  <si>
    <t>올인</t>
    <phoneticPr fontId="3" type="noConversion"/>
  </si>
  <si>
    <t>수수료금액</t>
    <phoneticPr fontId="3" type="noConversion"/>
  </si>
  <si>
    <t>키움캐피탈</t>
    <phoneticPr fontId="3" type="noConversion"/>
  </si>
  <si>
    <t>엠지캐피탈</t>
    <phoneticPr fontId="3" type="noConversion"/>
  </si>
  <si>
    <t>디비저축은행</t>
    <phoneticPr fontId="3" type="noConversion"/>
  </si>
  <si>
    <t>합계</t>
    <phoneticPr fontId="3" type="noConversion"/>
  </si>
  <si>
    <t>[약정서 반영]</t>
    <phoneticPr fontId="3" type="noConversion"/>
  </si>
  <si>
    <t>*중순위 대출 취급수수료</t>
    <phoneticPr fontId="3" type="noConversion"/>
  </si>
  <si>
    <t>*1종 인수수수료</t>
    <phoneticPr fontId="3" type="noConversion"/>
  </si>
  <si>
    <t>■통지처</t>
    <phoneticPr fontId="3" type="noConversion"/>
  </si>
  <si>
    <t>통지처</t>
    <phoneticPr fontId="3" type="noConversion"/>
  </si>
  <si>
    <t>주소: 서울특별시 영등포구 여의대로 66, 17층
전화번호: 02-780-4295 / 010-4339-3878
팩스번호: 02-780-1517
담당자: 이승근 주임
전자우편:  tmd283@kiwoomcapital.com</t>
    <phoneticPr fontId="3" type="noConversion"/>
  </si>
  <si>
    <t>주소: 서울특별시 중구 남대문로 55, MG파이낸스센터 12층
전화번호: 02-2200-7423 / 010-5241-8897
팩스번호: 02-511-3021
담당자: 박소현 과장
전자우편: sopark@mgcap.co.kr</t>
    <phoneticPr fontId="3" type="noConversion"/>
  </si>
  <si>
    <t>주소: 서울특별시 중구 남대문로 113, 다동
전화번호: 02-3705-1759 / 010-4440-4730
팩스번호: 02-3705-1850
담당자: 정성범 선임
전자우편: seongbeom4730j@dbgroup.co.kr</t>
    <phoneticPr fontId="3" type="noConversion"/>
  </si>
  <si>
    <t>■날인페이지</t>
    <phoneticPr fontId="3" type="noConversion"/>
  </si>
  <si>
    <t>해당</t>
    <phoneticPr fontId="3" type="noConversion"/>
  </si>
  <si>
    <t>Tr.A-2
(변동금리)</t>
    <phoneticPr fontId="3" type="noConversion"/>
  </si>
  <si>
    <t>주소 : 서울특별시 영등포구 여의대로 108, 34층(의의도동, 파크원)
전화번호 : 02-2002-5921 / 02-2002-4567
담당자 / 이인환 과장 / 홍진경 과장
Email : gsk3150@wooribank.com / jkhong@wooribank.com</t>
    <phoneticPr fontId="3" type="noConversion"/>
  </si>
  <si>
    <t>Tr.A-1
(고정금리)</t>
    <phoneticPr fontId="3" type="noConversion"/>
  </si>
  <si>
    <t>Tr.A-1
(고정금리)</t>
  </si>
  <si>
    <t>주소: 서울특별시 종로구 종로1길50(중학동) 케이트윈타워 A동
전화번호: 02-6968-3531 / 010-9764-8118
팩스번호: 0505-001-8544
담당자: 강민구 과장
Email: kangmg@wooricard.com</t>
    <phoneticPr fontId="3" type="noConversion"/>
  </si>
  <si>
    <t>주소: 서울특별시 동작구 동작대로 43 ,1층 수협은행 사당역지점 
전화번호: 02-874-8781(내선:4518) / 010-6828-8205
팩스번호: 02-585-7745 
담당자: 이진용 대리
Email: rinyong2@suhyup-bank.com</t>
    <phoneticPr fontId="3" type="noConversion"/>
  </si>
  <si>
    <t>주소: 서울시 중구 을지로 5길 26, 9층 (수하동, 미래에셋센터원빌딩 동관)
전화번호: 02-3416-4828 / 010-9158-6842
팩스번호: 02-2136-0293
담당자: 이정민 매니저
Email: ljm88@sbisb.co.kr</t>
    <phoneticPr fontId="3" type="noConversion"/>
  </si>
  <si>
    <t>본약정</t>
    <phoneticPr fontId="3" type="noConversion"/>
  </si>
  <si>
    <t>대안</t>
    <phoneticPr fontId="3" type="noConversion"/>
  </si>
  <si>
    <t>변동조건</t>
    <phoneticPr fontId="2" type="noConversion"/>
  </si>
  <si>
    <t>CD+143bp</t>
  </si>
  <si>
    <t>CD+143bp</t>
    <phoneticPr fontId="2" type="noConversion"/>
  </si>
  <si>
    <t>고정</t>
    <phoneticPr fontId="2" type="noConversion"/>
  </si>
  <si>
    <t>안양 물류센터 담보대출</t>
    <phoneticPr fontId="2" type="noConversion"/>
  </si>
  <si>
    <t>(단위: 억원)</t>
    <phoneticPr fontId="2" type="noConversion"/>
  </si>
  <si>
    <t>연번</t>
    <phoneticPr fontId="2" type="noConversion"/>
  </si>
  <si>
    <t>법인명</t>
    <phoneticPr fontId="2" type="noConversion"/>
  </si>
  <si>
    <t>신규
가능 금액(억원)</t>
    <phoneticPr fontId="2" type="noConversion"/>
  </si>
  <si>
    <t>조합인가번호</t>
    <phoneticPr fontId="2" type="noConversion"/>
  </si>
  <si>
    <t>대표자명</t>
    <phoneticPr fontId="2" type="noConversion"/>
  </si>
  <si>
    <t>주소</t>
    <phoneticPr fontId="2" type="noConversion"/>
  </si>
  <si>
    <t>담당자(실무자)</t>
    <phoneticPr fontId="2" type="noConversion"/>
  </si>
  <si>
    <t>사업자등록번호</t>
    <phoneticPr fontId="2" type="noConversion"/>
  </si>
  <si>
    <t>법인등록번호</t>
    <phoneticPr fontId="2" type="noConversion"/>
  </si>
  <si>
    <t>전화번호</t>
    <phoneticPr fontId="2" type="noConversion"/>
  </si>
  <si>
    <t>휴대폰 연락처</t>
    <phoneticPr fontId="2" type="noConversion"/>
  </si>
  <si>
    <t>메일주소</t>
    <phoneticPr fontId="2" type="noConversion"/>
  </si>
  <si>
    <t>원리금 및 수수료 수취 계좌</t>
    <phoneticPr fontId="2" type="noConversion"/>
  </si>
  <si>
    <t>신용협동조합중앙회</t>
    <phoneticPr fontId="2" type="noConversion"/>
  </si>
  <si>
    <t>신용공제사업대표이사 손성은</t>
    <phoneticPr fontId="2" type="noConversion"/>
  </si>
  <si>
    <t>서울특별시 중구 소월로 10 단암빌딩 14층</t>
    <phoneticPr fontId="2" type="noConversion"/>
  </si>
  <si>
    <t>안소진 대리 / 투자관리</t>
    <phoneticPr fontId="2" type="noConversion"/>
  </si>
  <si>
    <t>114-82-08554</t>
    <phoneticPr fontId="2" type="noConversion"/>
  </si>
  <si>
    <t>115041-0000361</t>
    <phoneticPr fontId="2" type="noConversion"/>
  </si>
  <si>
    <t>02.590.5849</t>
    <phoneticPr fontId="2" type="noConversion"/>
  </si>
  <si>
    <t>010.2241.1820</t>
    <phoneticPr fontId="2" type="noConversion"/>
  </si>
  <si>
    <t>sjahn@cu.co.kr / cuf1803@cu.co.kr</t>
    <phoneticPr fontId="2" type="noConversion"/>
  </si>
  <si>
    <t>농협 081-01-168860 / 예금주 : 신협중앙회</t>
    <phoneticPr fontId="2" type="noConversion"/>
  </si>
  <si>
    <t>서로신용협동조합(주간)</t>
    <phoneticPr fontId="2" type="noConversion"/>
  </si>
  <si>
    <t>03094</t>
    <phoneticPr fontId="2" type="noConversion"/>
  </si>
  <si>
    <t>이사장 윤정섭</t>
    <phoneticPr fontId="2" type="noConversion"/>
  </si>
  <si>
    <t>인천광역시 서해구 가정로 288(석남동)</t>
    <phoneticPr fontId="2" type="noConversion"/>
  </si>
  <si>
    <t>장성진 과장</t>
    <phoneticPr fontId="2" type="noConversion"/>
  </si>
  <si>
    <t>137-82-01229</t>
  </si>
  <si>
    <t>124141-0000912</t>
  </si>
  <si>
    <t>032.574.0166</t>
  </si>
  <si>
    <t>010.7152.5264</t>
    <phoneticPr fontId="2" type="noConversion"/>
  </si>
  <si>
    <t>SJin87@cu.co.kr</t>
    <phoneticPr fontId="2" type="noConversion"/>
  </si>
  <si>
    <t>신협 131-000-941666 / 예금주 : 서로신용협동조합</t>
  </si>
  <si>
    <t>수지신용협동조합</t>
  </si>
  <si>
    <t>03249</t>
    <phoneticPr fontId="2" type="noConversion"/>
  </si>
  <si>
    <t>이사장 이기찬</t>
  </si>
  <si>
    <t>경기도 용인시 수지구 문정로 7번길 8 1층</t>
  </si>
  <si>
    <t>권영욱 대리</t>
  </si>
  <si>
    <t>135-82-06854</t>
  </si>
  <si>
    <t>134541-0000251</t>
  </si>
  <si>
    <t>031.262.6801</t>
  </si>
  <si>
    <t>010.7143.7369</t>
  </si>
  <si>
    <t>suji_youngwook@naver.com</t>
  </si>
  <si>
    <t>신협 131-014-493393 / 예금주 : 수지신협</t>
  </si>
  <si>
    <t>정선신용협동조합</t>
  </si>
  <si>
    <t>04008</t>
    <phoneticPr fontId="2" type="noConversion"/>
  </si>
  <si>
    <t>이사장 김동기</t>
  </si>
  <si>
    <t>강원특별자치도 정선군 정선읍 봉양6길 31</t>
  </si>
  <si>
    <t>장용현 주임</t>
  </si>
  <si>
    <t>225-82-00696</t>
  </si>
  <si>
    <t>144941-0000813</t>
  </si>
  <si>
    <t>033.563.0760</t>
  </si>
  <si>
    <t>010.6679.3464</t>
  </si>
  <si>
    <t>cu04008@cu.co.kr</t>
  </si>
  <si>
    <t>신협 131-019-058167 / 예금주 : 정선신용협동조합</t>
    <phoneticPr fontId="2" type="noConversion"/>
  </si>
  <si>
    <t>연희신용협동조합</t>
  </si>
  <si>
    <t>01221</t>
    <phoneticPr fontId="2" type="noConversion"/>
  </si>
  <si>
    <t>이사장 박영철</t>
  </si>
  <si>
    <t>서울특별시 서대문구 연희로 64-22</t>
  </si>
  <si>
    <t>양주성 과장, 박준희 대리</t>
    <phoneticPr fontId="2" type="noConversion"/>
  </si>
  <si>
    <t>111-82-02245</t>
  </si>
  <si>
    <t>114544-0000548</t>
  </si>
  <si>
    <t>02.323.2636</t>
  </si>
  <si>
    <t>010.6519.0830 , 010.8467.2620</t>
  </si>
  <si>
    <t>cu01221@cu.co.kr</t>
  </si>
  <si>
    <t>신협 131-000-189579 / 예금주 : 연희신협</t>
  </si>
  <si>
    <t>금모래신용협동조합</t>
  </si>
  <si>
    <t>01003</t>
    <phoneticPr fontId="2" type="noConversion"/>
  </si>
  <si>
    <t>이사장 최성묵</t>
    <phoneticPr fontId="2" type="noConversion"/>
  </si>
  <si>
    <t>서울시 서대문구 가재울미래로 11 (남가좌동)</t>
  </si>
  <si>
    <t>정덕호 주임</t>
  </si>
  <si>
    <t>111-82-00378</t>
  </si>
  <si>
    <t>114541-0000205</t>
  </si>
  <si>
    <t>02.376.2036</t>
  </si>
  <si>
    <t>010.2527.0576</t>
  </si>
  <si>
    <t>jeong0576@cu.co.kr</t>
  </si>
  <si>
    <t>신협 131-000-001170 / 예금주 : 금모래신협</t>
  </si>
  <si>
    <t>남인천신용협동조합</t>
  </si>
  <si>
    <t>03099</t>
    <phoneticPr fontId="2" type="noConversion"/>
  </si>
  <si>
    <t xml:space="preserve"> 이사장 전재호</t>
    <phoneticPr fontId="2" type="noConversion"/>
  </si>
  <si>
    <t>인천시 부평구 배곶로 64</t>
  </si>
  <si>
    <t>임인희 차장</t>
  </si>
  <si>
    <t>137-82-01078</t>
  </si>
  <si>
    <t>124246-0000663</t>
  </si>
  <si>
    <t>032.437.9563</t>
  </si>
  <si>
    <t>010.2006.7819</t>
  </si>
  <si>
    <t>hee4977@cu.co.kr</t>
  </si>
  <si>
    <t>신협 131-000-942952 / 예금주 : 남인천신협</t>
  </si>
  <si>
    <t>미호신용협동조합</t>
    <phoneticPr fontId="2" type="noConversion"/>
  </si>
  <si>
    <t>05053</t>
    <phoneticPr fontId="2" type="noConversion"/>
  </si>
  <si>
    <t>이사장 고동준</t>
    <phoneticPr fontId="2" type="noConversion"/>
  </si>
  <si>
    <t>충청도 청주시 흥덕구 강내면 태성탑연로 448-10</t>
    <phoneticPr fontId="2" type="noConversion"/>
  </si>
  <si>
    <t>이주희 차장</t>
  </si>
  <si>
    <t>301-82-02402</t>
  </si>
  <si>
    <t>150141-0004293</t>
  </si>
  <si>
    <t>043.232.2652</t>
  </si>
  <si>
    <t>010.7735.5225</t>
  </si>
  <si>
    <t>cu05053@cu.co.kr</t>
    <phoneticPr fontId="2" type="noConversion"/>
  </si>
  <si>
    <t>신협 131-002-821894 / 예금주 : 미호신협</t>
  </si>
  <si>
    <t>대구대서신용협동조합</t>
  </si>
  <si>
    <t>09301</t>
    <phoneticPr fontId="2" type="noConversion"/>
  </si>
  <si>
    <t>이사장 최영훈</t>
    <phoneticPr fontId="2" type="noConversion"/>
  </si>
  <si>
    <t>대구 서구 서대구로305, 1층</t>
  </si>
  <si>
    <t>곽경열 대리</t>
    <phoneticPr fontId="2" type="noConversion"/>
  </si>
  <si>
    <t>503-82-07681</t>
  </si>
  <si>
    <t>174241-0001330</t>
  </si>
  <si>
    <t>053.351.9500</t>
  </si>
  <si>
    <t>010.8740.2848</t>
    <phoneticPr fontId="2" type="noConversion"/>
  </si>
  <si>
    <t>kklcome@cu.co.kr</t>
    <phoneticPr fontId="2" type="noConversion"/>
  </si>
  <si>
    <t>신협 131-005-005290 / 예금주 : 대구대서신용협동조합</t>
  </si>
  <si>
    <t>한빛신용협동조합</t>
    <phoneticPr fontId="2" type="noConversion"/>
  </si>
  <si>
    <t>06195</t>
    <phoneticPr fontId="2" type="noConversion"/>
  </si>
  <si>
    <t>이사장 윤성기</t>
    <phoneticPr fontId="2" type="noConversion"/>
  </si>
  <si>
    <t>대전 대덕구 계족산로81번길 87</t>
    <phoneticPr fontId="2" type="noConversion"/>
  </si>
  <si>
    <t>구진숙 차장</t>
  </si>
  <si>
    <t>306-82-06946</t>
  </si>
  <si>
    <t>164141-0000724</t>
  </si>
  <si>
    <t>042.627.4501</t>
  </si>
  <si>
    <t>010.6608.1804</t>
  </si>
  <si>
    <t>cjlover1804@cu.co.kr</t>
    <phoneticPr fontId="2" type="noConversion"/>
  </si>
  <si>
    <t>신협 131-003-657209 / 예금주: 한빛신용협동좝</t>
  </si>
  <si>
    <t>양동행복신용협동조합</t>
  </si>
  <si>
    <t>08076</t>
  </si>
  <si>
    <t>이사장 김영호</t>
  </si>
  <si>
    <t>전남광주통합특별시 서구 천변좌로 238(양동)</t>
  </si>
  <si>
    <t>안헤진 과장</t>
  </si>
  <si>
    <t>410-82-02007</t>
  </si>
  <si>
    <t>200141-0001719</t>
  </si>
  <si>
    <t>062.454.6514</t>
  </si>
  <si>
    <t>010.5694.2003</t>
  </si>
  <si>
    <t>080762002002@cu.co.kr</t>
  </si>
  <si>
    <t>신협 131-021-819738 / 예금주: 양동행복신용협동조합</t>
  </si>
  <si>
    <t>서귀포동부신용협동조합</t>
  </si>
  <si>
    <t>11008</t>
    <phoneticPr fontId="2" type="noConversion"/>
  </si>
  <si>
    <t>이사장 현학열</t>
    <phoneticPr fontId="2" type="noConversion"/>
  </si>
  <si>
    <t>제주특별자치도 서귀포시 효돈로 136</t>
  </si>
  <si>
    <t>홍영기 대리</t>
    <phoneticPr fontId="2" type="noConversion"/>
  </si>
  <si>
    <t>616-82-01095</t>
  </si>
  <si>
    <t>224141-0000854</t>
  </si>
  <si>
    <t>064.767.2820</t>
  </si>
  <si>
    <t>010.7564.0888</t>
  </si>
  <si>
    <t>cu11008@cu.co.kr</t>
    <phoneticPr fontId="2" type="noConversion"/>
  </si>
  <si>
    <t>신협 131-005-410020 / 예금주 : 서귀포동부신협</t>
  </si>
  <si>
    <t>광주어룡신용협동조합</t>
    <phoneticPr fontId="2" type="noConversion"/>
  </si>
  <si>
    <t>08172</t>
    <phoneticPr fontId="2" type="noConversion"/>
  </si>
  <si>
    <t>이사장 김춘석</t>
  </si>
  <si>
    <t>전남광주통합특별시 광산구 송정로 15</t>
    <phoneticPr fontId="2" type="noConversion"/>
  </si>
  <si>
    <t>박태훈 대리</t>
  </si>
  <si>
    <t>410-82-08127</t>
  </si>
  <si>
    <t>204241-0000963</t>
  </si>
  <si>
    <t>062.720.8811</t>
  </si>
  <si>
    <t>010.3318.5799</t>
  </si>
  <si>
    <t>hoon91@cu.co.kr</t>
  </si>
  <si>
    <t>신협 131-004-571106 / 예금주 : 광주어룡신협</t>
  </si>
  <si>
    <t>광주미래신용협동조합</t>
  </si>
  <si>
    <t>08179</t>
  </si>
  <si>
    <t>이사장 고관진</t>
    <phoneticPr fontId="2" type="noConversion"/>
  </si>
  <si>
    <t>전남광주통합특별시 북구 북문대로 153 (운암동)</t>
    <phoneticPr fontId="2" type="noConversion"/>
  </si>
  <si>
    <t>박민성 사원</t>
    <phoneticPr fontId="2" type="noConversion"/>
  </si>
  <si>
    <t>409-82-07808</t>
  </si>
  <si>
    <t>206341-0000232</t>
  </si>
  <si>
    <t>062.515.0070</t>
  </si>
  <si>
    <t>010.3075.0887</t>
    <phoneticPr fontId="2" type="noConversion"/>
  </si>
  <si>
    <t>pmsok101999@cu.co.kr</t>
    <phoneticPr fontId="2" type="noConversion"/>
  </si>
  <si>
    <t>신협 131-004-612864 / 예금주 : 광주미래신용협동조합</t>
  </si>
  <si>
    <t>새안양신용협동조합</t>
    <phoneticPr fontId="2" type="noConversion"/>
  </si>
  <si>
    <t>03112</t>
    <phoneticPr fontId="2" type="noConversion"/>
  </si>
  <si>
    <t>이사장 신동석</t>
    <phoneticPr fontId="2" type="noConversion"/>
  </si>
  <si>
    <t>경기도 안양시 만안구 장내로 120번길 22(안양동)</t>
    <phoneticPr fontId="2" type="noConversion"/>
  </si>
  <si>
    <t>이필승 대리</t>
    <phoneticPr fontId="2" type="noConversion"/>
  </si>
  <si>
    <t>123-82-01588</t>
    <phoneticPr fontId="2" type="noConversion"/>
  </si>
  <si>
    <t>134141-0002411</t>
    <phoneticPr fontId="2" type="noConversion"/>
  </si>
  <si>
    <t>031-446-1101</t>
    <phoneticPr fontId="2" type="noConversion"/>
  </si>
  <si>
    <t>010-8019-3350</t>
    <phoneticPr fontId="2" type="noConversion"/>
  </si>
  <si>
    <t>cu03112@cu.co.kr / 09protos@cu.co.kr</t>
    <phoneticPr fontId="2" type="noConversion"/>
  </si>
  <si>
    <t>신협 131-001-041701 / 예금주 : 새안양신용협동조합</t>
    <phoneticPr fontId="2" type="noConversion"/>
  </si>
  <si>
    <t>남수원신용협동조합</t>
    <phoneticPr fontId="2" type="noConversion"/>
  </si>
  <si>
    <t>031330</t>
    <phoneticPr fontId="2" type="noConversion"/>
  </si>
  <si>
    <t>이사장 정중기</t>
    <phoneticPr fontId="2" type="noConversion"/>
  </si>
  <si>
    <t>경기도 수원시 팔달구 효원로 177(인계동) 1층</t>
  </si>
  <si>
    <t>이지운 과장
김지선 대리</t>
  </si>
  <si>
    <t>124-82-30790</t>
  </si>
  <si>
    <t>130141-0000914</t>
  </si>
  <si>
    <t>031-238-0107</t>
  </si>
  <si>
    <t>010.4487.6879
010.9411.0227</t>
    <phoneticPr fontId="2" type="noConversion"/>
  </si>
  <si>
    <t>krlejw@naver.com
jisunya86@naver.com</t>
    <phoneticPr fontId="2" type="noConversion"/>
  </si>
  <si>
    <t>신협 131-001-156258 / 예금주: 남수원신용협동조합</t>
  </si>
  <si>
    <t>북인천신용협동조합</t>
    <phoneticPr fontId="2" type="noConversion"/>
  </si>
  <si>
    <t>03236</t>
  </si>
  <si>
    <t>이사장 김정섭</t>
    <phoneticPr fontId="2" type="noConversion"/>
  </si>
  <si>
    <t>인천광역시 부평구 후정로 8, 상가2동 B04호</t>
  </si>
  <si>
    <t>김희승 과장</t>
    <phoneticPr fontId="2" type="noConversion"/>
  </si>
  <si>
    <t>122-82-04807</t>
  </si>
  <si>
    <t>124241-0000076</t>
  </si>
  <si>
    <t>032.516.8101</t>
  </si>
  <si>
    <t>010.9664.0702</t>
  </si>
  <si>
    <t>kkhs101@nate.com / cu03236@cu.co.kr</t>
  </si>
  <si>
    <t>신협 131-002-051950 / 예금주: 북인천신용협동조합</t>
  </si>
  <si>
    <t>주소 : 서울시 강남구 테헤란로 142 ARC PLACE 9층
전화번호 : 02-3451-0168/ 010-9872-2219
담당자 : 곽경호 책임
Email : kyungho.kwak@lotte.net, lottecap_corp3@lotte.net</t>
    <phoneticPr fontId="3" type="noConversion"/>
  </si>
  <si>
    <t>안혜진 과장</t>
    <phoneticPr fontId="2" type="noConversion"/>
  </si>
  <si>
    <t>03133</t>
    <phoneticPr fontId="2" type="noConversion"/>
  </si>
  <si>
    <t>안양 물류센터 담보대출 – 대주별 참여금액 및 통지처 (선순위·중순위 통합)</t>
  </si>
  <si>
    <t>(단위: 억원)</t>
  </si>
  <si>
    <t>순위</t>
  </si>
  <si>
    <t>구분</t>
  </si>
  <si>
    <t>대주명</t>
  </si>
  <si>
    <t>해당</t>
  </si>
  <si>
    <t>금액</t>
  </si>
  <si>
    <t>비중</t>
  </si>
  <si>
    <t>통지처</t>
  </si>
  <si>
    <t>선순위</t>
  </si>
  <si>
    <t>선순위 소계</t>
  </si>
  <si>
    <t>중순위</t>
  </si>
  <si>
    <t>-</t>
  </si>
  <si>
    <t>중순위 소계</t>
  </si>
  <si>
    <t>합계</t>
  </si>
  <si>
    <t>SBI저축은행</t>
  </si>
  <si>
    <t>신용협동조합중앙회</t>
  </si>
  <si>
    <t>서로신용협동조합(주간)</t>
  </si>
  <si>
    <t>미호신용협동조합</t>
  </si>
  <si>
    <t>한빛신용협동조합</t>
  </si>
  <si>
    <t>광주어룡신용협동조합</t>
  </si>
  <si>
    <t>새안양신용협동조합</t>
  </si>
  <si>
    <t>남수원신용협동조합</t>
  </si>
  <si>
    <t>북인천신용협동조합</t>
  </si>
  <si>
    <t>키움캐피탈</t>
  </si>
  <si>
    <t>엠지캐피탈</t>
  </si>
  <si>
    <t>디비저축은행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</si>
</sst>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_ "/>
    <numFmt numFmtId="177" formatCode="0.0"/>
    <numFmt numFmtId="178" formatCode="0.00_ "/>
    <numFmt numFmtId="179" formatCode="0.0%"/>
    <numFmt numFmtId="180" formatCode="General&quot;백만원&quot;"/>
    <numFmt numFmtId="181" formatCode="0.000%"/>
    <numFmt numFmtId="182" formatCode="mm&quot;월&quot;\ dd&quot;일&quot;"/>
    <numFmt numFmtId="183" formatCode="General&quot;억원&quot;"/>
    <numFmt numFmtId="184" formatCode="0_);[Red]\(0\)"/>
    <numFmt numFmtId="185" formatCode="_-* #,##0.0_-;\-* #,##0.0_-;_-* &quot;-&quot;_-;_-@_-"/>
    <numFmt numFmtId="186" formatCode="#,##0;\(#,##0\);\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1"/>
      <color rgb="FF008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41" fontId="5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>
      <alignment vertical="center"/>
    </xf>
    <xf numFmtId="2" fontId="5" fillId="0" borderId="0" xfId="0" applyNumberFormat="1" applyFont="1">
      <alignment vertical="center"/>
    </xf>
    <xf numFmtId="2" fontId="0" fillId="3" borderId="0" xfId="0" applyNumberFormat="1" applyFill="1">
      <alignment vertical="center"/>
    </xf>
    <xf numFmtId="1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right"/>
    </xf>
    <xf numFmtId="10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0" borderId="1" xfId="1" applyNumberFormat="1" applyFont="1" applyBorder="1" applyAlignment="1">
      <alignment horizontal="right" vertical="center"/>
    </xf>
    <xf numFmtId="10" fontId="0" fillId="0" borderId="1" xfId="1" applyNumberFormat="1" applyFont="1" applyBorder="1" applyAlignment="1">
      <alignment vertical="center"/>
    </xf>
    <xf numFmtId="10" fontId="0" fillId="0" borderId="1" xfId="1" applyNumberFormat="1" applyFont="1" applyBorder="1" applyAlignment="1">
      <alignment horizontal="right" vertical="center"/>
    </xf>
    <xf numFmtId="180" fontId="0" fillId="0" borderId="1" xfId="0" applyNumberFormat="1" applyBorder="1" applyAlignment="1">
      <alignment horizontal="center"/>
    </xf>
    <xf numFmtId="180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center" vertical="center"/>
    </xf>
    <xf numFmtId="41" fontId="0" fillId="0" borderId="0" xfId="1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41" fontId="0" fillId="6" borderId="1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 wrapText="1"/>
    </xf>
    <xf numFmtId="18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>
      <alignment vertical="center"/>
    </xf>
    <xf numFmtId="0" fontId="0" fillId="0" borderId="0" xfId="0" applyAlignment="1"/>
    <xf numFmtId="0" fontId="5" fillId="0" borderId="0" xfId="0" applyFont="1" applyAlignment="1"/>
    <xf numFmtId="10" fontId="0" fillId="3" borderId="1" xfId="0" applyNumberFormat="1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/>
    </xf>
    <xf numFmtId="41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182" fontId="0" fillId="0" borderId="0" xfId="0" applyNumberFormat="1">
      <alignment vertical="center"/>
    </xf>
    <xf numFmtId="0" fontId="0" fillId="7" borderId="1" xfId="0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83" fontId="0" fillId="5" borderId="1" xfId="0" applyNumberFormat="1" applyFill="1" applyBorder="1" applyAlignment="1">
      <alignment horizontal="center" vertical="center"/>
    </xf>
    <xf numFmtId="183" fontId="0" fillId="7" borderId="1" xfId="0" applyNumberForma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5" fontId="5" fillId="5" borderId="0" xfId="0" applyNumberFormat="1" applyFont="1" applyFill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41" fontId="5" fillId="8" borderId="3" xfId="0" applyNumberFormat="1" applyFont="1" applyFill="1" applyBorder="1" applyAlignment="1">
      <alignment horizontal="center" vertical="center" wrapText="1"/>
    </xf>
    <xf numFmtId="184" fontId="5" fillId="8" borderId="4" xfId="0" applyNumberFormat="1" applyFont="1" applyFill="1" applyBorder="1" applyAlignment="1">
      <alignment horizontal="center" vertical="center"/>
    </xf>
    <xf numFmtId="0" fontId="5" fillId="8" borderId="1" xfId="0" quotePrefix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1" fontId="9" fillId="7" borderId="1" xfId="1" applyFont="1" applyFill="1" applyBorder="1" applyAlignment="1">
      <alignment horizontal="center" vertical="center"/>
    </xf>
    <xf numFmtId="184" fontId="5" fillId="7" borderId="4" xfId="1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2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184" fontId="5" fillId="2" borderId="4" xfId="1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2" applyFill="1" applyBorder="1" applyAlignment="1">
      <alignment horizontal="center" vertical="center" wrapText="1"/>
    </xf>
    <xf numFmtId="41" fontId="10" fillId="2" borderId="1" xfId="1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41" fontId="12" fillId="2" borderId="1" xfId="1" applyFont="1" applyFill="1" applyBorder="1" applyAlignment="1">
      <alignment horizontal="center" vertical="center"/>
    </xf>
    <xf numFmtId="0" fontId="7" fillId="2" borderId="1" xfId="2" applyFill="1" applyBorder="1" applyAlignment="1">
      <alignment horizontal="center" vertical="center"/>
    </xf>
    <xf numFmtId="41" fontId="13" fillId="2" borderId="1" xfId="1" applyFont="1" applyFill="1" applyBorder="1" applyAlignment="1">
      <alignment horizontal="center" vertical="center"/>
    </xf>
    <xf numFmtId="184" fontId="14" fillId="2" borderId="4" xfId="1" quotePrefix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2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1" fontId="5" fillId="9" borderId="1" xfId="1" applyFont="1" applyFill="1" applyBorder="1" applyAlignment="1">
      <alignment horizontal="center" vertical="center"/>
    </xf>
    <xf numFmtId="49" fontId="5" fillId="9" borderId="4" xfId="1" quotePrefix="1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2" applyFill="1" applyBorder="1" applyAlignment="1">
      <alignment horizontal="center" vertical="center" wrapText="1"/>
    </xf>
    <xf numFmtId="49" fontId="5" fillId="9" borderId="1" xfId="1" quotePrefix="1" applyNumberFormat="1" applyFon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41" fontId="9" fillId="10" borderId="1" xfId="1" applyFont="1" applyFill="1" applyBorder="1" applyAlignment="1">
      <alignment horizontal="center" vertical="center"/>
    </xf>
    <xf numFmtId="184" fontId="5" fillId="10" borderId="4" xfId="1" quotePrefix="1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2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center" vertical="center"/>
    </xf>
    <xf numFmtId="41" fontId="19" fillId="2" borderId="1" xfId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86" fontId="17" fillId="0" borderId="7" xfId="0" applyNumberFormat="1" applyFont="1" applyBorder="1" applyAlignment="1">
      <alignment horizontal="center" vertical="center"/>
    </xf>
    <xf numFmtId="186" fontId="5" fillId="12" borderId="7" xfId="0" applyNumberFormat="1" applyFont="1" applyFill="1" applyBorder="1" applyAlignment="1">
      <alignment horizontal="center" vertical="center"/>
    </xf>
    <xf numFmtId="186" fontId="5" fillId="11" borderId="7" xfId="0" applyNumberFormat="1" applyFont="1" applyFill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179" fontId="5" fillId="12" borderId="7" xfId="0" applyNumberFormat="1" applyFont="1" applyFill="1" applyBorder="1" applyAlignment="1">
      <alignment horizontal="center" vertical="center"/>
    </xf>
    <xf numFmtId="179" fontId="5" fillId="11" borderId="7" xfId="0" applyNumberFormat="1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5" fillId="12" borderId="7" xfId="0" applyFont="1" applyFill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5A0E3-538C-4F15-86A5-B6FFB06E1C94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8b72505-2530-41f2-8525-3bcd564f417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BAC8-2891-4B22-8C9F-CE3D81DB3A7D}">
  <dimension ref="A1:G31"/>
  <sheetViews>
    <sheetView tabSelected="1" workbookViewId="0">
      <pane ySplit="3" topLeftCell="A6" activePane="bottomLeft" state="frozen"/>
      <selection activeCell="A3" sqref="A3"/>
      <selection pane="bottomLeft" activeCell="G9" sqref="G9"/>
    </sheetView>
  </sheetViews>
  <sheetFormatPr defaultRowHeight="16.5" x14ac:dyDescent="0.3"/>
  <cols>
    <col min="1" max="1" width="12.5" style="120" customWidth="1"/>
    <col min="2" max="2" width="6.625" style="120" customWidth="1"/>
    <col min="3" max="3" width="25" style="120" customWidth="1"/>
    <col min="4" max="4" width="14.125" style="120" customWidth="1"/>
    <col min="5" max="5" width="11.625" style="120" customWidth="1"/>
    <col min="6" max="6" width="9.125" style="120" customWidth="1"/>
    <col min="7" max="7" width="71.625" style="120" customWidth="1"/>
  </cols>
  <sheetData>
    <row r="1" spans="1:7" ht="20.25" x14ac:dyDescent="0.3">
      <c r="A1" s="121" t="s">
        <v>266</v>
      </c>
    </row>
    <row r="2" spans="1:7" x14ac:dyDescent="0.3">
      <c r="G2" s="122" t="s">
        <v>267</v>
      </c>
    </row>
    <row r="3" spans="1:7" x14ac:dyDescent="0.3">
      <c r="A3" s="124" t="s">
        <v>268</v>
      </c>
      <c r="B3" s="124" t="s">
        <v>269</v>
      </c>
      <c r="C3" s="124" t="s">
        <v>270</v>
      </c>
      <c r="D3" s="124" t="s">
        <v>271</v>
      </c>
      <c r="E3" s="124" t="s">
        <v>272</v>
      </c>
      <c r="F3" s="124" t="s">
        <v>273</v>
      </c>
      <c r="G3" s="124" t="s">
        <v>274</v>
      </c>
    </row>
    <row r="4" spans="1:7" ht="66" x14ac:dyDescent="0.3">
      <c r="A4" s="133" t="s">
        <v>275</v>
      </c>
      <c r="B4" s="123">
        <f>1</f>
        <v>1</v>
      </c>
      <c r="C4" s="142" t="s">
        <v>12</v>
      </c>
      <c r="D4" s="142" t="str">
        <f>선순위!C36</f>
        <v>Tr.A-2
(변동금리)</v>
      </c>
      <c r="E4" s="136">
        <f>선순위!D36</f>
        <v>700</v>
      </c>
      <c r="F4" s="139">
        <f>E4/$E$31</f>
        <v>0.35353535353535354</v>
      </c>
      <c r="G4" s="146" t="str">
        <f>선순위!E36</f>
        <v>주소 : 서울특별시 영등포구 여의대로 108, 34층(의의도동, 파크원)
전화번호 : 02-2002-5921 / 02-2002-4567
담당자 / 이인환 과장 / 홍진경 과장
Email : gsk3150@wooribank.com / jkhong@wooribank.com</v>
      </c>
    </row>
    <row r="5" spans="1:7" ht="66" x14ac:dyDescent="0.3">
      <c r="A5" s="134"/>
      <c r="B5" s="123">
        <f>B4+1</f>
        <v>2</v>
      </c>
      <c r="C5" s="142" t="s">
        <v>15</v>
      </c>
      <c r="D5" s="142" t="str">
        <f>선순위!C37</f>
        <v>Tr.A-1
(고정금리)</v>
      </c>
      <c r="E5" s="136">
        <f>선순위!D37</f>
        <v>300</v>
      </c>
      <c r="F5" s="139">
        <f>E5/$E$31</f>
        <v>0.15151515151515152</v>
      </c>
      <c r="G5" s="146" t="str">
        <f>선순위!E37</f>
        <v>주소 : 서울시 강남구 테헤란로 142 ARC PLACE 9층
전화번호 : 02-3451-0168/ 010-9872-2219
담당자 : 곽경호 책임
Email : kyungho.kwak@lotte.net, lottecap_corp3@lotte.net</v>
      </c>
    </row>
    <row r="6" spans="1:7" ht="82.5" x14ac:dyDescent="0.3">
      <c r="A6" s="134"/>
      <c r="B6" s="123">
        <f>B5+1</f>
        <v>3</v>
      </c>
      <c r="C6" s="142" t="s">
        <v>16</v>
      </c>
      <c r="D6" s="142" t="str">
        <f>선순위!C38</f>
        <v>Tr.A-1
(고정금리)</v>
      </c>
      <c r="E6" s="136">
        <f>선순위!D38</f>
        <v>100</v>
      </c>
      <c r="F6" s="139">
        <f>E6/$E$31</f>
        <v>5.0505050505050504E-2</v>
      </c>
      <c r="G6" s="146" t="str">
        <f>선순위!E38</f>
        <v>주소: 서울특별시 종로구 종로1길50(중학동) 케이트윈타워 A동
전화번호: 02-6968-3531 / 010-9764-8118
팩스번호: 0505-001-8544
담당자: 강민구 과장
Email: kangmg@wooricard.com</v>
      </c>
    </row>
    <row r="7" spans="1:7" ht="82.5" x14ac:dyDescent="0.3">
      <c r="A7" s="134"/>
      <c r="B7" s="123">
        <f>B6+1</f>
        <v>4</v>
      </c>
      <c r="C7" s="142" t="s">
        <v>18</v>
      </c>
      <c r="D7" s="142" t="str">
        <f>선순위!C39</f>
        <v>Tr.A-1
(고정금리)</v>
      </c>
      <c r="E7" s="136">
        <f>선순위!D39</f>
        <v>100</v>
      </c>
      <c r="F7" s="139">
        <f>E7/$E$31</f>
        <v>5.0505050505050504E-2</v>
      </c>
      <c r="G7" s="146" t="str">
        <f>선순위!E39</f>
        <v>주소: 서울특별시 동작구 동작대로 43 ,1층 수협은행 사당역지점 
전화번호: 02-874-8781(내선:4518) / 010-6828-8205
팩스번호: 02-585-7745 
담당자: 이진용 대리
Email: rinyong2@suhyup-bank.com</v>
      </c>
    </row>
    <row r="8" spans="1:7" ht="82.5" x14ac:dyDescent="0.3">
      <c r="A8" s="134"/>
      <c r="B8" s="123">
        <f>B7+1</f>
        <v>5</v>
      </c>
      <c r="C8" s="142" t="s">
        <v>281</v>
      </c>
      <c r="D8" s="142" t="str">
        <f>선순위!C40</f>
        <v>Tr.A-1
(고정금리)</v>
      </c>
      <c r="E8" s="136">
        <f>선순위!D40</f>
        <v>100</v>
      </c>
      <c r="F8" s="139">
        <f>E8/$E$31</f>
        <v>5.0505050505050504E-2</v>
      </c>
      <c r="G8" s="146" t="str">
        <f>선순위!E40</f>
        <v>주소: 서울시 중구 을지로 5길 26, 9층 (수하동, 미래에셋센터원빌딩 동관)
전화번호: 02-3416-4828 / 010-9158-6842
팩스번호: 02-2136-0293
담당자: 이정민 매니저
Email: ljm88@sbisb.co.kr</v>
      </c>
    </row>
    <row r="9" spans="1:7" ht="82.5" x14ac:dyDescent="0.3">
      <c r="A9" s="134"/>
      <c r="B9" s="123">
        <f>B8+1</f>
        <v>6</v>
      </c>
      <c r="C9" s="142" t="s">
        <v>282</v>
      </c>
      <c r="D9" s="142" t="str">
        <f>선순위!C41</f>
        <v>Tr.A-1
(고정금리)</v>
      </c>
      <c r="E9" s="136">
        <f>선순위!D41</f>
        <v>1</v>
      </c>
      <c r="F9" s="139">
        <f>E9/$E$31</f>
        <v>5.0505050505050505E-4</v>
      </c>
      <c r="G9" s="146" t="str">
        <f>선순위!E41</f>
        <v>주소 : 서울특별시 중구 소월로 10 단암빌딩 14층
전화번호 : 02.590.5849 / 010.2241.1820
담당자 : 안소진 대리 / 투자관리
Email : sjahn@cu.co.kr / cuf1803@cu.co.kr
수취계좌 : 농협 081-01-168860 / 예금주 : 신협중앙회</v>
      </c>
    </row>
    <row r="10" spans="1:7" ht="82.5" x14ac:dyDescent="0.3">
      <c r="A10" s="134"/>
      <c r="B10" s="123">
        <f>B9+1</f>
        <v>7</v>
      </c>
      <c r="C10" s="142" t="s">
        <v>283</v>
      </c>
      <c r="D10" s="142" t="str">
        <f>선순위!C42</f>
        <v>Tr.A-1
(고정금리)</v>
      </c>
      <c r="E10" s="136">
        <f>선순위!D42</f>
        <v>40</v>
      </c>
      <c r="F10" s="139">
        <f>E10/$E$31</f>
        <v>2.0202020202020204E-2</v>
      </c>
      <c r="G10" s="146" t="str">
        <f>선순위!E42</f>
        <v>주소 : 인천광역시 서해구 가정로 288(석남동)
전화번호 : 032.574.0166 / 010.7152.5264
담당자 : 장성진 과장
Email : SJin87@cu.co.kr
수취계좌 : 신협 131-000-941666 / 예금주 : 서로신용협동조합</v>
      </c>
    </row>
    <row r="11" spans="1:7" ht="82.5" x14ac:dyDescent="0.3">
      <c r="A11" s="134"/>
      <c r="B11" s="123">
        <f>B10+1</f>
        <v>8</v>
      </c>
      <c r="C11" s="142" t="s">
        <v>98</v>
      </c>
      <c r="D11" s="142" t="str">
        <f>선순위!C43</f>
        <v>Tr.A-1
(고정금리)</v>
      </c>
      <c r="E11" s="136">
        <f>선순위!D43</f>
        <v>28</v>
      </c>
      <c r="F11" s="139">
        <f>E11/$E$31</f>
        <v>1.4141414141414142E-2</v>
      </c>
      <c r="G11" s="146" t="str">
        <f>선순위!E43</f>
        <v>주소 : 경기도 용인시 수지구 문정로 7번길 8 1층
전화번호 : 031.262.6801 / 010.7143.7369
담당자 : 권영욱 대리
Email : suji_youngwook@naver.com
수취계좌 : 신협 131-014-493393 / 예금주 : 수지신협</v>
      </c>
    </row>
    <row r="12" spans="1:7" ht="82.5" x14ac:dyDescent="0.3">
      <c r="A12" s="134"/>
      <c r="B12" s="123">
        <f>B11+1</f>
        <v>9</v>
      </c>
      <c r="C12" s="142" t="s">
        <v>109</v>
      </c>
      <c r="D12" s="142" t="str">
        <f>선순위!C44</f>
        <v>Tr.A-1
(고정금리)</v>
      </c>
      <c r="E12" s="136">
        <f>선순위!D44</f>
        <v>24</v>
      </c>
      <c r="F12" s="139">
        <f>E12/$E$31</f>
        <v>1.2121212121212121E-2</v>
      </c>
      <c r="G12" s="146" t="str">
        <f>선순위!E44</f>
        <v>주소 : 강원특별자치도 정선군 정선읍 봉양6길 31
전화번호 : 033.563.0760 / 010.6679.3464
담당자 : 장용현 주임
Email : cu04008@cu.co.kr
수취계좌 : 신협 131-019-058167 / 예금주 : 정선신용협동조합</v>
      </c>
    </row>
    <row r="13" spans="1:7" ht="82.5" x14ac:dyDescent="0.3">
      <c r="A13" s="134"/>
      <c r="B13" s="123">
        <f>B12+1</f>
        <v>10</v>
      </c>
      <c r="C13" s="142" t="s">
        <v>120</v>
      </c>
      <c r="D13" s="142" t="str">
        <f>선순위!C45</f>
        <v>Tr.A-1
(고정금리)</v>
      </c>
      <c r="E13" s="136">
        <f>선순위!D45</f>
        <v>14</v>
      </c>
      <c r="F13" s="139">
        <f>E13/$E$31</f>
        <v>7.0707070707070711E-3</v>
      </c>
      <c r="G13" s="146" t="str">
        <f>선순위!E45</f>
        <v>주소 : 서울특별시 서대문구 연희로 64-22
전화번호 : 02.323.2636 / 010.6519.0830 , 010.8467.2620
담당자 : 양주성 과장, 박준희 대리
Email : cu01221@cu.co.kr
수취계좌 : 신협 131-000-189579 / 예금주 : 연희신협</v>
      </c>
    </row>
    <row r="14" spans="1:7" ht="82.5" x14ac:dyDescent="0.3">
      <c r="A14" s="134"/>
      <c r="B14" s="123">
        <f>B13+1</f>
        <v>11</v>
      </c>
      <c r="C14" s="142" t="s">
        <v>131</v>
      </c>
      <c r="D14" s="142" t="str">
        <f>선순위!C46</f>
        <v>Tr.A-1
(고정금리)</v>
      </c>
      <c r="E14" s="136">
        <f>선순위!D46</f>
        <v>18</v>
      </c>
      <c r="F14" s="139">
        <f>E14/$E$31</f>
        <v>9.0909090909090905E-3</v>
      </c>
      <c r="G14" s="146" t="str">
        <f>선순위!E46</f>
        <v>주소 : 서울시 서대문구 가재울미래로 11 (남가좌동)
전화번호 : 02.376.2036 / 010.2527.0576
담당자 : 정덕호 주임
Email : jeong0576@cu.co.kr
수취계좌 : 신협 131-000-001170 / 예금주 : 금모래신협</v>
      </c>
    </row>
    <row r="15" spans="1:7" ht="82.5" x14ac:dyDescent="0.3">
      <c r="A15" s="134"/>
      <c r="B15" s="123">
        <f>B14+1</f>
        <v>12</v>
      </c>
      <c r="C15" s="142" t="s">
        <v>142</v>
      </c>
      <c r="D15" s="142" t="str">
        <f>선순위!C47</f>
        <v>Tr.A-1
(고정금리)</v>
      </c>
      <c r="E15" s="136">
        <f>선순위!D47</f>
        <v>10</v>
      </c>
      <c r="F15" s="139">
        <f>E15/$E$31</f>
        <v>5.0505050505050509E-3</v>
      </c>
      <c r="G15" s="146" t="str">
        <f>선순위!E47</f>
        <v>주소 : 인천시 부평구 배곶로 64
전화번호 : 032.437.9563 / 010.2006.7819
담당자 : 임인희 차장
Email : hee4977@cu.co.kr
수취계좌 : 신협 131-000-942952 / 예금주 : 남인천신협</v>
      </c>
    </row>
    <row r="16" spans="1:7" ht="82.5" x14ac:dyDescent="0.3">
      <c r="A16" s="134"/>
      <c r="B16" s="123">
        <f>B15+1</f>
        <v>13</v>
      </c>
      <c r="C16" s="142" t="s">
        <v>284</v>
      </c>
      <c r="D16" s="142" t="str">
        <f>선순위!C48</f>
        <v>Tr.A-1
(고정금리)</v>
      </c>
      <c r="E16" s="136">
        <f>선순위!D48</f>
        <v>13</v>
      </c>
      <c r="F16" s="139">
        <f>E16/$E$31</f>
        <v>6.5656565656565654E-3</v>
      </c>
      <c r="G16" s="146" t="str">
        <f>선순위!E48</f>
        <v>주소 : 충청도 청주시 흥덕구 강내면 태성탑연로 448-10
전화번호 : 043.232.2652 / 010.7735.5225
담당자 : 이주희 차장
Email : cu05053@cu.co.kr
수취계좌 : 신협 131-002-821894 / 예금주 : 미호신협</v>
      </c>
    </row>
    <row r="17" spans="1:7" ht="82.5" x14ac:dyDescent="0.3">
      <c r="A17" s="134"/>
      <c r="B17" s="123">
        <f>B16+1</f>
        <v>14</v>
      </c>
      <c r="C17" s="142" t="s">
        <v>164</v>
      </c>
      <c r="D17" s="142" t="str">
        <f>선순위!C49</f>
        <v>Tr.A-1
(고정금리)</v>
      </c>
      <c r="E17" s="136">
        <f>선순위!D49</f>
        <v>13</v>
      </c>
      <c r="F17" s="139">
        <f>E17/$E$31</f>
        <v>6.5656565656565654E-3</v>
      </c>
      <c r="G17" s="146" t="str">
        <f>선순위!E49</f>
        <v>주소 : 대구 서구 서대구로305, 1층
전화번호 : 053.351.9500 / 010.8740.2848
담당자 : 곽경열 대리
Email : kklcome@cu.co.kr
수취계좌 : 신협 131-005-005290 / 예금주 : 대구대서신용협동조합</v>
      </c>
    </row>
    <row r="18" spans="1:7" ht="82.5" x14ac:dyDescent="0.3">
      <c r="A18" s="134"/>
      <c r="B18" s="123">
        <f>B17+1</f>
        <v>15</v>
      </c>
      <c r="C18" s="142" t="s">
        <v>285</v>
      </c>
      <c r="D18" s="142" t="str">
        <f>선순위!C50</f>
        <v>Tr.A-1
(고정금리)</v>
      </c>
      <c r="E18" s="136">
        <f>선순위!D50</f>
        <v>17</v>
      </c>
      <c r="F18" s="139">
        <f>E18/$E$31</f>
        <v>8.5858585858585856E-3</v>
      </c>
      <c r="G18" s="146" t="str">
        <f>선순위!E50</f>
        <v>주소 : 대전 대덕구 계족산로81번길 87
전화번호 : 042.627.4501 / 010.6608.1804
담당자 : 구진숙 차장
Email : cjlover1804@cu.co.kr
수취계좌 : 신협 131-003-657209 / 예금주: 한빛신용협동좝</v>
      </c>
    </row>
    <row r="19" spans="1:7" ht="82.5" x14ac:dyDescent="0.3">
      <c r="A19" s="134"/>
      <c r="B19" s="123">
        <f>B18+1</f>
        <v>16</v>
      </c>
      <c r="C19" s="142" t="s">
        <v>186</v>
      </c>
      <c r="D19" s="142" t="str">
        <f>선순위!C51</f>
        <v>Tr.A-1
(고정금리)</v>
      </c>
      <c r="E19" s="136">
        <f>선순위!D51</f>
        <v>19</v>
      </c>
      <c r="F19" s="139">
        <f>E19/$E$31</f>
        <v>9.5959595959595953E-3</v>
      </c>
      <c r="G19" s="146" t="str">
        <f>선순위!E51</f>
        <v>주소 : 전남광주통합특별시 서구 천변좌로 238(양동)
전화번호 : 062.454.6514 / 010.5694.2003
담당자 : 안혜진 과장
Email : 080762002002@cu.co.kr
수취계좌 : 신협 131-021-819738 / 예금주: 양동행복신용협동조합</v>
      </c>
    </row>
    <row r="20" spans="1:7" ht="82.5" x14ac:dyDescent="0.3">
      <c r="A20" s="134"/>
      <c r="B20" s="123">
        <f>B19+1</f>
        <v>17</v>
      </c>
      <c r="C20" s="142" t="s">
        <v>197</v>
      </c>
      <c r="D20" s="142" t="str">
        <f>선순위!C52</f>
        <v>Tr.A-1
(고정금리)</v>
      </c>
      <c r="E20" s="136">
        <f>선순위!D52</f>
        <v>12</v>
      </c>
      <c r="F20" s="139">
        <f>E20/$E$31</f>
        <v>6.0606060606060606E-3</v>
      </c>
      <c r="G20" s="146" t="str">
        <f>선순위!E52</f>
        <v>주소 : 제주특별자치도 서귀포시 효돈로 136
전화번호 : 064.767.2820 / 010.7564.0888
담당자 : 홍영기 대리
Email : cu11008@cu.co.kr
수취계좌 : 신협 131-005-410020 / 예금주 : 서귀포동부신협</v>
      </c>
    </row>
    <row r="21" spans="1:7" ht="82.5" x14ac:dyDescent="0.3">
      <c r="A21" s="134"/>
      <c r="B21" s="123">
        <f>B20+1</f>
        <v>18</v>
      </c>
      <c r="C21" s="142" t="s">
        <v>286</v>
      </c>
      <c r="D21" s="142" t="str">
        <f>선순위!C53</f>
        <v>Tr.A-1
(고정금리)</v>
      </c>
      <c r="E21" s="136">
        <f>선순위!D53</f>
        <v>27</v>
      </c>
      <c r="F21" s="139">
        <f>E21/$E$31</f>
        <v>1.3636363636363636E-2</v>
      </c>
      <c r="G21" s="146" t="str">
        <f>선순위!E53</f>
        <v>주소 : 전남광주통합특별시 광산구 송정로 15
전화번호 : 062.720.8811 / 010.3318.5799
담당자 : 박태훈 대리
Email : hoon91@cu.co.kr
수취계좌 : 신협 131-004-571106 / 예금주 : 광주어룡신협</v>
      </c>
    </row>
    <row r="22" spans="1:7" ht="82.5" x14ac:dyDescent="0.3">
      <c r="A22" s="134"/>
      <c r="B22" s="123">
        <f>B21+1</f>
        <v>19</v>
      </c>
      <c r="C22" s="142" t="s">
        <v>219</v>
      </c>
      <c r="D22" s="142" t="str">
        <f>선순위!C54</f>
        <v>Tr.A-1
(고정금리)</v>
      </c>
      <c r="E22" s="136">
        <f>선순위!D54</f>
        <v>14</v>
      </c>
      <c r="F22" s="139">
        <f>E22/$E$31</f>
        <v>7.0707070707070711E-3</v>
      </c>
      <c r="G22" s="146" t="str">
        <f>선순위!E54</f>
        <v>주소 : 전남광주통합특별시 북구 북문대로 153 (운암동)
전화번호 : 062.515.0070 / 010.3075.0887
담당자 : 박민성 사원
Email : pmsok101999@cu.co.kr
수취계좌 : 신협 131-004-612864 / 예금주 : 광주미래신용협동조합</v>
      </c>
    </row>
    <row r="23" spans="1:7" ht="82.5" x14ac:dyDescent="0.3">
      <c r="A23" s="134"/>
      <c r="B23" s="123">
        <f>B22+1</f>
        <v>20</v>
      </c>
      <c r="C23" s="142" t="s">
        <v>287</v>
      </c>
      <c r="D23" s="142" t="str">
        <f>선순위!C55</f>
        <v>Tr.A-1
(고정금리)</v>
      </c>
      <c r="E23" s="136">
        <f>선순위!D55</f>
        <v>40</v>
      </c>
      <c r="F23" s="139">
        <f>E23/$E$31</f>
        <v>2.0202020202020204E-2</v>
      </c>
      <c r="G23" s="146" t="str">
        <f>선순위!E55</f>
        <v>주소 : 경기도 안양시 만안구 장내로 120번길 22(안양동)
전화번호 : 031-446-1101 / 010-8019-3350
담당자 : 이필승 대리
Email : cu03112@cu.co.kr / 09protos@cu.co.kr
수취계좌 : 신협 131-001-041701 / 예금주 : 새안양신용협동조합</v>
      </c>
    </row>
    <row r="24" spans="1:7" ht="132" x14ac:dyDescent="0.3">
      <c r="A24" s="134"/>
      <c r="B24" s="123">
        <f>B23+1</f>
        <v>21</v>
      </c>
      <c r="C24" s="142" t="s">
        <v>288</v>
      </c>
      <c r="D24" s="142" t="str">
        <f>선순위!C56</f>
        <v>Tr.A-1
(고정금리)</v>
      </c>
      <c r="E24" s="136">
        <f>선순위!D56</f>
        <v>3</v>
      </c>
      <c r="F24" s="139">
        <f>E24/$E$31</f>
        <v>1.5151515151515152E-3</v>
      </c>
      <c r="G24" s="146" t="str">
        <f>선순위!E56</f>
        <v>주소 : 경기도 수원시 팔달구 효원로 177(인계동) 1층
전화번호 : 031-238-0107 / 010.4487.6879
010.9411.0227
담당자 : 이지운 과장
김지선 대리
Email : krlejw@naver.com
jisunya86@naver.com
수취계좌 : 신협 131-001-156258 / 예금주: 남수원신용협동조합</v>
      </c>
    </row>
    <row r="25" spans="1:7" ht="82.5" x14ac:dyDescent="0.3">
      <c r="A25" s="135"/>
      <c r="B25" s="123">
        <f>B24+1</f>
        <v>22</v>
      </c>
      <c r="C25" s="142" t="s">
        <v>289</v>
      </c>
      <c r="D25" s="142" t="str">
        <f>선순위!C57</f>
        <v>Tr.A-1
(고정금리)</v>
      </c>
      <c r="E25" s="136">
        <f>선순위!D57</f>
        <v>7</v>
      </c>
      <c r="F25" s="139">
        <f>E25/$E$31</f>
        <v>3.5353535353535356E-3</v>
      </c>
      <c r="G25" s="146" t="str">
        <f>선순위!E57</f>
        <v>주소 : 인천광역시 부평구 후정로 8, 상가2동 B04호
전화번호 : 032.516.8101 / 010.9664.0702
담당자 : 김희승 과장
Email : kkhs101@nate.com / cu03236@cu.co.kr
수취계좌 : 신협 131-002-051950 / 예금주: 북인천신용협동조합</v>
      </c>
    </row>
    <row r="26" spans="1:7" x14ac:dyDescent="0.3">
      <c r="A26" s="125" t="s">
        <v>276</v>
      </c>
      <c r="B26" s="126"/>
      <c r="C26" s="145"/>
      <c r="D26" s="143"/>
      <c r="E26" s="137">
        <f>SUM(E4:E25)</f>
        <v>1600</v>
      </c>
      <c r="F26" s="140">
        <f>E26/$E$31</f>
        <v>0.80808080808080807</v>
      </c>
      <c r="G26" s="147"/>
    </row>
    <row r="27" spans="1:7" ht="82.5" x14ac:dyDescent="0.3">
      <c r="A27" s="133" t="s">
        <v>277</v>
      </c>
      <c r="B27" s="123">
        <f>1</f>
        <v>1</v>
      </c>
      <c r="C27" s="142" t="s">
        <v>290</v>
      </c>
      <c r="D27" s="144" t="s">
        <v>278</v>
      </c>
      <c r="E27" s="136">
        <f>중순위!C25/100000000</f>
        <v>200</v>
      </c>
      <c r="F27" s="139">
        <f>E27/$E$31</f>
        <v>0.10101010101010101</v>
      </c>
      <c r="G27" s="146" t="str">
        <f>중순위!D25</f>
        <v>주소: 서울특별시 영등포구 여의대로 66, 17층
전화번호: 02-780-4295 / 010-4339-3878
팩스번호: 02-780-1517
담당자: 이승근 주임
전자우편:  tmd283@kiwoomcapital.com</v>
      </c>
    </row>
    <row r="28" spans="1:7" ht="82.5" x14ac:dyDescent="0.3">
      <c r="A28" s="134"/>
      <c r="B28" s="123">
        <f>B27+1</f>
        <v>2</v>
      </c>
      <c r="C28" s="142" t="s">
        <v>291</v>
      </c>
      <c r="D28" s="144" t="s">
        <v>278</v>
      </c>
      <c r="E28" s="136">
        <f>중순위!C26/100000000</f>
        <v>100</v>
      </c>
      <c r="F28" s="139">
        <f>E28/$E$31</f>
        <v>5.0505050505050504E-2</v>
      </c>
      <c r="G28" s="146" t="str">
        <f>중순위!D26</f>
        <v>주소: 서울특별시 중구 남대문로 55, MG파이낸스센터 12층
전화번호: 02-2200-7423 / 010-5241-8897
팩스번호: 02-511-3021
담당자: 박소현 과장
전자우편: sopark@mgcap.co.kr</v>
      </c>
    </row>
    <row r="29" spans="1:7" ht="82.5" x14ac:dyDescent="0.3">
      <c r="A29" s="135"/>
      <c r="B29" s="123">
        <f>B28+1</f>
        <v>3</v>
      </c>
      <c r="C29" s="142" t="s">
        <v>292</v>
      </c>
      <c r="D29" s="144" t="s">
        <v>278</v>
      </c>
      <c r="E29" s="136">
        <f>중순위!C27/100000000</f>
        <v>80</v>
      </c>
      <c r="F29" s="139">
        <f>E29/$E$31</f>
        <v>4.0404040404040407E-2</v>
      </c>
      <c r="G29" s="146" t="str">
        <f>중순위!D27</f>
        <v>주소: 서울특별시 중구 남대문로 113, 다동
전화번호: 02-3705-1759 / 010-4440-4730
팩스번호: 02-3705-1850
담당자: 정성범 선임
전자우편: seongbeom4730j@dbgroup.co.kr</v>
      </c>
    </row>
    <row r="30" spans="1:7" x14ac:dyDescent="0.3">
      <c r="A30" s="125" t="s">
        <v>279</v>
      </c>
      <c r="B30" s="126"/>
      <c r="C30" s="126"/>
      <c r="D30" s="127"/>
      <c r="E30" s="137">
        <f>SUM(E27:E29)</f>
        <v>380</v>
      </c>
      <c r="F30" s="140">
        <f>E30/$E$31</f>
        <v>0.19191919191919191</v>
      </c>
      <c r="G30" s="128"/>
    </row>
    <row r="31" spans="1:7" x14ac:dyDescent="0.3">
      <c r="A31" s="129" t="s">
        <v>280</v>
      </c>
      <c r="B31" s="130"/>
      <c r="C31" s="130"/>
      <c r="D31" s="131"/>
      <c r="E31" s="138">
        <f>E26+E30</f>
        <v>1980</v>
      </c>
      <c r="F31" s="141">
        <f>E31/$E$31</f>
        <v>1</v>
      </c>
      <c r="G31" s="132"/>
    </row>
  </sheetData>
  <mergeCells count="5">
    <mergeCell ref="A4:A25"/>
    <mergeCell ref="A27:A29"/>
    <mergeCell ref="A26:D26"/>
    <mergeCell ref="A30:D30"/>
    <mergeCell ref="A31:D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8E9E-D972-4D36-910A-3730430B4086}">
  <dimension ref="A1:U67"/>
  <sheetViews>
    <sheetView showGridLines="0" topLeftCell="A39" zoomScaleNormal="100" workbookViewId="0">
      <selection activeCell="A5" sqref="A5"/>
    </sheetView>
  </sheetViews>
  <sheetFormatPr defaultRowHeight="16.5" x14ac:dyDescent="0.3"/>
  <cols>
    <col min="1" max="1" width="27.125" style="25" customWidth="1"/>
    <col min="2" max="2" width="23.875" customWidth="1"/>
    <col min="3" max="3" width="14.625" customWidth="1"/>
    <col min="4" max="4" width="14" customWidth="1"/>
    <col min="5" max="5" width="69.125" customWidth="1"/>
    <col min="6" max="6" width="13.25" customWidth="1"/>
    <col min="7" max="7" width="11.75" customWidth="1"/>
    <col min="8" max="8" width="12" customWidth="1"/>
    <col min="12" max="12" width="10.375" customWidth="1"/>
    <col min="13" max="17" width="0" hidden="1" customWidth="1"/>
    <col min="18" max="20" width="1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3"/>
      <c r="N1" s="3"/>
      <c r="O1" s="3"/>
      <c r="P1" s="3"/>
      <c r="Q1" s="3"/>
      <c r="R1" s="4" t="s">
        <v>11</v>
      </c>
      <c r="S1" s="4" t="s">
        <v>8</v>
      </c>
    </row>
    <row r="2" spans="1:21" x14ac:dyDescent="0.3">
      <c r="A2" s="5" t="s">
        <v>12</v>
      </c>
      <c r="B2" s="6">
        <v>700</v>
      </c>
      <c r="C2" s="7"/>
      <c r="D2" s="7" t="s">
        <v>13</v>
      </c>
      <c r="E2" s="7" t="s">
        <v>14</v>
      </c>
      <c r="F2" s="8">
        <v>5.07</v>
      </c>
      <c r="G2" s="40">
        <v>560.00000000000045</v>
      </c>
      <c r="H2" s="41">
        <v>850</v>
      </c>
      <c r="I2" s="9">
        <f t="shared" ref="I2:I7" si="0">J2+L2</f>
        <v>5.42</v>
      </c>
      <c r="J2" s="10">
        <f>K2+0.4</f>
        <v>5.07</v>
      </c>
      <c r="K2" s="10">
        <v>4.67</v>
      </c>
      <c r="L2" s="3">
        <v>0.35</v>
      </c>
      <c r="M2" s="3">
        <f t="shared" ref="M2:M9" si="1">B2/$B$9</f>
        <v>0.4375</v>
      </c>
      <c r="N2" s="3">
        <f>I2*M2</f>
        <v>2.3712499999999999</v>
      </c>
      <c r="O2" s="11">
        <f t="shared" ref="O2:O7" si="2">I2-K2</f>
        <v>0.75</v>
      </c>
      <c r="P2" s="3">
        <f>O2*2</f>
        <v>1.5</v>
      </c>
      <c r="Q2" s="3">
        <f t="shared" ref="Q2:Q11" si="3">P2*B2</f>
        <v>1050</v>
      </c>
      <c r="R2" s="3">
        <f t="shared" ref="R2:R7" si="4">(J2-K2)*B2*2</f>
        <v>560.00000000000045</v>
      </c>
      <c r="S2" s="3">
        <f t="shared" ref="S2:S7" si="5">B2*L2*2</f>
        <v>489.99999999999994</v>
      </c>
      <c r="T2">
        <f t="shared" ref="T2:T7" si="6">S2+R2</f>
        <v>1050.0000000000005</v>
      </c>
      <c r="U2">
        <f t="shared" ref="U2:U7" si="7">B2/$B$9*I2</f>
        <v>2.3712499999999999</v>
      </c>
    </row>
    <row r="3" spans="1:21" x14ac:dyDescent="0.3">
      <c r="A3" s="5" t="s">
        <v>15</v>
      </c>
      <c r="B3" s="8">
        <v>300</v>
      </c>
      <c r="C3" s="7" t="s">
        <v>13</v>
      </c>
      <c r="D3" s="3"/>
      <c r="E3" s="12">
        <v>5</v>
      </c>
      <c r="F3" s="13">
        <v>5.9</v>
      </c>
      <c r="G3" s="42">
        <v>540.00000000000023</v>
      </c>
      <c r="H3" s="41"/>
      <c r="I3" s="9">
        <f t="shared" si="0"/>
        <v>6.1000000000000005</v>
      </c>
      <c r="J3" s="14">
        <v>5.9</v>
      </c>
      <c r="K3" s="15">
        <v>5</v>
      </c>
      <c r="L3" s="3">
        <v>0.2</v>
      </c>
      <c r="M3" s="3">
        <f t="shared" si="1"/>
        <v>0.1875</v>
      </c>
      <c r="N3" s="3">
        <f t="shared" ref="N3:N9" si="8">I3*M3</f>
        <v>1.14375</v>
      </c>
      <c r="O3" s="16">
        <f t="shared" si="2"/>
        <v>1.1000000000000005</v>
      </c>
      <c r="P3" s="3">
        <f t="shared" ref="P3:P10" si="9">O3*2</f>
        <v>2.2000000000000011</v>
      </c>
      <c r="Q3" s="3">
        <f t="shared" si="3"/>
        <v>660.00000000000034</v>
      </c>
      <c r="R3" s="3">
        <f t="shared" si="4"/>
        <v>540.00000000000023</v>
      </c>
      <c r="S3" s="3">
        <f t="shared" si="5"/>
        <v>120</v>
      </c>
      <c r="T3">
        <f t="shared" si="6"/>
        <v>660.00000000000023</v>
      </c>
      <c r="U3">
        <f t="shared" si="7"/>
        <v>1.14375</v>
      </c>
    </row>
    <row r="4" spans="1:21" x14ac:dyDescent="0.3">
      <c r="A4" s="5" t="s">
        <v>16</v>
      </c>
      <c r="B4" s="8">
        <v>100</v>
      </c>
      <c r="C4" s="7" t="s">
        <v>13</v>
      </c>
      <c r="D4" s="3"/>
      <c r="E4" s="12">
        <v>5</v>
      </c>
      <c r="F4" s="13">
        <v>5.6</v>
      </c>
      <c r="G4" s="42">
        <v>119.99999999999993</v>
      </c>
      <c r="H4" s="41"/>
      <c r="I4" s="9">
        <f t="shared" si="0"/>
        <v>5.8</v>
      </c>
      <c r="J4" s="14">
        <v>5.6</v>
      </c>
      <c r="K4" s="15">
        <v>5</v>
      </c>
      <c r="L4" s="3">
        <v>0.2</v>
      </c>
      <c r="M4" s="3">
        <f t="shared" si="1"/>
        <v>6.25E-2</v>
      </c>
      <c r="N4" s="3">
        <f t="shared" si="8"/>
        <v>0.36249999999999999</v>
      </c>
      <c r="O4" s="16">
        <f t="shared" si="2"/>
        <v>0.79999999999999982</v>
      </c>
      <c r="P4" s="3">
        <f t="shared" si="9"/>
        <v>1.5999999999999996</v>
      </c>
      <c r="Q4" s="3">
        <f t="shared" si="3"/>
        <v>159.99999999999997</v>
      </c>
      <c r="R4" s="3">
        <f t="shared" si="4"/>
        <v>119.99999999999993</v>
      </c>
      <c r="S4" s="3">
        <f t="shared" si="5"/>
        <v>40</v>
      </c>
      <c r="T4">
        <f t="shared" si="6"/>
        <v>159.99999999999994</v>
      </c>
      <c r="U4">
        <f t="shared" si="7"/>
        <v>0.36249999999999999</v>
      </c>
    </row>
    <row r="5" spans="1:21" x14ac:dyDescent="0.3">
      <c r="A5" s="5" t="s">
        <v>17</v>
      </c>
      <c r="B5" s="8">
        <v>300</v>
      </c>
      <c r="C5" s="7" t="s">
        <v>13</v>
      </c>
      <c r="D5" s="3"/>
      <c r="E5" s="12">
        <v>5</v>
      </c>
      <c r="F5" s="13">
        <v>5.5</v>
      </c>
      <c r="G5" s="42">
        <v>300</v>
      </c>
      <c r="H5" s="41"/>
      <c r="I5" s="9">
        <f t="shared" si="0"/>
        <v>5.7</v>
      </c>
      <c r="J5" s="14">
        <v>5.5</v>
      </c>
      <c r="K5" s="15">
        <v>5</v>
      </c>
      <c r="L5" s="3">
        <v>0.2</v>
      </c>
      <c r="M5" s="3">
        <f t="shared" si="1"/>
        <v>0.1875</v>
      </c>
      <c r="N5" s="3">
        <f t="shared" si="8"/>
        <v>1.0687500000000001</v>
      </c>
      <c r="O5" s="16">
        <f t="shared" si="2"/>
        <v>0.70000000000000018</v>
      </c>
      <c r="P5" s="3">
        <f t="shared" si="9"/>
        <v>1.4000000000000004</v>
      </c>
      <c r="Q5" s="3">
        <f t="shared" si="3"/>
        <v>420.00000000000011</v>
      </c>
      <c r="R5" s="3">
        <f t="shared" si="4"/>
        <v>300</v>
      </c>
      <c r="S5" s="3">
        <f t="shared" si="5"/>
        <v>120</v>
      </c>
      <c r="T5">
        <f t="shared" si="6"/>
        <v>420</v>
      </c>
      <c r="U5">
        <f t="shared" si="7"/>
        <v>1.0687500000000001</v>
      </c>
    </row>
    <row r="6" spans="1:21" x14ac:dyDescent="0.3">
      <c r="A6" s="5" t="s">
        <v>18</v>
      </c>
      <c r="B6" s="8">
        <v>100</v>
      </c>
      <c r="C6" s="7" t="s">
        <v>13</v>
      </c>
      <c r="D6" s="3"/>
      <c r="E6" s="12">
        <v>5</v>
      </c>
      <c r="F6" s="13">
        <v>5.5</v>
      </c>
      <c r="G6" s="42">
        <v>100</v>
      </c>
      <c r="H6" s="41"/>
      <c r="I6" s="9">
        <f t="shared" si="0"/>
        <v>5.7</v>
      </c>
      <c r="J6" s="14">
        <v>5.5</v>
      </c>
      <c r="K6" s="15">
        <v>5</v>
      </c>
      <c r="L6" s="3">
        <v>0.2</v>
      </c>
      <c r="M6" s="3">
        <f t="shared" si="1"/>
        <v>6.25E-2</v>
      </c>
      <c r="N6" s="3">
        <f t="shared" si="8"/>
        <v>0.35625000000000001</v>
      </c>
      <c r="O6" s="16">
        <f t="shared" si="2"/>
        <v>0.70000000000000018</v>
      </c>
      <c r="P6" s="3">
        <f t="shared" si="9"/>
        <v>1.4000000000000004</v>
      </c>
      <c r="Q6" s="3">
        <f t="shared" si="3"/>
        <v>140.00000000000003</v>
      </c>
      <c r="R6" s="3">
        <f t="shared" si="4"/>
        <v>100</v>
      </c>
      <c r="S6" s="3">
        <f t="shared" si="5"/>
        <v>40</v>
      </c>
      <c r="T6">
        <f t="shared" si="6"/>
        <v>140</v>
      </c>
      <c r="U6">
        <f t="shared" si="7"/>
        <v>0.35625000000000001</v>
      </c>
    </row>
    <row r="7" spans="1:21" x14ac:dyDescent="0.3">
      <c r="A7" s="5" t="s">
        <v>19</v>
      </c>
      <c r="B7" s="8">
        <v>100</v>
      </c>
      <c r="C7" s="7" t="s">
        <v>13</v>
      </c>
      <c r="D7" s="3"/>
      <c r="E7" s="12">
        <v>5</v>
      </c>
      <c r="F7" s="13">
        <v>5.5</v>
      </c>
      <c r="G7" s="42">
        <v>100</v>
      </c>
      <c r="H7" s="41"/>
      <c r="I7" s="9">
        <f t="shared" si="0"/>
        <v>5.7</v>
      </c>
      <c r="J7" s="14">
        <v>5.5</v>
      </c>
      <c r="K7" s="15">
        <v>5</v>
      </c>
      <c r="L7" s="3">
        <v>0.2</v>
      </c>
      <c r="M7" s="3">
        <f t="shared" si="1"/>
        <v>6.25E-2</v>
      </c>
      <c r="N7" s="3">
        <f t="shared" si="8"/>
        <v>0.35625000000000001</v>
      </c>
      <c r="O7" s="16">
        <f t="shared" si="2"/>
        <v>0.70000000000000018</v>
      </c>
      <c r="P7" s="3">
        <f t="shared" si="9"/>
        <v>1.4000000000000004</v>
      </c>
      <c r="Q7" s="3">
        <f t="shared" si="3"/>
        <v>140.00000000000003</v>
      </c>
      <c r="R7" s="3">
        <f t="shared" si="4"/>
        <v>100</v>
      </c>
      <c r="S7" s="3">
        <f t="shared" si="5"/>
        <v>40</v>
      </c>
      <c r="T7">
        <f t="shared" si="6"/>
        <v>140</v>
      </c>
      <c r="U7">
        <f t="shared" si="7"/>
        <v>0.35625000000000001</v>
      </c>
    </row>
    <row r="8" spans="1:21" x14ac:dyDescent="0.3">
      <c r="A8" s="5"/>
      <c r="B8" s="7"/>
      <c r="C8" s="7"/>
      <c r="D8" s="7"/>
      <c r="E8" s="7"/>
      <c r="F8" s="7"/>
      <c r="G8" s="7"/>
      <c r="H8" s="3"/>
      <c r="I8" s="3"/>
      <c r="J8" s="17"/>
      <c r="K8" s="14"/>
      <c r="L8" s="3"/>
      <c r="M8" s="3">
        <f t="shared" si="1"/>
        <v>0</v>
      </c>
      <c r="N8" s="3">
        <f t="shared" si="8"/>
        <v>0</v>
      </c>
      <c r="O8" s="3">
        <f>J8-K8+L8</f>
        <v>0</v>
      </c>
      <c r="P8" s="3">
        <f t="shared" si="9"/>
        <v>0</v>
      </c>
      <c r="Q8" s="3">
        <f t="shared" si="3"/>
        <v>0</v>
      </c>
      <c r="R8" s="3"/>
      <c r="S8" s="3"/>
      <c r="U8" s="18">
        <f>SUM(U2:U7)</f>
        <v>5.6587499999999995</v>
      </c>
    </row>
    <row r="9" spans="1:21" x14ac:dyDescent="0.3">
      <c r="A9" s="19" t="s">
        <v>20</v>
      </c>
      <c r="B9" s="8">
        <f>SUM(B2:B8)</f>
        <v>1600</v>
      </c>
      <c r="C9" s="3"/>
      <c r="D9" s="3"/>
      <c r="E9" s="3"/>
      <c r="F9" s="3"/>
      <c r="G9" s="20">
        <f>SUM(G2:G8)</f>
        <v>1720.0000000000007</v>
      </c>
      <c r="H9" s="21">
        <f>H2</f>
        <v>850</v>
      </c>
      <c r="I9" s="3"/>
      <c r="J9" s="3"/>
      <c r="K9" s="3"/>
      <c r="L9" s="3"/>
      <c r="M9" s="3">
        <f t="shared" si="1"/>
        <v>1</v>
      </c>
      <c r="N9" s="3">
        <f t="shared" si="8"/>
        <v>0</v>
      </c>
      <c r="O9" s="3">
        <f>J9-K9+L9</f>
        <v>0</v>
      </c>
      <c r="P9" s="3">
        <f t="shared" si="9"/>
        <v>0</v>
      </c>
      <c r="Q9" s="3">
        <f t="shared" si="3"/>
        <v>0</v>
      </c>
      <c r="R9" s="3">
        <f>SUM(R2:R8)</f>
        <v>1720.0000000000007</v>
      </c>
      <c r="S9" s="3">
        <f>SUM(S2:S8)</f>
        <v>850</v>
      </c>
    </row>
    <row r="10" spans="1:21" x14ac:dyDescent="0.3">
      <c r="A10" s="22" t="s">
        <v>21</v>
      </c>
      <c r="G10" s="23" t="s">
        <v>22</v>
      </c>
      <c r="H10" s="24">
        <f>G9+H9</f>
        <v>2570.0000000000009</v>
      </c>
      <c r="O10">
        <f>J10-K10+L10</f>
        <v>0</v>
      </c>
      <c r="P10">
        <f t="shared" si="9"/>
        <v>0</v>
      </c>
      <c r="Q10">
        <f t="shared" si="3"/>
        <v>0</v>
      </c>
      <c r="S10">
        <f>R9+S9</f>
        <v>2570.0000000000009</v>
      </c>
    </row>
    <row r="11" spans="1:21" x14ac:dyDescent="0.3">
      <c r="B11" s="25"/>
      <c r="D11" s="26"/>
      <c r="E11" s="26"/>
      <c r="F11" s="26"/>
      <c r="G11" s="27"/>
      <c r="H11" s="23"/>
      <c r="I11" s="9"/>
      <c r="J11" s="10"/>
      <c r="K11" s="10"/>
      <c r="L11" s="3"/>
      <c r="M11">
        <f>B11/$B$9</f>
        <v>0</v>
      </c>
      <c r="N11">
        <f>I11*M11</f>
        <v>0</v>
      </c>
      <c r="O11" s="11">
        <f>I11-K11</f>
        <v>0</v>
      </c>
      <c r="P11" s="3">
        <f>O11*2</f>
        <v>0</v>
      </c>
      <c r="Q11" s="28">
        <f t="shared" si="3"/>
        <v>0</v>
      </c>
      <c r="R11" s="3">
        <f>(J11-K11)*B11*2</f>
        <v>0</v>
      </c>
      <c r="S11" s="3">
        <f>B11*L11*2</f>
        <v>0</v>
      </c>
    </row>
    <row r="12" spans="1:21" x14ac:dyDescent="0.3">
      <c r="G12" s="23" t="s">
        <v>23</v>
      </c>
      <c r="H12" s="29">
        <f>U8</f>
        <v>5.6587499999999995</v>
      </c>
      <c r="N12" s="30"/>
    </row>
    <row r="14" spans="1:21" x14ac:dyDescent="0.3">
      <c r="F14" s="61">
        <v>24</v>
      </c>
    </row>
    <row r="15" spans="1:21" x14ac:dyDescent="0.3">
      <c r="S15" s="62"/>
      <c r="T15" s="62"/>
    </row>
    <row r="16" spans="1:21" x14ac:dyDescent="0.3">
      <c r="A16" s="1" t="s">
        <v>0</v>
      </c>
      <c r="B16" s="1" t="s">
        <v>1</v>
      </c>
      <c r="C16" s="1" t="s">
        <v>2</v>
      </c>
      <c r="D16" s="1" t="s">
        <v>4</v>
      </c>
      <c r="E16" s="1" t="s">
        <v>5</v>
      </c>
      <c r="F16" s="2" t="s">
        <v>6</v>
      </c>
      <c r="G16" s="2" t="s">
        <v>7</v>
      </c>
      <c r="H16" s="2" t="s">
        <v>9</v>
      </c>
      <c r="I16" s="2" t="s">
        <v>23</v>
      </c>
      <c r="R16" s="1" t="s">
        <v>0</v>
      </c>
      <c r="S16" s="1" t="s">
        <v>56</v>
      </c>
      <c r="T16" s="1" t="s">
        <v>57</v>
      </c>
    </row>
    <row r="17" spans="1:20" x14ac:dyDescent="0.3">
      <c r="A17" s="5" t="s">
        <v>12</v>
      </c>
      <c r="B17" s="6">
        <v>700</v>
      </c>
      <c r="C17" s="7"/>
      <c r="D17" s="31">
        <v>4.6699999999999998E-2</v>
      </c>
      <c r="E17" s="32">
        <f>F2/100</f>
        <v>5.0700000000000002E-2</v>
      </c>
      <c r="F17" s="33">
        <f>G2/B17/100</f>
        <v>8.0000000000000054E-3</v>
      </c>
      <c r="G17" s="34">
        <f>IFERROR(H2/B17/100,)</f>
        <v>1.2142857142857143E-2</v>
      </c>
      <c r="H17" s="34">
        <f>D17+F17/2</f>
        <v>5.0700000000000002E-2</v>
      </c>
      <c r="I17" s="34">
        <f>D17+SUM(F17:G17)/2</f>
        <v>5.677142857142857E-2</v>
      </c>
      <c r="R17" s="5" t="s">
        <v>12</v>
      </c>
      <c r="S17" s="65">
        <v>700</v>
      </c>
      <c r="T17" s="66">
        <v>800</v>
      </c>
    </row>
    <row r="18" spans="1:20" x14ac:dyDescent="0.3">
      <c r="A18" s="5" t="s">
        <v>15</v>
      </c>
      <c r="B18" s="8">
        <v>300</v>
      </c>
      <c r="C18" s="7" t="s">
        <v>13</v>
      </c>
      <c r="D18" s="35">
        <v>0.05</v>
      </c>
      <c r="E18" s="32">
        <f t="shared" ref="E18:E22" si="10">F3/100</f>
        <v>5.9000000000000004E-2</v>
      </c>
      <c r="F18" s="36">
        <f t="shared" ref="F18:F22" si="11">G3/B18/100</f>
        <v>1.8000000000000006E-2</v>
      </c>
      <c r="G18" s="34">
        <f t="shared" ref="G18:G23" si="12">IFERROR(H3/B18/100,)</f>
        <v>0</v>
      </c>
      <c r="H18" s="34">
        <f t="shared" ref="H18:H22" si="13">D18+F18/2</f>
        <v>5.9000000000000004E-2</v>
      </c>
      <c r="I18" s="34">
        <f t="shared" ref="I18:I22" si="14">D18+SUM(F18:G18)/2</f>
        <v>5.9000000000000004E-2</v>
      </c>
      <c r="R18" s="5" t="s">
        <v>15</v>
      </c>
      <c r="S18" s="67">
        <v>300</v>
      </c>
      <c r="T18" s="66">
        <v>300</v>
      </c>
    </row>
    <row r="19" spans="1:20" x14ac:dyDescent="0.3">
      <c r="A19" s="5" t="s">
        <v>16</v>
      </c>
      <c r="B19" s="8">
        <v>100</v>
      </c>
      <c r="C19" s="7" t="s">
        <v>13</v>
      </c>
      <c r="D19" s="35">
        <v>0.05</v>
      </c>
      <c r="E19" s="32">
        <f t="shared" si="10"/>
        <v>5.5999999999999994E-2</v>
      </c>
      <c r="F19" s="36">
        <f t="shared" si="11"/>
        <v>1.1999999999999993E-2</v>
      </c>
      <c r="G19" s="34">
        <f t="shared" si="12"/>
        <v>0</v>
      </c>
      <c r="H19" s="34">
        <f t="shared" si="13"/>
        <v>5.6000000000000001E-2</v>
      </c>
      <c r="I19" s="34">
        <f t="shared" si="14"/>
        <v>5.6000000000000001E-2</v>
      </c>
      <c r="R19" s="5" t="s">
        <v>16</v>
      </c>
      <c r="S19" s="67">
        <v>100</v>
      </c>
      <c r="T19" s="66"/>
    </row>
    <row r="20" spans="1:20" x14ac:dyDescent="0.3">
      <c r="A20" s="5" t="s">
        <v>17</v>
      </c>
      <c r="B20" s="8">
        <v>300</v>
      </c>
      <c r="C20" s="7" t="s">
        <v>13</v>
      </c>
      <c r="D20" s="35">
        <v>0.05</v>
      </c>
      <c r="E20" s="32">
        <f t="shared" si="10"/>
        <v>5.5E-2</v>
      </c>
      <c r="F20" s="36">
        <f t="shared" si="11"/>
        <v>0.01</v>
      </c>
      <c r="G20" s="34">
        <f t="shared" si="12"/>
        <v>0</v>
      </c>
      <c r="H20" s="34">
        <f t="shared" si="13"/>
        <v>5.5E-2</v>
      </c>
      <c r="I20" s="34">
        <f t="shared" si="14"/>
        <v>5.5E-2</v>
      </c>
      <c r="R20" s="5" t="s">
        <v>17</v>
      </c>
      <c r="S20" s="67">
        <v>300</v>
      </c>
      <c r="T20" s="66">
        <v>300</v>
      </c>
    </row>
    <row r="21" spans="1:20" x14ac:dyDescent="0.3">
      <c r="A21" s="5" t="s">
        <v>18</v>
      </c>
      <c r="B21" s="8">
        <v>100</v>
      </c>
      <c r="C21" s="7" t="s">
        <v>13</v>
      </c>
      <c r="D21" s="35">
        <v>0.05</v>
      </c>
      <c r="E21" s="32">
        <f t="shared" si="10"/>
        <v>5.5E-2</v>
      </c>
      <c r="F21" s="36">
        <f t="shared" si="11"/>
        <v>0.01</v>
      </c>
      <c r="G21" s="34">
        <f t="shared" si="12"/>
        <v>0</v>
      </c>
      <c r="H21" s="34">
        <f t="shared" si="13"/>
        <v>5.5E-2</v>
      </c>
      <c r="I21" s="34">
        <f t="shared" si="14"/>
        <v>5.5E-2</v>
      </c>
      <c r="R21" s="5" t="s">
        <v>18</v>
      </c>
      <c r="S21" s="67">
        <v>100</v>
      </c>
      <c r="T21" s="66">
        <v>100</v>
      </c>
    </row>
    <row r="22" spans="1:20" x14ac:dyDescent="0.3">
      <c r="A22" s="5" t="s">
        <v>19</v>
      </c>
      <c r="B22" s="8">
        <v>100</v>
      </c>
      <c r="C22" s="7" t="s">
        <v>13</v>
      </c>
      <c r="D22" s="35">
        <v>0.05</v>
      </c>
      <c r="E22" s="32">
        <f t="shared" si="10"/>
        <v>5.5E-2</v>
      </c>
      <c r="F22" s="36">
        <f t="shared" si="11"/>
        <v>0.01</v>
      </c>
      <c r="G22" s="34">
        <f t="shared" si="12"/>
        <v>0</v>
      </c>
      <c r="H22" s="34">
        <f t="shared" si="13"/>
        <v>5.5E-2</v>
      </c>
      <c r="I22" s="34">
        <f t="shared" si="14"/>
        <v>5.5E-2</v>
      </c>
      <c r="R22" s="5" t="s">
        <v>19</v>
      </c>
      <c r="S22" s="67">
        <v>100</v>
      </c>
      <c r="T22" s="66">
        <v>100</v>
      </c>
    </row>
    <row r="23" spans="1:20" x14ac:dyDescent="0.3">
      <c r="A23" s="5"/>
      <c r="B23" s="7"/>
      <c r="C23" s="7"/>
      <c r="D23" s="7"/>
      <c r="E23" s="7"/>
      <c r="F23" s="33"/>
      <c r="G23" s="34">
        <f t="shared" si="12"/>
        <v>0</v>
      </c>
      <c r="H23" s="34"/>
      <c r="I23" s="34"/>
      <c r="R23" s="19" t="s">
        <v>20</v>
      </c>
      <c r="S23" s="67">
        <f>SUM(S17:S22)</f>
        <v>1600</v>
      </c>
      <c r="T23" s="66">
        <f>SUM(T17:T22)</f>
        <v>1600</v>
      </c>
    </row>
    <row r="24" spans="1:20" x14ac:dyDescent="0.3">
      <c r="A24" s="19" t="s">
        <v>20</v>
      </c>
      <c r="B24" s="8">
        <f>SUM(B17:B23)</f>
        <v>1600</v>
      </c>
      <c r="C24" s="3"/>
      <c r="D24" s="3"/>
      <c r="E24" s="3"/>
      <c r="F24" s="37">
        <f>SUM(F17:F23)</f>
        <v>6.8000000000000005E-2</v>
      </c>
      <c r="G24" s="21">
        <f>G17</f>
        <v>1.2142857142857143E-2</v>
      </c>
      <c r="H24" s="21"/>
      <c r="I24" s="38">
        <f>SUMPRODUCT(B17:B22,I17:I22)/B24</f>
        <v>5.6587500000000006E-2</v>
      </c>
      <c r="R24" s="19" t="s">
        <v>24</v>
      </c>
      <c r="S24" s="67">
        <f>S17</f>
        <v>700</v>
      </c>
      <c r="T24" s="66">
        <f>T17</f>
        <v>800</v>
      </c>
    </row>
    <row r="25" spans="1:20" x14ac:dyDescent="0.3">
      <c r="A25" s="19" t="s">
        <v>24</v>
      </c>
      <c r="B25" s="8">
        <f>B17</f>
        <v>700</v>
      </c>
      <c r="C25" s="3"/>
      <c r="D25" s="34">
        <f>D17</f>
        <v>4.6699999999999998E-2</v>
      </c>
      <c r="E25" s="34">
        <f t="shared" ref="E25:I25" si="15">E17</f>
        <v>5.0700000000000002E-2</v>
      </c>
      <c r="F25" s="39">
        <f t="shared" si="15"/>
        <v>8.0000000000000054E-3</v>
      </c>
      <c r="G25" s="38">
        <f t="shared" si="15"/>
        <v>1.2142857142857143E-2</v>
      </c>
      <c r="H25" s="38">
        <f t="shared" si="15"/>
        <v>5.0700000000000002E-2</v>
      </c>
      <c r="I25" s="38">
        <f t="shared" si="15"/>
        <v>5.677142857142857E-2</v>
      </c>
      <c r="R25" s="19" t="s">
        <v>25</v>
      </c>
      <c r="S25" s="67">
        <f>SUM(S18:S22)</f>
        <v>900</v>
      </c>
      <c r="T25" s="66">
        <f>T23-T24</f>
        <v>800</v>
      </c>
    </row>
    <row r="26" spans="1:20" x14ac:dyDescent="0.3">
      <c r="A26" s="19" t="s">
        <v>25</v>
      </c>
      <c r="B26" s="8">
        <f>SUM(B18:B22)</f>
        <v>900</v>
      </c>
      <c r="C26" s="3"/>
      <c r="D26" s="34">
        <f>SUMPRODUCT($B18:$B22,D18:D22)/SUM($B18:$B22)</f>
        <v>0.05</v>
      </c>
      <c r="E26" s="34">
        <f t="shared" ref="E26:I26" si="16">SUMPRODUCT($B18:$B22,E18:E22)/SUM($B18:$B22)</f>
        <v>5.644444444444445E-2</v>
      </c>
      <c r="F26" s="39">
        <f t="shared" si="16"/>
        <v>1.2888888888888891E-2</v>
      </c>
      <c r="G26" s="38">
        <f t="shared" si="16"/>
        <v>0</v>
      </c>
      <c r="H26" s="38">
        <f t="shared" si="16"/>
        <v>5.644444444444445E-2</v>
      </c>
      <c r="I26" s="38">
        <f t="shared" si="16"/>
        <v>5.644444444444445E-2</v>
      </c>
      <c r="R26" s="19" t="s">
        <v>58</v>
      </c>
      <c r="S26" s="8" t="s">
        <v>60</v>
      </c>
      <c r="T26" s="63" t="s">
        <v>59</v>
      </c>
    </row>
    <row r="27" spans="1:20" x14ac:dyDescent="0.3">
      <c r="R27" s="19" t="s">
        <v>61</v>
      </c>
      <c r="S27" s="32">
        <v>0.05</v>
      </c>
      <c r="T27" s="64">
        <v>0.05</v>
      </c>
    </row>
    <row r="34" spans="1:5" x14ac:dyDescent="0.3">
      <c r="A34" s="22" t="s">
        <v>42</v>
      </c>
      <c r="B34" s="25"/>
      <c r="C34" s="25"/>
      <c r="D34" s="43"/>
      <c r="E34" s="22"/>
    </row>
    <row r="35" spans="1:5" x14ac:dyDescent="0.3">
      <c r="A35" s="57" t="s">
        <v>0</v>
      </c>
      <c r="B35" s="57" t="s">
        <v>29</v>
      </c>
      <c r="C35" s="57" t="s">
        <v>48</v>
      </c>
      <c r="D35" s="58" t="s">
        <v>30</v>
      </c>
      <c r="E35" s="57" t="s">
        <v>43</v>
      </c>
    </row>
    <row r="36" spans="1:5" ht="66" x14ac:dyDescent="0.3">
      <c r="A36" s="8">
        <v>1</v>
      </c>
      <c r="B36" s="5" t="s">
        <v>12</v>
      </c>
      <c r="C36" s="5" t="s">
        <v>49</v>
      </c>
      <c r="D36" s="6">
        <v>700</v>
      </c>
      <c r="E36" s="56" t="s">
        <v>50</v>
      </c>
    </row>
    <row r="37" spans="1:5" ht="66" x14ac:dyDescent="0.3">
      <c r="A37" s="8">
        <v>2</v>
      </c>
      <c r="B37" s="5" t="s">
        <v>15</v>
      </c>
      <c r="C37" s="5" t="s">
        <v>51</v>
      </c>
      <c r="D37" s="8">
        <v>300</v>
      </c>
      <c r="E37" s="56" t="s">
        <v>263</v>
      </c>
    </row>
    <row r="38" spans="1:5" ht="82.5" x14ac:dyDescent="0.3">
      <c r="A38" s="8">
        <v>3</v>
      </c>
      <c r="B38" s="5" t="s">
        <v>16</v>
      </c>
      <c r="C38" s="5" t="s">
        <v>52</v>
      </c>
      <c r="D38" s="8">
        <v>100</v>
      </c>
      <c r="E38" s="56" t="s">
        <v>53</v>
      </c>
    </row>
    <row r="39" spans="1:5" ht="82.5" x14ac:dyDescent="0.3">
      <c r="A39" s="8">
        <f>A38+1</f>
        <v>4</v>
      </c>
      <c r="B39" s="5" t="s">
        <v>18</v>
      </c>
      <c r="C39" s="5" t="s">
        <v>52</v>
      </c>
      <c r="D39" s="8">
        <v>100</v>
      </c>
      <c r="E39" s="56" t="s">
        <v>54</v>
      </c>
    </row>
    <row r="40" spans="1:5" ht="82.5" x14ac:dyDescent="0.3">
      <c r="A40" s="8">
        <f t="shared" ref="A40:A41" si="17">A39+1</f>
        <v>5</v>
      </c>
      <c r="B40" s="5" t="s">
        <v>19</v>
      </c>
      <c r="C40" s="5" t="s">
        <v>52</v>
      </c>
      <c r="D40" s="8">
        <v>100</v>
      </c>
      <c r="E40" s="56" t="s">
        <v>55</v>
      </c>
    </row>
    <row r="41" spans="1:5" ht="82.5" x14ac:dyDescent="0.3">
      <c r="A41" s="116">
        <f>A40+1</f>
        <v>6</v>
      </c>
      <c r="B41" s="5" t="str">
        <f>'신협통지처(최종)'!B4</f>
        <v>신용협동조합중앙회</v>
      </c>
      <c r="C41" s="5" t="s">
        <v>52</v>
      </c>
      <c r="D41" s="118">
        <f>'신협통지처(최종)'!C4</f>
        <v>1</v>
      </c>
      <c r="E41" s="117" t="str">
        <f>"주소 : "&amp;'신협통지처(최종)'!F4&amp;CHAR(10)&amp;"전화번호 : "&amp;'신협통지처(최종)'!J4&amp;" / "&amp;'신협통지처(최종)'!K4&amp;CHAR(10)&amp;"담당자 : "&amp;'신협통지처(최종)'!G4&amp;CHAR(10)&amp;"Email : "&amp;'신협통지처(최종)'!L4&amp;CHAR(10)&amp;"수취계좌 : "&amp;'신협통지처(최종)'!M4</f>
        <v>주소 : 서울특별시 중구 소월로 10 단암빌딩 14층
전화번호 : 02.590.5849 / 010.2241.1820
담당자 : 안소진 대리 / 투자관리
Email : sjahn@cu.co.kr / cuf1803@cu.co.kr
수취계좌 : 농협 081-01-168860 / 예금주 : 신협중앙회</v>
      </c>
    </row>
    <row r="42" spans="1:5" ht="82.5" x14ac:dyDescent="0.3">
      <c r="A42" s="116">
        <f>A41+1</f>
        <v>7</v>
      </c>
      <c r="B42" s="5" t="str">
        <f>'신협통지처(최종)'!B5</f>
        <v>서로신용협동조합(주간)</v>
      </c>
      <c r="C42" s="5" t="s">
        <v>52</v>
      </c>
      <c r="D42" s="118">
        <f>'신협통지처(최종)'!C5</f>
        <v>40</v>
      </c>
      <c r="E42" s="117" t="str">
        <f>"주소 : "&amp;'신협통지처(최종)'!F5&amp;CHAR(10)&amp;"전화번호 : "&amp;'신협통지처(최종)'!J5&amp;" / "&amp;'신협통지처(최종)'!K5&amp;CHAR(10)&amp;"담당자 : "&amp;'신협통지처(최종)'!G5&amp;CHAR(10)&amp;"Email : "&amp;'신협통지처(최종)'!L5&amp;CHAR(10)&amp;"수취계좌 : "&amp;'신협통지처(최종)'!M5</f>
        <v>주소 : 인천광역시 서해구 가정로 288(석남동)
전화번호 : 032.574.0166 / 010.7152.5264
담당자 : 장성진 과장
Email : SJin87@cu.co.kr
수취계좌 : 신협 131-000-941666 / 예금주 : 서로신용협동조합</v>
      </c>
    </row>
    <row r="43" spans="1:5" ht="82.5" x14ac:dyDescent="0.3">
      <c r="A43" s="116">
        <f>A42+1</f>
        <v>8</v>
      </c>
      <c r="B43" s="5" t="str">
        <f>'신협통지처(최종)'!B6</f>
        <v>수지신용협동조합</v>
      </c>
      <c r="C43" s="5" t="s">
        <v>52</v>
      </c>
      <c r="D43" s="118">
        <f>'신협통지처(최종)'!C6</f>
        <v>28</v>
      </c>
      <c r="E43" s="117" t="str">
        <f>"주소 : "&amp;'신협통지처(최종)'!F6&amp;CHAR(10)&amp;"전화번호 : "&amp;'신협통지처(최종)'!J6&amp;" / "&amp;'신협통지처(최종)'!K6&amp;CHAR(10)&amp;"담당자 : "&amp;'신협통지처(최종)'!G6&amp;CHAR(10)&amp;"Email : "&amp;'신협통지처(최종)'!L6&amp;CHAR(10)&amp;"수취계좌 : "&amp;'신협통지처(최종)'!M6</f>
        <v>주소 : 경기도 용인시 수지구 문정로 7번길 8 1층
전화번호 : 031.262.6801 / 010.7143.7369
담당자 : 권영욱 대리
Email : suji_youngwook@naver.com
수취계좌 : 신협 131-014-493393 / 예금주 : 수지신협</v>
      </c>
    </row>
    <row r="44" spans="1:5" ht="82.5" x14ac:dyDescent="0.3">
      <c r="A44" s="116">
        <f>A43+1</f>
        <v>9</v>
      </c>
      <c r="B44" s="5" t="str">
        <f>'신협통지처(최종)'!B7</f>
        <v>정선신용협동조합</v>
      </c>
      <c r="C44" s="5" t="s">
        <v>52</v>
      </c>
      <c r="D44" s="118">
        <f>'신협통지처(최종)'!C7</f>
        <v>24</v>
      </c>
      <c r="E44" s="117" t="str">
        <f>"주소 : "&amp;'신협통지처(최종)'!F7&amp;CHAR(10)&amp;"전화번호 : "&amp;'신협통지처(최종)'!J7&amp;" / "&amp;'신협통지처(최종)'!K7&amp;CHAR(10)&amp;"담당자 : "&amp;'신협통지처(최종)'!G7&amp;CHAR(10)&amp;"Email : "&amp;'신협통지처(최종)'!L7&amp;CHAR(10)&amp;"수취계좌 : "&amp;'신협통지처(최종)'!M7</f>
        <v>주소 : 강원특별자치도 정선군 정선읍 봉양6길 31
전화번호 : 033.563.0760 / 010.6679.3464
담당자 : 장용현 주임
Email : cu04008@cu.co.kr
수취계좌 : 신협 131-019-058167 / 예금주 : 정선신용협동조합</v>
      </c>
    </row>
    <row r="45" spans="1:5" ht="82.5" x14ac:dyDescent="0.3">
      <c r="A45" s="116">
        <f>A44+1</f>
        <v>10</v>
      </c>
      <c r="B45" s="5" t="str">
        <f>'신협통지처(최종)'!B8</f>
        <v>연희신용협동조합</v>
      </c>
      <c r="C45" s="5" t="s">
        <v>52</v>
      </c>
      <c r="D45" s="118">
        <f>'신협통지처(최종)'!C8</f>
        <v>14</v>
      </c>
      <c r="E45" s="117" t="str">
        <f>"주소 : "&amp;'신협통지처(최종)'!F8&amp;CHAR(10)&amp;"전화번호 : "&amp;'신협통지처(최종)'!J8&amp;" / "&amp;'신협통지처(최종)'!K8&amp;CHAR(10)&amp;"담당자 : "&amp;'신협통지처(최종)'!G8&amp;CHAR(10)&amp;"Email : "&amp;'신협통지처(최종)'!L8&amp;CHAR(10)&amp;"수취계좌 : "&amp;'신협통지처(최종)'!M8</f>
        <v>주소 : 서울특별시 서대문구 연희로 64-22
전화번호 : 02.323.2636 / 010.6519.0830 , 010.8467.2620
담당자 : 양주성 과장, 박준희 대리
Email : cu01221@cu.co.kr
수취계좌 : 신협 131-000-189579 / 예금주 : 연희신협</v>
      </c>
    </row>
    <row r="46" spans="1:5" ht="33" x14ac:dyDescent="0.3">
      <c r="A46" s="116">
        <f>A45+1</f>
        <v>11</v>
      </c>
      <c r="B46" s="5" t="str">
        <f>'신협통지처(최종)'!B9</f>
        <v>금모래신용협동조합</v>
      </c>
      <c r="C46" s="5" t="s">
        <v>52</v>
      </c>
      <c r="D46" s="118">
        <f>'신협통지처(최종)'!C9</f>
        <v>18</v>
      </c>
      <c r="E46" s="117" t="str">
        <f>"주소 : "&amp;'신협통지처(최종)'!F9&amp;CHAR(10)&amp;"전화번호 : "&amp;'신협통지처(최종)'!J9&amp;" / "&amp;'신협통지처(최종)'!K9&amp;CHAR(10)&amp;"담당자 : "&amp;'신협통지처(최종)'!G9&amp;CHAR(10)&amp;"Email : "&amp;'신협통지처(최종)'!L9&amp;CHAR(10)&amp;"수취계좌 : "&amp;'신협통지처(최종)'!M9</f>
        <v>주소 : 서울시 서대문구 가재울미래로 11 (남가좌동)
전화번호 : 02.376.2036 / 010.2527.0576
담당자 : 정덕호 주임
Email : jeong0576@cu.co.kr
수취계좌 : 신협 131-000-001170 / 예금주 : 금모래신협</v>
      </c>
    </row>
    <row r="47" spans="1:5" ht="33" x14ac:dyDescent="0.3">
      <c r="A47" s="116">
        <f>A46+1</f>
        <v>12</v>
      </c>
      <c r="B47" s="5" t="str">
        <f>'신협통지처(최종)'!B10</f>
        <v>남인천신용협동조합</v>
      </c>
      <c r="C47" s="5" t="s">
        <v>52</v>
      </c>
      <c r="D47" s="118">
        <f>'신협통지처(최종)'!C10</f>
        <v>10</v>
      </c>
      <c r="E47" s="117" t="str">
        <f>"주소 : "&amp;'신협통지처(최종)'!F10&amp;CHAR(10)&amp;"전화번호 : "&amp;'신협통지처(최종)'!J10&amp;" / "&amp;'신협통지처(최종)'!K10&amp;CHAR(10)&amp;"담당자 : "&amp;'신협통지처(최종)'!G10&amp;CHAR(10)&amp;"Email : "&amp;'신협통지처(최종)'!L10&amp;CHAR(10)&amp;"수취계좌 : "&amp;'신협통지처(최종)'!M10</f>
        <v>주소 : 인천시 부평구 배곶로 64
전화번호 : 032.437.9563 / 010.2006.7819
담당자 : 임인희 차장
Email : hee4977@cu.co.kr
수취계좌 : 신협 131-000-942952 / 예금주 : 남인천신협</v>
      </c>
    </row>
    <row r="48" spans="1:5" ht="33" x14ac:dyDescent="0.3">
      <c r="A48" s="116">
        <f>A47+1</f>
        <v>13</v>
      </c>
      <c r="B48" s="5" t="str">
        <f>'신협통지처(최종)'!B11</f>
        <v>미호신용협동조합</v>
      </c>
      <c r="C48" s="5" t="s">
        <v>52</v>
      </c>
      <c r="D48" s="118">
        <f>'신협통지처(최종)'!C11</f>
        <v>13</v>
      </c>
      <c r="E48" s="117" t="str">
        <f>"주소 : "&amp;'신협통지처(최종)'!F11&amp;CHAR(10)&amp;"전화번호 : "&amp;'신협통지처(최종)'!J11&amp;" / "&amp;'신협통지처(최종)'!K11&amp;CHAR(10)&amp;"담당자 : "&amp;'신협통지처(최종)'!G11&amp;CHAR(10)&amp;"Email : "&amp;'신협통지처(최종)'!L11&amp;CHAR(10)&amp;"수취계좌 : "&amp;'신협통지처(최종)'!M11</f>
        <v>주소 : 충청도 청주시 흥덕구 강내면 태성탑연로 448-10
전화번호 : 043.232.2652 / 010.7735.5225
담당자 : 이주희 차장
Email : cu05053@cu.co.kr
수취계좌 : 신협 131-002-821894 / 예금주 : 미호신협</v>
      </c>
    </row>
    <row r="49" spans="1:5" ht="33" x14ac:dyDescent="0.3">
      <c r="A49" s="116">
        <f>A48+1</f>
        <v>14</v>
      </c>
      <c r="B49" s="5" t="str">
        <f>'신협통지처(최종)'!B12</f>
        <v>대구대서신용협동조합</v>
      </c>
      <c r="C49" s="5" t="s">
        <v>52</v>
      </c>
      <c r="D49" s="118">
        <f>'신협통지처(최종)'!C12</f>
        <v>13</v>
      </c>
      <c r="E49" s="117" t="str">
        <f>"주소 : "&amp;'신협통지처(최종)'!F12&amp;CHAR(10)&amp;"전화번호 : "&amp;'신협통지처(최종)'!J12&amp;" / "&amp;'신협통지처(최종)'!K12&amp;CHAR(10)&amp;"담당자 : "&amp;'신협통지처(최종)'!G12&amp;CHAR(10)&amp;"Email : "&amp;'신협통지처(최종)'!L12&amp;CHAR(10)&amp;"수취계좌 : "&amp;'신협통지처(최종)'!M12</f>
        <v>주소 : 대구 서구 서대구로305, 1층
전화번호 : 053.351.9500 / 010.8740.2848
담당자 : 곽경열 대리
Email : kklcome@cu.co.kr
수취계좌 : 신협 131-005-005290 / 예금주 : 대구대서신용협동조합</v>
      </c>
    </row>
    <row r="50" spans="1:5" ht="33" x14ac:dyDescent="0.3">
      <c r="A50" s="116">
        <f>A49+1</f>
        <v>15</v>
      </c>
      <c r="B50" s="5" t="str">
        <f>'신협통지처(최종)'!B13</f>
        <v>한빛신용협동조합</v>
      </c>
      <c r="C50" s="5" t="s">
        <v>52</v>
      </c>
      <c r="D50" s="118">
        <f>'신협통지처(최종)'!C13</f>
        <v>17</v>
      </c>
      <c r="E50" s="117" t="str">
        <f>"주소 : "&amp;'신협통지처(최종)'!F13&amp;CHAR(10)&amp;"전화번호 : "&amp;'신협통지처(최종)'!J13&amp;" / "&amp;'신협통지처(최종)'!K13&amp;CHAR(10)&amp;"담당자 : "&amp;'신협통지처(최종)'!G13&amp;CHAR(10)&amp;"Email : "&amp;'신협통지처(최종)'!L13&amp;CHAR(10)&amp;"수취계좌 : "&amp;'신협통지처(최종)'!M13</f>
        <v>주소 : 대전 대덕구 계족산로81번길 87
전화번호 : 042.627.4501 / 010.6608.1804
담당자 : 구진숙 차장
Email : cjlover1804@cu.co.kr
수취계좌 : 신협 131-003-657209 / 예금주: 한빛신용협동좝</v>
      </c>
    </row>
    <row r="51" spans="1:5" ht="33" x14ac:dyDescent="0.3">
      <c r="A51" s="116">
        <f>A50+1</f>
        <v>16</v>
      </c>
      <c r="B51" s="5" t="str">
        <f>'신협통지처(최종)'!B14</f>
        <v>양동행복신용협동조합</v>
      </c>
      <c r="C51" s="5" t="s">
        <v>52</v>
      </c>
      <c r="D51" s="118">
        <f>'신협통지처(최종)'!C14</f>
        <v>19</v>
      </c>
      <c r="E51" s="117" t="str">
        <f>"주소 : "&amp;'신협통지처(최종)'!F14&amp;CHAR(10)&amp;"전화번호 : "&amp;'신협통지처(최종)'!J14&amp;" / "&amp;'신협통지처(최종)'!K14&amp;CHAR(10)&amp;"담당자 : "&amp;'신협통지처(최종)'!G14&amp;CHAR(10)&amp;"Email : "&amp;'신협통지처(최종)'!L14&amp;CHAR(10)&amp;"수취계좌 : "&amp;'신협통지처(최종)'!M14</f>
        <v>주소 : 전남광주통합특별시 서구 천변좌로 238(양동)
전화번호 : 062.454.6514 / 010.5694.2003
담당자 : 안혜진 과장
Email : 080762002002@cu.co.kr
수취계좌 : 신협 131-021-819738 / 예금주: 양동행복신용협동조합</v>
      </c>
    </row>
    <row r="52" spans="1:5" ht="33" x14ac:dyDescent="0.3">
      <c r="A52" s="116">
        <f>A51+1</f>
        <v>17</v>
      </c>
      <c r="B52" s="5" t="str">
        <f>'신협통지처(최종)'!B15</f>
        <v>서귀포동부신용협동조합</v>
      </c>
      <c r="C52" s="5" t="s">
        <v>52</v>
      </c>
      <c r="D52" s="118">
        <f>'신협통지처(최종)'!C15</f>
        <v>12</v>
      </c>
      <c r="E52" s="117" t="str">
        <f>"주소 : "&amp;'신협통지처(최종)'!F15&amp;CHAR(10)&amp;"전화번호 : "&amp;'신협통지처(최종)'!J15&amp;" / "&amp;'신협통지처(최종)'!K15&amp;CHAR(10)&amp;"담당자 : "&amp;'신협통지처(최종)'!G15&amp;CHAR(10)&amp;"Email : "&amp;'신협통지처(최종)'!L15&amp;CHAR(10)&amp;"수취계좌 : "&amp;'신협통지처(최종)'!M15</f>
        <v>주소 : 제주특별자치도 서귀포시 효돈로 136
전화번호 : 064.767.2820 / 010.7564.0888
담당자 : 홍영기 대리
Email : cu11008@cu.co.kr
수취계좌 : 신협 131-005-410020 / 예금주 : 서귀포동부신협</v>
      </c>
    </row>
    <row r="53" spans="1:5" ht="33" x14ac:dyDescent="0.3">
      <c r="A53" s="116">
        <f>A52+1</f>
        <v>18</v>
      </c>
      <c r="B53" s="5" t="str">
        <f>'신협통지처(최종)'!B16</f>
        <v>광주어룡신용협동조합</v>
      </c>
      <c r="C53" s="5" t="s">
        <v>52</v>
      </c>
      <c r="D53" s="118">
        <f>'신협통지처(최종)'!C16</f>
        <v>27</v>
      </c>
      <c r="E53" s="117" t="str">
        <f>"주소 : "&amp;'신협통지처(최종)'!F16&amp;CHAR(10)&amp;"전화번호 : "&amp;'신협통지처(최종)'!J16&amp;" / "&amp;'신협통지처(최종)'!K16&amp;CHAR(10)&amp;"담당자 : "&amp;'신협통지처(최종)'!G16&amp;CHAR(10)&amp;"Email : "&amp;'신협통지처(최종)'!L16&amp;CHAR(10)&amp;"수취계좌 : "&amp;'신협통지처(최종)'!M16</f>
        <v>주소 : 전남광주통합특별시 광산구 송정로 15
전화번호 : 062.720.8811 / 010.3318.5799
담당자 : 박태훈 대리
Email : hoon91@cu.co.kr
수취계좌 : 신협 131-004-571106 / 예금주 : 광주어룡신협</v>
      </c>
    </row>
    <row r="54" spans="1:5" ht="33" x14ac:dyDescent="0.3">
      <c r="A54" s="116">
        <f>A53+1</f>
        <v>19</v>
      </c>
      <c r="B54" s="5" t="str">
        <f>'신협통지처(최종)'!B17</f>
        <v>광주미래신용협동조합</v>
      </c>
      <c r="C54" s="5" t="s">
        <v>52</v>
      </c>
      <c r="D54" s="118">
        <f>'신협통지처(최종)'!C17</f>
        <v>14</v>
      </c>
      <c r="E54" s="117" t="str">
        <f>"주소 : "&amp;'신협통지처(최종)'!F17&amp;CHAR(10)&amp;"전화번호 : "&amp;'신협통지처(최종)'!J17&amp;" / "&amp;'신협통지처(최종)'!K17&amp;CHAR(10)&amp;"담당자 : "&amp;'신협통지처(최종)'!G17&amp;CHAR(10)&amp;"Email : "&amp;'신협통지처(최종)'!L17&amp;CHAR(10)&amp;"수취계좌 : "&amp;'신협통지처(최종)'!M17</f>
        <v>주소 : 전남광주통합특별시 북구 북문대로 153 (운암동)
전화번호 : 062.515.0070 / 010.3075.0887
담당자 : 박민성 사원
Email : pmsok101999@cu.co.kr
수취계좌 : 신협 131-004-612864 / 예금주 : 광주미래신용협동조합</v>
      </c>
    </row>
    <row r="55" spans="1:5" ht="33" x14ac:dyDescent="0.3">
      <c r="A55" s="116">
        <f>A54+1</f>
        <v>20</v>
      </c>
      <c r="B55" s="5" t="str">
        <f>'신협통지처(최종)'!B18</f>
        <v>새안양신용협동조합</v>
      </c>
      <c r="C55" s="5" t="s">
        <v>52</v>
      </c>
      <c r="D55" s="118">
        <f>'신협통지처(최종)'!C18</f>
        <v>40</v>
      </c>
      <c r="E55" s="117" t="str">
        <f>"주소 : "&amp;'신협통지처(최종)'!F18&amp;CHAR(10)&amp;"전화번호 : "&amp;'신협통지처(최종)'!J18&amp;" / "&amp;'신협통지처(최종)'!K18&amp;CHAR(10)&amp;"담당자 : "&amp;'신협통지처(최종)'!G18&amp;CHAR(10)&amp;"Email : "&amp;'신협통지처(최종)'!L18&amp;CHAR(10)&amp;"수취계좌 : "&amp;'신협통지처(최종)'!M18</f>
        <v>주소 : 경기도 안양시 만안구 장내로 120번길 22(안양동)
전화번호 : 031-446-1101 / 010-8019-3350
담당자 : 이필승 대리
Email : cu03112@cu.co.kr / 09protos@cu.co.kr
수취계좌 : 신협 131-001-041701 / 예금주 : 새안양신용협동조합</v>
      </c>
    </row>
    <row r="56" spans="1:5" ht="33" x14ac:dyDescent="0.3">
      <c r="A56" s="116">
        <f>A55+1</f>
        <v>21</v>
      </c>
      <c r="B56" s="5" t="str">
        <f>'신협통지처(최종)'!B19</f>
        <v>남수원신용협동조합</v>
      </c>
      <c r="C56" s="5" t="s">
        <v>52</v>
      </c>
      <c r="D56" s="118">
        <f>'신협통지처(최종)'!C19</f>
        <v>3</v>
      </c>
      <c r="E56" s="117" t="str">
        <f>"주소 : "&amp;'신협통지처(최종)'!F19&amp;CHAR(10)&amp;"전화번호 : "&amp;'신협통지처(최종)'!J19&amp;" / "&amp;'신협통지처(최종)'!K19&amp;CHAR(10)&amp;"담당자 : "&amp;'신협통지처(최종)'!G19&amp;CHAR(10)&amp;"Email : "&amp;'신협통지처(최종)'!L19&amp;CHAR(10)&amp;"수취계좌 : "&amp;'신협통지처(최종)'!M19</f>
        <v>주소 : 경기도 수원시 팔달구 효원로 177(인계동) 1층
전화번호 : 031-238-0107 / 010.4487.6879
010.9411.0227
담당자 : 이지운 과장
김지선 대리
Email : krlejw@naver.com
jisunya86@naver.com
수취계좌 : 신협 131-001-156258 / 예금주: 남수원신용협동조합</v>
      </c>
    </row>
    <row r="57" spans="1:5" ht="33" x14ac:dyDescent="0.3">
      <c r="A57" s="116">
        <f>A56+1</f>
        <v>22</v>
      </c>
      <c r="B57" s="5" t="str">
        <f>'신협통지처(최종)'!B20</f>
        <v>북인천신용협동조합</v>
      </c>
      <c r="C57" s="5" t="s">
        <v>52</v>
      </c>
      <c r="D57" s="118">
        <f>'신협통지처(최종)'!C20</f>
        <v>7</v>
      </c>
      <c r="E57" s="117" t="str">
        <f>"주소 : "&amp;'신협통지처(최종)'!F20&amp;CHAR(10)&amp;"전화번호 : "&amp;'신협통지처(최종)'!J20&amp;" / "&amp;'신협통지처(최종)'!K20&amp;CHAR(10)&amp;"담당자 : "&amp;'신협통지처(최종)'!G20&amp;CHAR(10)&amp;"Email : "&amp;'신협통지처(최종)'!L20&amp;CHAR(10)&amp;"수취계좌 : "&amp;'신협통지처(최종)'!M20</f>
        <v>주소 : 인천광역시 부평구 후정로 8, 상가2동 B04호
전화번호 : 032.516.8101 / 010.9664.0702
담당자 : 김희승 과장
Email : kkhs101@nate.com / cu03236@cu.co.kr
수취계좌 : 신협 131-002-051950 / 예금주: 북인천신용협동조합</v>
      </c>
    </row>
    <row r="58" spans="1:5" s="115" customFormat="1" x14ac:dyDescent="0.3">
      <c r="A58" s="112"/>
      <c r="B58" s="59" t="s">
        <v>38</v>
      </c>
      <c r="C58" s="59"/>
      <c r="D58" s="24">
        <f>SUM(D36:D57)</f>
        <v>1600</v>
      </c>
      <c r="E58" s="114"/>
    </row>
    <row r="59" spans="1:5" s="115" customFormat="1" x14ac:dyDescent="0.3">
      <c r="A59" s="112"/>
      <c r="B59" s="113"/>
      <c r="C59" s="113"/>
      <c r="D59" s="112"/>
      <c r="E59" s="114"/>
    </row>
    <row r="60" spans="1:5" s="115" customFormat="1" x14ac:dyDescent="0.3">
      <c r="A60" s="112"/>
      <c r="B60" s="113"/>
      <c r="C60" s="113"/>
      <c r="D60" s="112"/>
      <c r="E60" s="114"/>
    </row>
    <row r="61" spans="1:5" s="115" customFormat="1" x14ac:dyDescent="0.3">
      <c r="A61" s="112"/>
      <c r="B61" s="113"/>
      <c r="C61" s="113"/>
      <c r="D61" s="112"/>
      <c r="E61" s="114"/>
    </row>
    <row r="62" spans="1:5" s="115" customFormat="1" x14ac:dyDescent="0.3">
      <c r="A62" s="112"/>
      <c r="B62" s="113"/>
      <c r="C62" s="113"/>
      <c r="D62" s="112"/>
      <c r="E62" s="114"/>
    </row>
    <row r="63" spans="1:5" s="115" customFormat="1" x14ac:dyDescent="0.3">
      <c r="A63" s="112"/>
      <c r="B63" s="113"/>
      <c r="C63" s="113"/>
      <c r="D63" s="112"/>
      <c r="E63" s="114"/>
    </row>
    <row r="64" spans="1:5" s="115" customFormat="1" x14ac:dyDescent="0.3">
      <c r="A64" s="112"/>
      <c r="B64" s="113"/>
      <c r="C64" s="113"/>
      <c r="D64" s="112"/>
      <c r="E64" s="114"/>
    </row>
    <row r="65" spans="1:5" s="115" customFormat="1" x14ac:dyDescent="0.3">
      <c r="A65" s="112"/>
      <c r="B65" s="113"/>
      <c r="C65" s="113"/>
      <c r="D65" s="112"/>
      <c r="E65" s="114"/>
    </row>
    <row r="66" spans="1:5" s="115" customFormat="1" x14ac:dyDescent="0.3">
      <c r="A66" s="112"/>
      <c r="B66" s="113"/>
      <c r="C66" s="113"/>
      <c r="D66" s="112"/>
      <c r="E66" s="114"/>
    </row>
    <row r="67" spans="1:5" x14ac:dyDescent="0.3">
      <c r="E67" s="2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B60E-B221-49EB-BC1D-C71453DAD0CF}">
  <dimension ref="A1:M21"/>
  <sheetViews>
    <sheetView topLeftCell="C2" zoomScale="115" zoomScaleNormal="115" workbookViewId="0">
      <selection activeCell="D20" sqref="D20"/>
    </sheetView>
  </sheetViews>
  <sheetFormatPr defaultRowHeight="16.5" x14ac:dyDescent="0.3"/>
  <cols>
    <col min="1" max="1" width="6" style="59" customWidth="1"/>
    <col min="2" max="2" width="23.375" style="69" customWidth="1"/>
    <col min="3" max="3" width="16.75" style="70" customWidth="1"/>
    <col min="4" max="4" width="13.75" style="71" customWidth="1"/>
    <col min="5" max="5" width="29" style="59" customWidth="1"/>
    <col min="6" max="6" width="49.5" style="59" customWidth="1"/>
    <col min="7" max="7" width="26.125" style="59" customWidth="1"/>
    <col min="8" max="8" width="15.25" style="59" customWidth="1"/>
    <col min="9" max="9" width="20" style="59" customWidth="1"/>
    <col min="10" max="10" width="14.75" style="59" customWidth="1"/>
    <col min="11" max="11" width="32.75" style="59" customWidth="1"/>
    <col min="12" max="12" width="31.25" style="59" customWidth="1"/>
    <col min="13" max="13" width="52.875" style="59" customWidth="1"/>
  </cols>
  <sheetData>
    <row r="1" spans="1:13" ht="33.75" x14ac:dyDescent="0.3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x14ac:dyDescent="0.3">
      <c r="A2" s="69"/>
      <c r="E2" s="69"/>
      <c r="F2" s="69"/>
      <c r="G2" s="69"/>
      <c r="H2" s="69"/>
      <c r="I2" s="69"/>
      <c r="J2" s="69"/>
      <c r="K2" s="69"/>
      <c r="L2" s="69"/>
      <c r="M2" s="72" t="s">
        <v>63</v>
      </c>
    </row>
    <row r="3" spans="1:13" ht="33" x14ac:dyDescent="0.3">
      <c r="A3" s="73" t="s">
        <v>64</v>
      </c>
      <c r="B3" s="73" t="s">
        <v>65</v>
      </c>
      <c r="C3" s="74" t="s">
        <v>66</v>
      </c>
      <c r="D3" s="75" t="s">
        <v>67</v>
      </c>
      <c r="E3" s="73" t="s">
        <v>68</v>
      </c>
      <c r="F3" s="73" t="s">
        <v>69</v>
      </c>
      <c r="G3" s="73" t="s">
        <v>70</v>
      </c>
      <c r="H3" s="73" t="s">
        <v>71</v>
      </c>
      <c r="I3" s="73" t="s">
        <v>72</v>
      </c>
      <c r="J3" s="73" t="s">
        <v>73</v>
      </c>
      <c r="K3" s="73" t="s">
        <v>74</v>
      </c>
      <c r="L3" s="73" t="s">
        <v>75</v>
      </c>
      <c r="M3" s="73" t="s">
        <v>76</v>
      </c>
    </row>
    <row r="4" spans="1:13" ht="17.25" x14ac:dyDescent="0.3">
      <c r="A4" s="76">
        <v>1</v>
      </c>
      <c r="B4" s="77" t="s">
        <v>77</v>
      </c>
      <c r="C4" s="78">
        <v>1</v>
      </c>
      <c r="D4" s="79">
        <v>48000</v>
      </c>
      <c r="E4" s="80" t="s">
        <v>78</v>
      </c>
      <c r="F4" s="80" t="s">
        <v>79</v>
      </c>
      <c r="G4" s="81" t="s">
        <v>80</v>
      </c>
      <c r="H4" s="80" t="s">
        <v>81</v>
      </c>
      <c r="I4" s="80" t="s">
        <v>82</v>
      </c>
      <c r="J4" s="80" t="s">
        <v>83</v>
      </c>
      <c r="K4" s="81" t="s">
        <v>84</v>
      </c>
      <c r="L4" s="82" t="s">
        <v>85</v>
      </c>
      <c r="M4" s="80" t="s">
        <v>86</v>
      </c>
    </row>
    <row r="5" spans="1:13" ht="17.25" x14ac:dyDescent="0.3">
      <c r="A5" s="76">
        <v>2</v>
      </c>
      <c r="B5" s="83" t="s">
        <v>87</v>
      </c>
      <c r="C5" s="84">
        <v>40</v>
      </c>
      <c r="D5" s="85" t="s">
        <v>88</v>
      </c>
      <c r="E5" s="86" t="s">
        <v>89</v>
      </c>
      <c r="F5" s="86" t="s">
        <v>90</v>
      </c>
      <c r="G5" s="87" t="s">
        <v>91</v>
      </c>
      <c r="H5" s="86" t="s">
        <v>92</v>
      </c>
      <c r="I5" s="86" t="s">
        <v>93</v>
      </c>
      <c r="J5" s="86" t="s">
        <v>94</v>
      </c>
      <c r="K5" s="87" t="s">
        <v>95</v>
      </c>
      <c r="L5" s="88" t="s">
        <v>96</v>
      </c>
      <c r="M5" s="86" t="s">
        <v>97</v>
      </c>
    </row>
    <row r="6" spans="1:13" ht="17.25" x14ac:dyDescent="0.3">
      <c r="A6" s="76">
        <v>3</v>
      </c>
      <c r="B6" s="83" t="s">
        <v>98</v>
      </c>
      <c r="C6" s="84">
        <v>28</v>
      </c>
      <c r="D6" s="85" t="s">
        <v>99</v>
      </c>
      <c r="E6" s="86" t="s">
        <v>100</v>
      </c>
      <c r="F6" s="86" t="s">
        <v>101</v>
      </c>
      <c r="G6" s="87" t="s">
        <v>102</v>
      </c>
      <c r="H6" s="86" t="s">
        <v>103</v>
      </c>
      <c r="I6" s="86" t="s">
        <v>104</v>
      </c>
      <c r="J6" s="86" t="s">
        <v>105</v>
      </c>
      <c r="K6" s="87" t="s">
        <v>106</v>
      </c>
      <c r="L6" s="88" t="s">
        <v>107</v>
      </c>
      <c r="M6" s="86" t="s">
        <v>108</v>
      </c>
    </row>
    <row r="7" spans="1:13" ht="17.25" x14ac:dyDescent="0.3">
      <c r="A7" s="76">
        <v>4</v>
      </c>
      <c r="B7" s="83" t="s">
        <v>109</v>
      </c>
      <c r="C7" s="84">
        <v>24</v>
      </c>
      <c r="D7" s="85" t="s">
        <v>110</v>
      </c>
      <c r="E7" s="86" t="s">
        <v>111</v>
      </c>
      <c r="F7" s="86" t="s">
        <v>112</v>
      </c>
      <c r="G7" s="87" t="s">
        <v>113</v>
      </c>
      <c r="H7" s="86" t="s">
        <v>114</v>
      </c>
      <c r="I7" s="86" t="s">
        <v>115</v>
      </c>
      <c r="J7" s="86" t="s">
        <v>116</v>
      </c>
      <c r="K7" s="87" t="s">
        <v>117</v>
      </c>
      <c r="L7" s="90" t="s">
        <v>118</v>
      </c>
      <c r="M7" s="86" t="s">
        <v>119</v>
      </c>
    </row>
    <row r="8" spans="1:13" ht="17.25" x14ac:dyDescent="0.3">
      <c r="A8" s="76">
        <v>5</v>
      </c>
      <c r="B8" s="83" t="s">
        <v>120</v>
      </c>
      <c r="C8" s="84">
        <v>14</v>
      </c>
      <c r="D8" s="85" t="s">
        <v>121</v>
      </c>
      <c r="E8" s="86" t="s">
        <v>122</v>
      </c>
      <c r="F8" s="86" t="s">
        <v>123</v>
      </c>
      <c r="G8" s="87" t="s">
        <v>124</v>
      </c>
      <c r="H8" s="86" t="s">
        <v>125</v>
      </c>
      <c r="I8" s="86" t="s">
        <v>126</v>
      </c>
      <c r="J8" s="86" t="s">
        <v>127</v>
      </c>
      <c r="K8" s="87" t="s">
        <v>128</v>
      </c>
      <c r="L8" s="88" t="s">
        <v>129</v>
      </c>
      <c r="M8" s="86" t="s">
        <v>130</v>
      </c>
    </row>
    <row r="9" spans="1:13" ht="17.25" x14ac:dyDescent="0.3">
      <c r="A9" s="76">
        <v>6</v>
      </c>
      <c r="B9" s="83" t="s">
        <v>131</v>
      </c>
      <c r="C9" s="84">
        <v>18</v>
      </c>
      <c r="D9" s="85" t="s">
        <v>132</v>
      </c>
      <c r="E9" s="86" t="s">
        <v>133</v>
      </c>
      <c r="F9" s="86" t="s">
        <v>134</v>
      </c>
      <c r="G9" s="87" t="s">
        <v>135</v>
      </c>
      <c r="H9" s="86" t="s">
        <v>136</v>
      </c>
      <c r="I9" s="86" t="s">
        <v>137</v>
      </c>
      <c r="J9" s="86" t="s">
        <v>138</v>
      </c>
      <c r="K9" s="87" t="s">
        <v>139</v>
      </c>
      <c r="L9" s="88" t="s">
        <v>140</v>
      </c>
      <c r="M9" s="86" t="s">
        <v>141</v>
      </c>
    </row>
    <row r="10" spans="1:13" ht="17.25" x14ac:dyDescent="0.3">
      <c r="A10" s="76">
        <v>7</v>
      </c>
      <c r="B10" s="83" t="s">
        <v>142</v>
      </c>
      <c r="C10" s="84">
        <v>10</v>
      </c>
      <c r="D10" s="85" t="s">
        <v>143</v>
      </c>
      <c r="E10" s="86" t="s">
        <v>144</v>
      </c>
      <c r="F10" s="86" t="s">
        <v>145</v>
      </c>
      <c r="G10" s="87" t="s">
        <v>146</v>
      </c>
      <c r="H10" s="86" t="s">
        <v>147</v>
      </c>
      <c r="I10" s="86" t="s">
        <v>148</v>
      </c>
      <c r="J10" s="86" t="s">
        <v>149</v>
      </c>
      <c r="K10" s="87" t="s">
        <v>150</v>
      </c>
      <c r="L10" s="88" t="s">
        <v>151</v>
      </c>
      <c r="M10" s="86" t="s">
        <v>152</v>
      </c>
    </row>
    <row r="11" spans="1:13" ht="17.25" x14ac:dyDescent="0.3">
      <c r="A11" s="76">
        <v>8</v>
      </c>
      <c r="B11" s="83" t="s">
        <v>153</v>
      </c>
      <c r="C11" s="84">
        <v>13</v>
      </c>
      <c r="D11" s="85" t="s">
        <v>154</v>
      </c>
      <c r="E11" s="86" t="s">
        <v>155</v>
      </c>
      <c r="F11" s="86" t="s">
        <v>156</v>
      </c>
      <c r="G11" s="87" t="s">
        <v>157</v>
      </c>
      <c r="H11" s="86" t="s">
        <v>158</v>
      </c>
      <c r="I11" s="86" t="s">
        <v>159</v>
      </c>
      <c r="J11" s="86" t="s">
        <v>160</v>
      </c>
      <c r="K11" s="87" t="s">
        <v>161</v>
      </c>
      <c r="L11" s="88" t="s">
        <v>162</v>
      </c>
      <c r="M11" s="86" t="s">
        <v>163</v>
      </c>
    </row>
    <row r="12" spans="1:13" ht="17.25" x14ac:dyDescent="0.3">
      <c r="A12" s="76">
        <v>9</v>
      </c>
      <c r="B12" s="83" t="s">
        <v>164</v>
      </c>
      <c r="C12" s="84">
        <v>13</v>
      </c>
      <c r="D12" s="85" t="s">
        <v>165</v>
      </c>
      <c r="E12" s="86" t="s">
        <v>166</v>
      </c>
      <c r="F12" s="86" t="s">
        <v>167</v>
      </c>
      <c r="G12" s="87" t="s">
        <v>168</v>
      </c>
      <c r="H12" s="86" t="s">
        <v>169</v>
      </c>
      <c r="I12" s="86" t="s">
        <v>170</v>
      </c>
      <c r="J12" s="86" t="s">
        <v>171</v>
      </c>
      <c r="K12" s="86" t="s">
        <v>172</v>
      </c>
      <c r="L12" s="92" t="s">
        <v>173</v>
      </c>
      <c r="M12" s="86" t="s">
        <v>174</v>
      </c>
    </row>
    <row r="13" spans="1:13" ht="17.25" x14ac:dyDescent="0.3">
      <c r="A13" s="76">
        <v>10</v>
      </c>
      <c r="B13" s="83" t="s">
        <v>175</v>
      </c>
      <c r="C13" s="84">
        <v>17</v>
      </c>
      <c r="D13" s="85" t="s">
        <v>176</v>
      </c>
      <c r="E13" s="86" t="s">
        <v>177</v>
      </c>
      <c r="F13" s="86" t="s">
        <v>178</v>
      </c>
      <c r="G13" s="86" t="s">
        <v>179</v>
      </c>
      <c r="H13" s="86" t="s">
        <v>180</v>
      </c>
      <c r="I13" s="86" t="s">
        <v>181</v>
      </c>
      <c r="J13" s="86" t="s">
        <v>182</v>
      </c>
      <c r="K13" s="86" t="s">
        <v>183</v>
      </c>
      <c r="L13" s="92" t="s">
        <v>184</v>
      </c>
      <c r="M13" s="86" t="s">
        <v>185</v>
      </c>
    </row>
    <row r="14" spans="1:13" ht="17.25" x14ac:dyDescent="0.3">
      <c r="A14" s="76">
        <v>11</v>
      </c>
      <c r="B14" s="83" t="s">
        <v>186</v>
      </c>
      <c r="C14" s="119">
        <v>19</v>
      </c>
      <c r="D14" s="94" t="s">
        <v>187</v>
      </c>
      <c r="E14" s="95" t="s">
        <v>188</v>
      </c>
      <c r="F14" s="96" t="s">
        <v>189</v>
      </c>
      <c r="G14" s="96" t="s">
        <v>264</v>
      </c>
      <c r="H14" s="96" t="s">
        <v>191</v>
      </c>
      <c r="I14" s="96" t="s">
        <v>192</v>
      </c>
      <c r="J14" s="96" t="s">
        <v>193</v>
      </c>
      <c r="K14" s="96" t="s">
        <v>194</v>
      </c>
      <c r="L14" s="97" t="s">
        <v>195</v>
      </c>
      <c r="M14" s="96" t="s">
        <v>196</v>
      </c>
    </row>
    <row r="15" spans="1:13" ht="17.25" x14ac:dyDescent="0.3">
      <c r="A15" s="76">
        <v>12</v>
      </c>
      <c r="B15" s="83" t="s">
        <v>197</v>
      </c>
      <c r="C15" s="84">
        <v>12</v>
      </c>
      <c r="D15" s="85" t="s">
        <v>198</v>
      </c>
      <c r="E15" s="86" t="s">
        <v>199</v>
      </c>
      <c r="F15" s="86" t="s">
        <v>200</v>
      </c>
      <c r="G15" s="86" t="s">
        <v>201</v>
      </c>
      <c r="H15" s="86" t="s">
        <v>202</v>
      </c>
      <c r="I15" s="86" t="s">
        <v>203</v>
      </c>
      <c r="J15" s="86" t="s">
        <v>204</v>
      </c>
      <c r="K15" s="87" t="s">
        <v>205</v>
      </c>
      <c r="L15" s="92" t="s">
        <v>206</v>
      </c>
      <c r="M15" s="86" t="s">
        <v>207</v>
      </c>
    </row>
    <row r="16" spans="1:13" ht="17.25" x14ac:dyDescent="0.3">
      <c r="A16" s="76">
        <v>13</v>
      </c>
      <c r="B16" s="83" t="s">
        <v>208</v>
      </c>
      <c r="C16" s="84">
        <v>27</v>
      </c>
      <c r="D16" s="85" t="s">
        <v>209</v>
      </c>
      <c r="E16" s="86" t="s">
        <v>210</v>
      </c>
      <c r="F16" s="86" t="s">
        <v>211</v>
      </c>
      <c r="G16" s="86" t="s">
        <v>212</v>
      </c>
      <c r="H16" s="86" t="s">
        <v>213</v>
      </c>
      <c r="I16" s="86" t="s">
        <v>214</v>
      </c>
      <c r="J16" s="86" t="s">
        <v>215</v>
      </c>
      <c r="K16" s="87" t="s">
        <v>216</v>
      </c>
      <c r="L16" s="92" t="s">
        <v>217</v>
      </c>
      <c r="M16" s="86" t="s">
        <v>218</v>
      </c>
    </row>
    <row r="17" spans="1:13" ht="17.25" x14ac:dyDescent="0.3">
      <c r="A17" s="76">
        <v>14</v>
      </c>
      <c r="B17" s="83" t="s">
        <v>219</v>
      </c>
      <c r="C17" s="84">
        <v>14</v>
      </c>
      <c r="D17" s="85" t="s">
        <v>220</v>
      </c>
      <c r="E17" s="86" t="s">
        <v>221</v>
      </c>
      <c r="F17" s="86" t="s">
        <v>222</v>
      </c>
      <c r="G17" s="86" t="s">
        <v>223</v>
      </c>
      <c r="H17" s="86" t="s">
        <v>224</v>
      </c>
      <c r="I17" s="86" t="s">
        <v>225</v>
      </c>
      <c r="J17" s="86" t="s">
        <v>226</v>
      </c>
      <c r="K17" s="86" t="s">
        <v>227</v>
      </c>
      <c r="L17" s="92" t="s">
        <v>228</v>
      </c>
      <c r="M17" s="86" t="s">
        <v>229</v>
      </c>
    </row>
    <row r="18" spans="1:13" ht="33" x14ac:dyDescent="0.3">
      <c r="A18" s="76">
        <v>15</v>
      </c>
      <c r="B18" s="98" t="s">
        <v>230</v>
      </c>
      <c r="C18" s="99">
        <v>40</v>
      </c>
      <c r="D18" s="100" t="s">
        <v>231</v>
      </c>
      <c r="E18" s="101" t="s">
        <v>232</v>
      </c>
      <c r="F18" s="101" t="s">
        <v>233</v>
      </c>
      <c r="G18" s="102" t="s">
        <v>234</v>
      </c>
      <c r="H18" s="101" t="s">
        <v>235</v>
      </c>
      <c r="I18" s="101" t="s">
        <v>236</v>
      </c>
      <c r="J18" s="101" t="s">
        <v>237</v>
      </c>
      <c r="K18" s="102" t="s">
        <v>238</v>
      </c>
      <c r="L18" s="103" t="s">
        <v>239</v>
      </c>
      <c r="M18" s="101" t="s">
        <v>240</v>
      </c>
    </row>
    <row r="19" spans="1:13" ht="33" x14ac:dyDescent="0.3">
      <c r="A19" s="76">
        <v>16</v>
      </c>
      <c r="B19" s="101" t="s">
        <v>241</v>
      </c>
      <c r="C19" s="99">
        <v>3</v>
      </c>
      <c r="D19" s="104" t="s">
        <v>265</v>
      </c>
      <c r="E19" s="101" t="s">
        <v>243</v>
      </c>
      <c r="F19" s="101" t="s">
        <v>244</v>
      </c>
      <c r="G19" s="102" t="s">
        <v>245</v>
      </c>
      <c r="H19" s="101" t="s">
        <v>246</v>
      </c>
      <c r="I19" s="101" t="s">
        <v>247</v>
      </c>
      <c r="J19" s="101" t="s">
        <v>248</v>
      </c>
      <c r="K19" s="102" t="s">
        <v>249</v>
      </c>
      <c r="L19" s="103" t="s">
        <v>250</v>
      </c>
      <c r="M19" s="101" t="s">
        <v>251</v>
      </c>
    </row>
    <row r="20" spans="1:13" ht="33" x14ac:dyDescent="0.3">
      <c r="A20" s="76">
        <v>17</v>
      </c>
      <c r="B20" s="101" t="s">
        <v>252</v>
      </c>
      <c r="C20" s="99">
        <v>7</v>
      </c>
      <c r="D20" s="104" t="s">
        <v>253</v>
      </c>
      <c r="E20" s="101" t="s">
        <v>254</v>
      </c>
      <c r="F20" s="101" t="s">
        <v>255</v>
      </c>
      <c r="G20" s="102" t="s">
        <v>256</v>
      </c>
      <c r="H20" s="101" t="s">
        <v>257</v>
      </c>
      <c r="I20" s="101" t="s">
        <v>258</v>
      </c>
      <c r="J20" s="101" t="s">
        <v>259</v>
      </c>
      <c r="K20" s="102" t="s">
        <v>260</v>
      </c>
      <c r="L20" s="103" t="s">
        <v>261</v>
      </c>
      <c r="M20" s="101" t="s">
        <v>262</v>
      </c>
    </row>
    <row r="21" spans="1:13" ht="45" customHeight="1" x14ac:dyDescent="0.3">
      <c r="C21" s="70">
        <f>SUM(C4:C20)</f>
        <v>300</v>
      </c>
      <c r="D21" s="105"/>
    </row>
  </sheetData>
  <mergeCells count="1">
    <mergeCell ref="A1:M1"/>
  </mergeCells>
  <phoneticPr fontId="2" type="noConversion"/>
  <conditionalFormatting sqref="E4">
    <cfRule type="duplicateValues" dxfId="13" priority="3"/>
  </conditionalFormatting>
  <conditionalFormatting sqref="E5">
    <cfRule type="duplicateValues" dxfId="12" priority="10"/>
  </conditionalFormatting>
  <conditionalFormatting sqref="E6">
    <cfRule type="duplicateValues" dxfId="11" priority="9"/>
  </conditionalFormatting>
  <conditionalFormatting sqref="E7">
    <cfRule type="duplicateValues" dxfId="10" priority="8"/>
  </conditionalFormatting>
  <conditionalFormatting sqref="E8">
    <cfRule type="duplicateValues" dxfId="9" priority="7"/>
  </conditionalFormatting>
  <conditionalFormatting sqref="E9">
    <cfRule type="duplicateValues" dxfId="8" priority="6"/>
  </conditionalFormatting>
  <conditionalFormatting sqref="E10:E11">
    <cfRule type="duplicateValues" dxfId="7" priority="5"/>
  </conditionalFormatting>
  <conditionalFormatting sqref="E12">
    <cfRule type="expression" dxfId="6" priority="4" stopIfTrue="1"/>
  </conditionalFormatting>
  <conditionalFormatting sqref="E13">
    <cfRule type="duplicateValues" dxfId="5" priority="14"/>
  </conditionalFormatting>
  <conditionalFormatting sqref="E14">
    <cfRule type="duplicateValues" dxfId="4" priority="1"/>
    <cfRule type="duplicateValues" dxfId="3" priority="2"/>
  </conditionalFormatting>
  <conditionalFormatting sqref="E15:E20 E6:E13">
    <cfRule type="duplicateValues" dxfId="2" priority="13"/>
  </conditionalFormatting>
  <conditionalFormatting sqref="E15:E20">
    <cfRule type="duplicateValues" dxfId="1" priority="12"/>
  </conditionalFormatting>
  <conditionalFormatting sqref="E21:E1048576 E1:E3">
    <cfRule type="duplicateValues" dxfId="0" priority="11"/>
  </conditionalFormatting>
  <hyperlinks>
    <hyperlink ref="L4" r:id="rId1" display="jbahn@cu.co.kr" xr:uid="{0B583E9E-554F-4FD2-A2E6-F2A18405FC0D}"/>
    <hyperlink ref="L11" r:id="rId2" xr:uid="{FAEEEBBF-1A65-4930-A960-59699A67E057}"/>
    <hyperlink ref="L12" r:id="rId3" xr:uid="{D717DEB5-CEE4-4BE5-91EA-B27AFB24F19A}"/>
    <hyperlink ref="L13" r:id="rId4" xr:uid="{DD22B21C-26EE-4515-B9D7-391E5EB4CC07}"/>
    <hyperlink ref="L15" r:id="rId5" xr:uid="{C0D6518C-800F-4277-8A98-1CBE0D66B277}"/>
    <hyperlink ref="L14" r:id="rId6" xr:uid="{8B480A07-BFBB-4BBD-B87E-E498F97BDEA1}"/>
    <hyperlink ref="L17" r:id="rId7" xr:uid="{24E155A7-F61D-48B1-B04C-1256B102ED31}"/>
    <hyperlink ref="L5" r:id="rId8" xr:uid="{272B9181-D3C2-4D90-A58C-EF9C11B0DC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2419-E59A-45A8-8EBE-1A255AE2ABB2}">
  <dimension ref="A1:M21"/>
  <sheetViews>
    <sheetView showGridLines="0" zoomScale="115" zoomScaleNormal="115" workbookViewId="0">
      <selection activeCell="B6" sqref="B6"/>
    </sheetView>
  </sheetViews>
  <sheetFormatPr defaultRowHeight="15.4" customHeight="1" x14ac:dyDescent="0.3"/>
  <cols>
    <col min="1" max="1" width="6" style="59" customWidth="1"/>
    <col min="2" max="2" width="23.375" style="69" customWidth="1"/>
    <col min="3" max="3" width="11.625" style="70" customWidth="1"/>
    <col min="4" max="4" width="13.75" style="71" customWidth="1"/>
    <col min="5" max="5" width="29" style="59" customWidth="1"/>
    <col min="6" max="6" width="49.5" style="59" customWidth="1"/>
    <col min="7" max="7" width="26.125" style="59" customWidth="1"/>
    <col min="8" max="8" width="15.25" style="59" customWidth="1"/>
    <col min="9" max="9" width="20" style="59" customWidth="1"/>
    <col min="10" max="10" width="14.75" style="59" customWidth="1"/>
    <col min="11" max="11" width="32.75" style="59" customWidth="1"/>
    <col min="12" max="12" width="31.25" style="59" customWidth="1"/>
    <col min="13" max="13" width="52.875" style="59" customWidth="1"/>
  </cols>
  <sheetData>
    <row r="1" spans="1:13" ht="15.4" customHeight="1" x14ac:dyDescent="0.3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5.4" customHeight="1" x14ac:dyDescent="0.3">
      <c r="A2" s="69"/>
      <c r="E2" s="69"/>
      <c r="F2" s="69"/>
      <c r="G2" s="69"/>
      <c r="H2" s="69"/>
      <c r="I2" s="69"/>
      <c r="J2" s="69"/>
      <c r="K2" s="69"/>
      <c r="L2" s="69"/>
      <c r="M2" s="72" t="s">
        <v>63</v>
      </c>
    </row>
    <row r="3" spans="1:13" ht="15.4" customHeight="1" x14ac:dyDescent="0.3">
      <c r="A3" s="73" t="s">
        <v>64</v>
      </c>
      <c r="B3" s="73" t="s">
        <v>65</v>
      </c>
      <c r="C3" s="74" t="s">
        <v>66</v>
      </c>
      <c r="D3" s="75" t="s">
        <v>67</v>
      </c>
      <c r="E3" s="73" t="s">
        <v>68</v>
      </c>
      <c r="F3" s="73" t="s">
        <v>69</v>
      </c>
      <c r="G3" s="73" t="s">
        <v>70</v>
      </c>
      <c r="H3" s="73" t="s">
        <v>71</v>
      </c>
      <c r="I3" s="73" t="s">
        <v>72</v>
      </c>
      <c r="J3" s="73" t="s">
        <v>73</v>
      </c>
      <c r="K3" s="73" t="s">
        <v>74</v>
      </c>
      <c r="L3" s="73" t="s">
        <v>75</v>
      </c>
      <c r="M3" s="73" t="s">
        <v>76</v>
      </c>
    </row>
    <row r="4" spans="1:13" ht="15.4" customHeight="1" x14ac:dyDescent="0.3">
      <c r="A4" s="76">
        <v>1</v>
      </c>
      <c r="B4" s="77" t="s">
        <v>77</v>
      </c>
      <c r="C4" s="78">
        <v>1</v>
      </c>
      <c r="D4" s="79">
        <v>48000</v>
      </c>
      <c r="E4" s="80" t="s">
        <v>78</v>
      </c>
      <c r="F4" s="80" t="s">
        <v>79</v>
      </c>
      <c r="G4" s="81" t="s">
        <v>80</v>
      </c>
      <c r="H4" s="80" t="s">
        <v>81</v>
      </c>
      <c r="I4" s="80" t="s">
        <v>82</v>
      </c>
      <c r="J4" s="80" t="s">
        <v>83</v>
      </c>
      <c r="K4" s="81" t="s">
        <v>84</v>
      </c>
      <c r="L4" s="82" t="s">
        <v>85</v>
      </c>
      <c r="M4" s="80" t="s">
        <v>86</v>
      </c>
    </row>
    <row r="5" spans="1:13" ht="15.4" customHeight="1" x14ac:dyDescent="0.3">
      <c r="A5" s="76">
        <v>2</v>
      </c>
      <c r="B5" s="106" t="s">
        <v>87</v>
      </c>
      <c r="C5" s="107">
        <v>40</v>
      </c>
      <c r="D5" s="108" t="s">
        <v>88</v>
      </c>
      <c r="E5" s="109" t="s">
        <v>89</v>
      </c>
      <c r="F5" s="109" t="s">
        <v>90</v>
      </c>
      <c r="G5" s="110" t="s">
        <v>91</v>
      </c>
      <c r="H5" s="109" t="s">
        <v>92</v>
      </c>
      <c r="I5" s="109" t="s">
        <v>93</v>
      </c>
      <c r="J5" s="109" t="s">
        <v>94</v>
      </c>
      <c r="K5" s="110" t="s">
        <v>95</v>
      </c>
      <c r="L5" s="111" t="s">
        <v>96</v>
      </c>
      <c r="M5" s="109" t="s">
        <v>97</v>
      </c>
    </row>
    <row r="6" spans="1:13" ht="15.4" customHeight="1" x14ac:dyDescent="0.3">
      <c r="A6" s="76">
        <v>3</v>
      </c>
      <c r="B6" s="83" t="s">
        <v>98</v>
      </c>
      <c r="C6" s="89">
        <v>28</v>
      </c>
      <c r="D6" s="85" t="s">
        <v>99</v>
      </c>
      <c r="E6" s="86" t="s">
        <v>100</v>
      </c>
      <c r="F6" s="86" t="s">
        <v>101</v>
      </c>
      <c r="G6" s="87" t="s">
        <v>102</v>
      </c>
      <c r="H6" s="86" t="s">
        <v>103</v>
      </c>
      <c r="I6" s="86" t="s">
        <v>104</v>
      </c>
      <c r="J6" s="86" t="s">
        <v>105</v>
      </c>
      <c r="K6" s="87" t="s">
        <v>106</v>
      </c>
      <c r="L6" s="88" t="s">
        <v>107</v>
      </c>
      <c r="M6" s="86" t="s">
        <v>108</v>
      </c>
    </row>
    <row r="7" spans="1:13" ht="15.4" customHeight="1" x14ac:dyDescent="0.3">
      <c r="A7" s="76">
        <v>4</v>
      </c>
      <c r="B7" s="83" t="s">
        <v>109</v>
      </c>
      <c r="C7" s="84">
        <v>24</v>
      </c>
      <c r="D7" s="85" t="s">
        <v>110</v>
      </c>
      <c r="E7" s="86" t="s">
        <v>111</v>
      </c>
      <c r="F7" s="86" t="s">
        <v>112</v>
      </c>
      <c r="G7" s="87" t="s">
        <v>113</v>
      </c>
      <c r="H7" s="86" t="s">
        <v>114</v>
      </c>
      <c r="I7" s="86" t="s">
        <v>115</v>
      </c>
      <c r="J7" s="86" t="s">
        <v>116</v>
      </c>
      <c r="K7" s="87" t="s">
        <v>117</v>
      </c>
      <c r="L7" s="90" t="s">
        <v>118</v>
      </c>
      <c r="M7" s="86" t="s">
        <v>119</v>
      </c>
    </row>
    <row r="8" spans="1:13" ht="15.4" customHeight="1" x14ac:dyDescent="0.3">
      <c r="A8" s="76">
        <v>5</v>
      </c>
      <c r="B8" s="83" t="s">
        <v>120</v>
      </c>
      <c r="C8" s="89">
        <v>14</v>
      </c>
      <c r="D8" s="85" t="s">
        <v>121</v>
      </c>
      <c r="E8" s="86" t="s">
        <v>122</v>
      </c>
      <c r="F8" s="86" t="s">
        <v>123</v>
      </c>
      <c r="G8" s="87" t="s">
        <v>124</v>
      </c>
      <c r="H8" s="86" t="s">
        <v>125</v>
      </c>
      <c r="I8" s="86" t="s">
        <v>126</v>
      </c>
      <c r="J8" s="86" t="s">
        <v>127</v>
      </c>
      <c r="K8" s="87" t="s">
        <v>128</v>
      </c>
      <c r="L8" s="88" t="s">
        <v>129</v>
      </c>
      <c r="M8" s="86" t="s">
        <v>130</v>
      </c>
    </row>
    <row r="9" spans="1:13" ht="15.4" customHeight="1" x14ac:dyDescent="0.3">
      <c r="A9" s="76">
        <v>6</v>
      </c>
      <c r="B9" s="83" t="s">
        <v>131</v>
      </c>
      <c r="C9" s="84">
        <v>18</v>
      </c>
      <c r="D9" s="85" t="s">
        <v>132</v>
      </c>
      <c r="E9" s="86" t="s">
        <v>133</v>
      </c>
      <c r="F9" s="86" t="s">
        <v>134</v>
      </c>
      <c r="G9" s="87" t="s">
        <v>135</v>
      </c>
      <c r="H9" s="86" t="s">
        <v>136</v>
      </c>
      <c r="I9" s="86" t="s">
        <v>137</v>
      </c>
      <c r="J9" s="86" t="s">
        <v>138</v>
      </c>
      <c r="K9" s="87" t="s">
        <v>139</v>
      </c>
      <c r="L9" s="88" t="s">
        <v>140</v>
      </c>
      <c r="M9" s="86" t="s">
        <v>141</v>
      </c>
    </row>
    <row r="10" spans="1:13" ht="15.4" customHeight="1" x14ac:dyDescent="0.3">
      <c r="A10" s="76">
        <v>7</v>
      </c>
      <c r="B10" s="83" t="s">
        <v>142</v>
      </c>
      <c r="C10" s="91">
        <v>10</v>
      </c>
      <c r="D10" s="85" t="s">
        <v>143</v>
      </c>
      <c r="E10" s="86" t="s">
        <v>144</v>
      </c>
      <c r="F10" s="86" t="s">
        <v>145</v>
      </c>
      <c r="G10" s="87" t="s">
        <v>146</v>
      </c>
      <c r="H10" s="86" t="s">
        <v>147</v>
      </c>
      <c r="I10" s="86" t="s">
        <v>148</v>
      </c>
      <c r="J10" s="86" t="s">
        <v>149</v>
      </c>
      <c r="K10" s="87" t="s">
        <v>150</v>
      </c>
      <c r="L10" s="88" t="s">
        <v>151</v>
      </c>
      <c r="M10" s="86" t="s">
        <v>152</v>
      </c>
    </row>
    <row r="11" spans="1:13" ht="15.4" customHeight="1" x14ac:dyDescent="0.3">
      <c r="A11" s="76">
        <v>8</v>
      </c>
      <c r="B11" s="83" t="s">
        <v>153</v>
      </c>
      <c r="C11" s="84">
        <v>13</v>
      </c>
      <c r="D11" s="85" t="s">
        <v>154</v>
      </c>
      <c r="E11" s="86" t="s">
        <v>155</v>
      </c>
      <c r="F11" s="86" t="s">
        <v>156</v>
      </c>
      <c r="G11" s="87" t="s">
        <v>157</v>
      </c>
      <c r="H11" s="86" t="s">
        <v>158</v>
      </c>
      <c r="I11" s="86" t="s">
        <v>159</v>
      </c>
      <c r="J11" s="86" t="s">
        <v>160</v>
      </c>
      <c r="K11" s="87" t="s">
        <v>161</v>
      </c>
      <c r="L11" s="88" t="s">
        <v>162</v>
      </c>
      <c r="M11" s="86" t="s">
        <v>163</v>
      </c>
    </row>
    <row r="12" spans="1:13" ht="15.4" customHeight="1" x14ac:dyDescent="0.3">
      <c r="A12" s="76">
        <v>9</v>
      </c>
      <c r="B12" s="83" t="s">
        <v>164</v>
      </c>
      <c r="C12" s="84">
        <v>13</v>
      </c>
      <c r="D12" s="85" t="s">
        <v>165</v>
      </c>
      <c r="E12" s="86" t="s">
        <v>166</v>
      </c>
      <c r="F12" s="86" t="s">
        <v>167</v>
      </c>
      <c r="G12" s="87" t="s">
        <v>168</v>
      </c>
      <c r="H12" s="86" t="s">
        <v>169</v>
      </c>
      <c r="I12" s="86" t="s">
        <v>170</v>
      </c>
      <c r="J12" s="86" t="s">
        <v>171</v>
      </c>
      <c r="K12" s="86" t="s">
        <v>172</v>
      </c>
      <c r="L12" s="92" t="s">
        <v>173</v>
      </c>
      <c r="M12" s="86" t="s">
        <v>174</v>
      </c>
    </row>
    <row r="13" spans="1:13" ht="15.4" customHeight="1" x14ac:dyDescent="0.3">
      <c r="A13" s="76">
        <v>10</v>
      </c>
      <c r="B13" s="83" t="s">
        <v>175</v>
      </c>
      <c r="C13" s="84">
        <v>17</v>
      </c>
      <c r="D13" s="85" t="s">
        <v>176</v>
      </c>
      <c r="E13" s="86" t="s">
        <v>177</v>
      </c>
      <c r="F13" s="86" t="s">
        <v>178</v>
      </c>
      <c r="G13" s="86" t="s">
        <v>179</v>
      </c>
      <c r="H13" s="86" t="s">
        <v>180</v>
      </c>
      <c r="I13" s="86" t="s">
        <v>181</v>
      </c>
      <c r="J13" s="86" t="s">
        <v>182</v>
      </c>
      <c r="K13" s="86" t="s">
        <v>183</v>
      </c>
      <c r="L13" s="92" t="s">
        <v>184</v>
      </c>
      <c r="M13" s="86" t="s">
        <v>185</v>
      </c>
    </row>
    <row r="14" spans="1:13" ht="15.4" customHeight="1" x14ac:dyDescent="0.3">
      <c r="A14" s="76">
        <v>11</v>
      </c>
      <c r="B14" s="83" t="s">
        <v>186</v>
      </c>
      <c r="C14" s="93">
        <v>19</v>
      </c>
      <c r="D14" s="94" t="s">
        <v>187</v>
      </c>
      <c r="E14" s="95" t="s">
        <v>188</v>
      </c>
      <c r="F14" s="96" t="s">
        <v>189</v>
      </c>
      <c r="G14" s="96" t="s">
        <v>190</v>
      </c>
      <c r="H14" s="96" t="s">
        <v>191</v>
      </c>
      <c r="I14" s="96" t="s">
        <v>192</v>
      </c>
      <c r="J14" s="96" t="s">
        <v>193</v>
      </c>
      <c r="K14" s="96" t="s">
        <v>194</v>
      </c>
      <c r="L14" s="97" t="s">
        <v>195</v>
      </c>
      <c r="M14" s="96" t="s">
        <v>196</v>
      </c>
    </row>
    <row r="15" spans="1:13" ht="15.4" customHeight="1" x14ac:dyDescent="0.3">
      <c r="A15" s="76">
        <v>12</v>
      </c>
      <c r="B15" s="83" t="s">
        <v>197</v>
      </c>
      <c r="C15" s="84">
        <v>12</v>
      </c>
      <c r="D15" s="85" t="s">
        <v>198</v>
      </c>
      <c r="E15" s="86" t="s">
        <v>199</v>
      </c>
      <c r="F15" s="86" t="s">
        <v>200</v>
      </c>
      <c r="G15" s="86" t="s">
        <v>201</v>
      </c>
      <c r="H15" s="86" t="s">
        <v>202</v>
      </c>
      <c r="I15" s="86" t="s">
        <v>203</v>
      </c>
      <c r="J15" s="86" t="s">
        <v>204</v>
      </c>
      <c r="K15" s="87" t="s">
        <v>205</v>
      </c>
      <c r="L15" s="92" t="s">
        <v>206</v>
      </c>
      <c r="M15" s="86" t="s">
        <v>207</v>
      </c>
    </row>
    <row r="16" spans="1:13" ht="15.4" customHeight="1" x14ac:dyDescent="0.3">
      <c r="A16" s="76">
        <v>13</v>
      </c>
      <c r="B16" s="83" t="s">
        <v>208</v>
      </c>
      <c r="C16" s="84">
        <v>27</v>
      </c>
      <c r="D16" s="85" t="s">
        <v>209</v>
      </c>
      <c r="E16" s="86" t="s">
        <v>210</v>
      </c>
      <c r="F16" s="86" t="s">
        <v>211</v>
      </c>
      <c r="G16" s="86" t="s">
        <v>212</v>
      </c>
      <c r="H16" s="86" t="s">
        <v>213</v>
      </c>
      <c r="I16" s="86" t="s">
        <v>214</v>
      </c>
      <c r="J16" s="86" t="s">
        <v>215</v>
      </c>
      <c r="K16" s="87" t="s">
        <v>216</v>
      </c>
      <c r="L16" s="92" t="s">
        <v>217</v>
      </c>
      <c r="M16" s="86" t="s">
        <v>218</v>
      </c>
    </row>
    <row r="17" spans="1:13" ht="15.4" customHeight="1" x14ac:dyDescent="0.3">
      <c r="A17" s="76">
        <v>14</v>
      </c>
      <c r="B17" s="83" t="s">
        <v>219</v>
      </c>
      <c r="C17" s="84">
        <v>14</v>
      </c>
      <c r="D17" s="85" t="s">
        <v>220</v>
      </c>
      <c r="E17" s="86" t="s">
        <v>221</v>
      </c>
      <c r="F17" s="86" t="s">
        <v>222</v>
      </c>
      <c r="G17" s="86" t="s">
        <v>223</v>
      </c>
      <c r="H17" s="86" t="s">
        <v>224</v>
      </c>
      <c r="I17" s="86" t="s">
        <v>225</v>
      </c>
      <c r="J17" s="86" t="s">
        <v>226</v>
      </c>
      <c r="K17" s="86" t="s">
        <v>227</v>
      </c>
      <c r="L17" s="92" t="s">
        <v>228</v>
      </c>
      <c r="M17" s="86" t="s">
        <v>229</v>
      </c>
    </row>
    <row r="18" spans="1:13" ht="15.4" customHeight="1" x14ac:dyDescent="0.3">
      <c r="A18" s="76">
        <v>15</v>
      </c>
      <c r="B18" s="98" t="s">
        <v>230</v>
      </c>
      <c r="C18" s="99">
        <v>40</v>
      </c>
      <c r="D18" s="100" t="s">
        <v>231</v>
      </c>
      <c r="E18" s="101" t="s">
        <v>232</v>
      </c>
      <c r="F18" s="101" t="s">
        <v>233</v>
      </c>
      <c r="G18" s="102" t="s">
        <v>234</v>
      </c>
      <c r="H18" s="101" t="s">
        <v>235</v>
      </c>
      <c r="I18" s="101" t="s">
        <v>236</v>
      </c>
      <c r="J18" s="101" t="s">
        <v>237</v>
      </c>
      <c r="K18" s="102" t="s">
        <v>238</v>
      </c>
      <c r="L18" s="103" t="s">
        <v>239</v>
      </c>
      <c r="M18" s="101" t="s">
        <v>240</v>
      </c>
    </row>
    <row r="19" spans="1:13" ht="15.4" customHeight="1" x14ac:dyDescent="0.3">
      <c r="A19" s="76">
        <v>16</v>
      </c>
      <c r="B19" s="101" t="s">
        <v>241</v>
      </c>
      <c r="C19" s="99">
        <v>3</v>
      </c>
      <c r="D19" s="104" t="s">
        <v>242</v>
      </c>
      <c r="E19" s="101" t="s">
        <v>243</v>
      </c>
      <c r="F19" s="101" t="s">
        <v>244</v>
      </c>
      <c r="G19" s="102" t="s">
        <v>245</v>
      </c>
      <c r="H19" s="101" t="s">
        <v>246</v>
      </c>
      <c r="I19" s="101" t="s">
        <v>247</v>
      </c>
      <c r="J19" s="101" t="s">
        <v>248</v>
      </c>
      <c r="K19" s="102" t="s">
        <v>249</v>
      </c>
      <c r="L19" s="103" t="s">
        <v>250</v>
      </c>
      <c r="M19" s="101" t="s">
        <v>251</v>
      </c>
    </row>
    <row r="20" spans="1:13" ht="15.4" customHeight="1" x14ac:dyDescent="0.3">
      <c r="A20" s="76">
        <v>17</v>
      </c>
      <c r="B20" s="101" t="s">
        <v>252</v>
      </c>
      <c r="C20" s="99">
        <v>7</v>
      </c>
      <c r="D20" s="104" t="s">
        <v>253</v>
      </c>
      <c r="E20" s="101" t="s">
        <v>254</v>
      </c>
      <c r="F20" s="101" t="s">
        <v>255</v>
      </c>
      <c r="G20" s="102" t="s">
        <v>256</v>
      </c>
      <c r="H20" s="101" t="s">
        <v>257</v>
      </c>
      <c r="I20" s="101" t="s">
        <v>258</v>
      </c>
      <c r="J20" s="101" t="s">
        <v>259</v>
      </c>
      <c r="K20" s="102" t="s">
        <v>260</v>
      </c>
      <c r="L20" s="103" t="s">
        <v>261</v>
      </c>
      <c r="M20" s="101" t="s">
        <v>262</v>
      </c>
    </row>
    <row r="21" spans="1:13" ht="15.4" customHeight="1" x14ac:dyDescent="0.3">
      <c r="C21" s="70">
        <f>SUM(C4:C20)</f>
        <v>300</v>
      </c>
      <c r="D21" s="105"/>
    </row>
  </sheetData>
  <mergeCells count="1">
    <mergeCell ref="A1:M1"/>
  </mergeCells>
  <phoneticPr fontId="2" type="noConversion"/>
  <conditionalFormatting sqref="E4">
    <cfRule type="duplicateValues" dxfId="27" priority="3"/>
  </conditionalFormatting>
  <conditionalFormatting sqref="E5">
    <cfRule type="duplicateValues" dxfId="26" priority="10"/>
  </conditionalFormatting>
  <conditionalFormatting sqref="E6">
    <cfRule type="duplicateValues" dxfId="25" priority="9"/>
  </conditionalFormatting>
  <conditionalFormatting sqref="E7">
    <cfRule type="duplicateValues" dxfId="24" priority="8"/>
  </conditionalFormatting>
  <conditionalFormatting sqref="E8">
    <cfRule type="duplicateValues" dxfId="23" priority="7"/>
  </conditionalFormatting>
  <conditionalFormatting sqref="E9">
    <cfRule type="duplicateValues" dxfId="22" priority="6"/>
  </conditionalFormatting>
  <conditionalFormatting sqref="E10:E11">
    <cfRule type="duplicateValues" dxfId="21" priority="5"/>
  </conditionalFormatting>
  <conditionalFormatting sqref="E12">
    <cfRule type="expression" dxfId="20" priority="4" stopIfTrue="1"/>
  </conditionalFormatting>
  <conditionalFormatting sqref="E13">
    <cfRule type="duplicateValues" dxfId="19" priority="14"/>
  </conditionalFormatting>
  <conditionalFormatting sqref="E14">
    <cfRule type="duplicateValues" dxfId="18" priority="1"/>
    <cfRule type="duplicateValues" dxfId="17" priority="2"/>
  </conditionalFormatting>
  <conditionalFormatting sqref="E15:E20 E6:E13">
    <cfRule type="duplicateValues" dxfId="16" priority="13"/>
  </conditionalFormatting>
  <conditionalFormatting sqref="E15:E20">
    <cfRule type="duplicateValues" dxfId="15" priority="12"/>
  </conditionalFormatting>
  <conditionalFormatting sqref="E21:E1048576 E1:E3">
    <cfRule type="duplicateValues" dxfId="14" priority="11"/>
  </conditionalFormatting>
  <hyperlinks>
    <hyperlink ref="L4" r:id="rId1" display="jbahn@cu.co.kr" xr:uid="{9259E008-84C6-4691-BA32-7E93F4129540}"/>
    <hyperlink ref="L11" r:id="rId2" xr:uid="{8C58A226-78CB-413F-9289-C8C5E7354EAC}"/>
    <hyperlink ref="L12" r:id="rId3" xr:uid="{971C36FD-2447-4EDF-91EF-F28AA9EE19F0}"/>
    <hyperlink ref="L13" r:id="rId4" xr:uid="{6BE1C266-4B02-49B2-8B0B-7747D68E0B28}"/>
    <hyperlink ref="L15" r:id="rId5" xr:uid="{83EA04AB-202A-4883-A63F-B05A2676DED4}"/>
    <hyperlink ref="L14" r:id="rId6" xr:uid="{8A919AE7-E0D4-40A0-8B88-3373F5A1DE01}"/>
    <hyperlink ref="L17" r:id="rId7" xr:uid="{9D328D2B-7EDC-4772-A208-263C8054997F}"/>
    <hyperlink ref="L5" r:id="rId8" xr:uid="{6A4B87C0-881F-487D-8D12-7FC05EB2DB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94A1-6C9A-4C98-9B09-986404222312}">
  <dimension ref="A1:H35"/>
  <sheetViews>
    <sheetView workbookViewId="0">
      <selection activeCell="A3" sqref="A3"/>
    </sheetView>
  </sheetViews>
  <sheetFormatPr defaultRowHeight="16.5" x14ac:dyDescent="0.3"/>
  <cols>
    <col min="2" max="2" width="18.125" customWidth="1"/>
    <col min="3" max="3" width="16" customWidth="1"/>
    <col min="4" max="4" width="89.125" customWidth="1"/>
    <col min="5" max="8" width="16" customWidth="1"/>
  </cols>
  <sheetData>
    <row r="1" spans="1:8" x14ac:dyDescent="0.3">
      <c r="A1" s="22" t="s">
        <v>26</v>
      </c>
      <c r="B1" s="25"/>
      <c r="C1" s="43"/>
      <c r="D1" s="22"/>
      <c r="F1" t="s">
        <v>27</v>
      </c>
      <c r="G1">
        <v>2</v>
      </c>
    </row>
    <row r="2" spans="1:8" x14ac:dyDescent="0.3">
      <c r="A2" s="22" t="s">
        <v>28</v>
      </c>
      <c r="B2" s="25"/>
      <c r="C2" s="43"/>
      <c r="D2" s="22"/>
    </row>
    <row r="3" spans="1:8" x14ac:dyDescent="0.3">
      <c r="A3" s="44" t="s">
        <v>0</v>
      </c>
      <c r="B3" s="44" t="s">
        <v>29</v>
      </c>
      <c r="C3" s="45" t="s">
        <v>30</v>
      </c>
      <c r="D3" s="44" t="s">
        <v>31</v>
      </c>
      <c r="E3" s="44" t="s">
        <v>32</v>
      </c>
      <c r="F3" s="44" t="s">
        <v>33</v>
      </c>
      <c r="G3" s="25"/>
      <c r="H3" s="44" t="s">
        <v>34</v>
      </c>
    </row>
    <row r="4" spans="1:8" x14ac:dyDescent="0.3">
      <c r="A4" s="8">
        <v>1</v>
      </c>
      <c r="B4" s="8" t="s">
        <v>35</v>
      </c>
      <c r="C4" s="21">
        <v>20000000000</v>
      </c>
      <c r="D4" s="46">
        <v>0.06</v>
      </c>
      <c r="E4" s="46">
        <v>0.01</v>
      </c>
      <c r="F4" s="47">
        <f>D4+E4/$G$1</f>
        <v>6.5000000000000002E-2</v>
      </c>
      <c r="H4" s="21">
        <f>C4*E4</f>
        <v>200000000</v>
      </c>
    </row>
    <row r="5" spans="1:8" x14ac:dyDescent="0.3">
      <c r="A5" s="8">
        <v>2</v>
      </c>
      <c r="B5" s="8" t="s">
        <v>36</v>
      </c>
      <c r="C5" s="21">
        <v>10000000000</v>
      </c>
      <c r="D5" s="46">
        <v>0.06</v>
      </c>
      <c r="E5" s="46">
        <v>0.01</v>
      </c>
      <c r="F5" s="47">
        <f t="shared" ref="F5:F6" si="0">D5+E5/$G$1</f>
        <v>6.5000000000000002E-2</v>
      </c>
      <c r="H5" s="21">
        <f t="shared" ref="H5:H6" si="1">C5*E5</f>
        <v>100000000</v>
      </c>
    </row>
    <row r="6" spans="1:8" x14ac:dyDescent="0.3">
      <c r="A6" s="8">
        <v>3</v>
      </c>
      <c r="B6" s="8" t="s">
        <v>37</v>
      </c>
      <c r="C6" s="21">
        <v>8000000000</v>
      </c>
      <c r="D6" s="46">
        <v>0.06</v>
      </c>
      <c r="E6" s="46">
        <v>0.01</v>
      </c>
      <c r="F6" s="47">
        <f t="shared" si="0"/>
        <v>6.5000000000000002E-2</v>
      </c>
      <c r="H6" s="21">
        <f t="shared" si="1"/>
        <v>80000000</v>
      </c>
    </row>
    <row r="7" spans="1:8" x14ac:dyDescent="0.3">
      <c r="A7" s="60" t="s">
        <v>38</v>
      </c>
      <c r="B7" s="60"/>
      <c r="C7" s="21">
        <f>SUM(C4:C6)</f>
        <v>38000000000</v>
      </c>
      <c r="D7" s="48"/>
      <c r="E7" s="48"/>
      <c r="F7" s="49"/>
      <c r="H7" s="3"/>
    </row>
    <row r="8" spans="1:8" x14ac:dyDescent="0.3">
      <c r="A8" s="50"/>
      <c r="B8" s="50"/>
      <c r="C8" s="50"/>
      <c r="D8" s="50"/>
      <c r="E8" s="50"/>
      <c r="F8" s="50"/>
      <c r="G8" s="50"/>
      <c r="H8" s="50"/>
    </row>
    <row r="9" spans="1:8" x14ac:dyDescent="0.3">
      <c r="A9" s="50" t="s">
        <v>39</v>
      </c>
      <c r="B9" s="50"/>
      <c r="C9" s="50"/>
      <c r="D9" s="50"/>
      <c r="E9" s="50"/>
      <c r="F9" s="50"/>
      <c r="G9" s="50"/>
      <c r="H9" s="50"/>
    </row>
    <row r="10" spans="1:8" x14ac:dyDescent="0.3">
      <c r="A10" s="51" t="s">
        <v>40</v>
      </c>
      <c r="B10" s="50"/>
      <c r="C10" s="50"/>
      <c r="D10" s="50"/>
      <c r="E10" s="50"/>
      <c r="F10" s="50"/>
      <c r="G10" s="50"/>
      <c r="H10" s="50"/>
    </row>
    <row r="11" spans="1:8" x14ac:dyDescent="0.3">
      <c r="A11" s="44" t="s">
        <v>0</v>
      </c>
      <c r="B11" s="44" t="s">
        <v>29</v>
      </c>
      <c r="C11" s="45" t="s">
        <v>30</v>
      </c>
      <c r="D11" s="44" t="s">
        <v>31</v>
      </c>
      <c r="E11" s="44" t="s">
        <v>32</v>
      </c>
      <c r="F11" s="44" t="s">
        <v>33</v>
      </c>
      <c r="G11" s="25"/>
      <c r="H11" s="44" t="s">
        <v>34</v>
      </c>
    </row>
    <row r="12" spans="1:8" x14ac:dyDescent="0.3">
      <c r="A12" s="8">
        <v>1</v>
      </c>
      <c r="B12" s="8" t="s">
        <v>35</v>
      </c>
      <c r="C12" s="21">
        <v>20000000000</v>
      </c>
      <c r="D12" s="46">
        <v>0.06</v>
      </c>
      <c r="E12" s="46">
        <v>0.01</v>
      </c>
      <c r="F12" s="47">
        <f>D12+E12/$G$1</f>
        <v>6.5000000000000002E-2</v>
      </c>
      <c r="H12" s="21">
        <f>C12*E12</f>
        <v>200000000</v>
      </c>
    </row>
    <row r="13" spans="1:8" x14ac:dyDescent="0.3">
      <c r="A13" s="8">
        <v>2</v>
      </c>
      <c r="B13" s="8" t="s">
        <v>36</v>
      </c>
      <c r="C13" s="21">
        <v>10000000000</v>
      </c>
      <c r="D13" s="46">
        <v>0.06</v>
      </c>
      <c r="E13" s="52">
        <v>6.4000000000000003E-3</v>
      </c>
      <c r="F13" s="47">
        <f t="shared" ref="F13:F14" si="2">D13+E13/$G$1</f>
        <v>6.3199999999999992E-2</v>
      </c>
      <c r="H13" s="21">
        <f t="shared" ref="H13:H14" si="3">C13*E13</f>
        <v>64000000</v>
      </c>
    </row>
    <row r="14" spans="1:8" x14ac:dyDescent="0.3">
      <c r="A14" s="8">
        <v>3</v>
      </c>
      <c r="B14" s="8" t="s">
        <v>37</v>
      </c>
      <c r="C14" s="21">
        <v>8000000000</v>
      </c>
      <c r="D14" s="46">
        <v>0.06</v>
      </c>
      <c r="E14" s="46">
        <v>0.01</v>
      </c>
      <c r="F14" s="47">
        <f t="shared" si="2"/>
        <v>6.5000000000000002E-2</v>
      </c>
      <c r="H14" s="21">
        <f t="shared" si="3"/>
        <v>80000000</v>
      </c>
    </row>
    <row r="15" spans="1:8" x14ac:dyDescent="0.3">
      <c r="A15" s="60" t="s">
        <v>38</v>
      </c>
      <c r="B15" s="60"/>
      <c r="C15" s="21">
        <f>SUM(C12:C14)</f>
        <v>38000000000</v>
      </c>
      <c r="D15" s="48"/>
      <c r="E15" s="48"/>
      <c r="F15" s="49"/>
      <c r="H15" s="3"/>
    </row>
    <row r="16" spans="1:8" x14ac:dyDescent="0.3">
      <c r="A16" s="50"/>
      <c r="B16" s="50"/>
      <c r="C16" s="50"/>
      <c r="D16" s="50"/>
      <c r="E16" s="50"/>
      <c r="F16" s="50"/>
      <c r="G16" s="50"/>
      <c r="H16" s="50"/>
    </row>
    <row r="17" spans="1:8" x14ac:dyDescent="0.3">
      <c r="A17" s="51" t="s">
        <v>41</v>
      </c>
      <c r="B17" s="50"/>
      <c r="C17" s="50"/>
      <c r="D17" s="50"/>
      <c r="E17" s="50"/>
      <c r="F17" s="50"/>
      <c r="G17" s="50"/>
      <c r="H17" s="50"/>
    </row>
    <row r="18" spans="1:8" x14ac:dyDescent="0.3">
      <c r="A18" s="44" t="s">
        <v>0</v>
      </c>
      <c r="B18" s="44" t="s">
        <v>29</v>
      </c>
      <c r="C18" s="45" t="s">
        <v>30</v>
      </c>
      <c r="D18" s="44"/>
      <c r="E18" s="44" t="s">
        <v>32</v>
      </c>
      <c r="F18" s="44" t="s">
        <v>33</v>
      </c>
      <c r="G18" s="25"/>
      <c r="H18" s="44" t="s">
        <v>34</v>
      </c>
    </row>
    <row r="19" spans="1:8" x14ac:dyDescent="0.3">
      <c r="A19" s="8">
        <v>2</v>
      </c>
      <c r="B19" s="8" t="s">
        <v>36</v>
      </c>
      <c r="C19" s="21">
        <v>3000000000</v>
      </c>
      <c r="D19" s="46"/>
      <c r="E19" s="52">
        <v>1.2E-2</v>
      </c>
      <c r="F19" s="47">
        <f t="shared" ref="F19" si="4">D19+E19/$G$1</f>
        <v>6.0000000000000001E-3</v>
      </c>
      <c r="H19" s="21">
        <f t="shared" ref="H19" si="5">C19*E19</f>
        <v>36000000</v>
      </c>
    </row>
    <row r="20" spans="1:8" x14ac:dyDescent="0.3">
      <c r="A20" s="50"/>
      <c r="B20" s="50"/>
      <c r="C20" s="50"/>
      <c r="D20" s="50"/>
      <c r="E20" s="50"/>
      <c r="F20" s="50"/>
      <c r="G20" s="50"/>
      <c r="H20" s="50"/>
    </row>
    <row r="23" spans="1:8" x14ac:dyDescent="0.3">
      <c r="A23" s="22" t="s">
        <v>42</v>
      </c>
      <c r="B23" s="25"/>
      <c r="C23" s="43"/>
      <c r="D23" s="22"/>
    </row>
    <row r="24" spans="1:8" x14ac:dyDescent="0.3">
      <c r="A24" s="44" t="s">
        <v>0</v>
      </c>
      <c r="B24" s="44" t="s">
        <v>29</v>
      </c>
      <c r="C24" s="45" t="s">
        <v>30</v>
      </c>
      <c r="D24" s="53" t="s">
        <v>43</v>
      </c>
    </row>
    <row r="25" spans="1:8" ht="82.5" x14ac:dyDescent="0.3">
      <c r="A25" s="4">
        <v>1</v>
      </c>
      <c r="B25" s="4" t="s">
        <v>35</v>
      </c>
      <c r="C25" s="54">
        <v>20000000000</v>
      </c>
      <c r="D25" s="55" t="s">
        <v>44</v>
      </c>
    </row>
    <row r="26" spans="1:8" ht="82.5" x14ac:dyDescent="0.3">
      <c r="A26" s="8">
        <v>2</v>
      </c>
      <c r="B26" s="8" t="s">
        <v>36</v>
      </c>
      <c r="C26" s="21">
        <v>10000000000</v>
      </c>
      <c r="D26" s="56" t="s">
        <v>45</v>
      </c>
    </row>
    <row r="27" spans="1:8" ht="82.5" x14ac:dyDescent="0.3">
      <c r="A27" s="8">
        <v>3</v>
      </c>
      <c r="B27" s="8" t="s">
        <v>37</v>
      </c>
      <c r="C27" s="21">
        <v>8000000000</v>
      </c>
      <c r="D27" s="56" t="s">
        <v>46</v>
      </c>
    </row>
    <row r="28" spans="1:8" x14ac:dyDescent="0.3">
      <c r="A28" s="60" t="s">
        <v>38</v>
      </c>
      <c r="B28" s="60"/>
      <c r="C28" s="21">
        <f>SUM(C25:C27)</f>
        <v>38000000000</v>
      </c>
      <c r="D28" s="48"/>
    </row>
    <row r="29" spans="1:8" x14ac:dyDescent="0.3">
      <c r="A29" s="25"/>
      <c r="B29" s="25"/>
      <c r="C29" s="43"/>
      <c r="D29" s="22"/>
    </row>
    <row r="30" spans="1:8" x14ac:dyDescent="0.3">
      <c r="A30" s="22" t="s">
        <v>47</v>
      </c>
      <c r="B30" s="25"/>
      <c r="C30" s="43"/>
      <c r="D30" s="22"/>
    </row>
    <row r="31" spans="1:8" x14ac:dyDescent="0.3">
      <c r="A31" s="44" t="s">
        <v>0</v>
      </c>
      <c r="B31" s="44" t="s">
        <v>29</v>
      </c>
      <c r="C31" s="45" t="s">
        <v>30</v>
      </c>
      <c r="D31" s="22"/>
    </row>
    <row r="32" spans="1:8" x14ac:dyDescent="0.3">
      <c r="A32" s="8">
        <v>1</v>
      </c>
      <c r="B32" s="8" t="s">
        <v>35</v>
      </c>
      <c r="C32" s="21">
        <v>20000000000</v>
      </c>
      <c r="D32" s="22"/>
    </row>
    <row r="33" spans="1:4" x14ac:dyDescent="0.3">
      <c r="A33" s="8">
        <v>2</v>
      </c>
      <c r="B33" s="8" t="s">
        <v>36</v>
      </c>
      <c r="C33" s="21">
        <v>10000000000</v>
      </c>
      <c r="D33" s="22"/>
    </row>
    <row r="34" spans="1:4" x14ac:dyDescent="0.3">
      <c r="A34" s="8">
        <v>3</v>
      </c>
      <c r="B34" s="8" t="s">
        <v>37</v>
      </c>
      <c r="C34" s="21">
        <v>8000000000</v>
      </c>
      <c r="D34" s="22"/>
    </row>
    <row r="35" spans="1:4" x14ac:dyDescent="0.3">
      <c r="A35" s="25"/>
      <c r="B35" s="25"/>
      <c r="C35" s="43"/>
      <c r="D35" s="22"/>
    </row>
  </sheetData>
  <mergeCells count="3">
    <mergeCell ref="A7:B7"/>
    <mergeCell ref="A15:B15"/>
    <mergeCell ref="A28:B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통합 통지처</vt:lpstr>
      <vt:lpstr>선순위</vt:lpstr>
      <vt:lpstr>신협통지처(최종)</vt:lpstr>
      <vt:lpstr>신협통지처</vt:lpstr>
      <vt:lpstr>중순위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용현(Yonghyeon,Ahn)</dc:creator>
  <cp:lastModifiedBy>안 용현(Yonghyeon,Ahn)</cp:lastModifiedBy>
  <dcterms:created xsi:type="dcterms:W3CDTF">2026-10-12T09:55:32Z</dcterms:created>
  <dcterms:modified xsi:type="dcterms:W3CDTF">2026-10-13T08:17:10Z</dcterms:modified>
</cp:coreProperties>
</file>