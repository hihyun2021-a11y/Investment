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체크리스트" sheetId="1" state="visible" r:id="rId1"/>
  </sheets>
  <definedNames>
    <definedName name="_xlnm._FilterDatabase" localSheetId="0" hidden="1">'체크리스트'!$A$6:$M$51</definedName>
    <definedName name="_xlnm.Print_Titles" localSheetId="0">'체크리스트'!$6:$6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595959"/>
      <sz val="10"/>
    </font>
    <font>
      <name val="맑은 고딕"/>
      <b val="1"/>
      <sz val="10"/>
    </font>
    <font>
      <name val="맑은 고딕"/>
      <b val="1"/>
      <color rgb="00FFFFFF"/>
      <sz val="10"/>
    </font>
    <font>
      <name val="맑은 고딕"/>
      <b val="1"/>
      <sz val="11"/>
    </font>
    <font>
      <name val="맑은 고딕"/>
      <sz val="10"/>
    </font>
    <font>
      <name val="맑은 고딕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dxfs count="4">
    <dxf>
      <font>
        <color rgb="007F7F7F"/>
      </font>
      <fill>
        <patternFill patternType="solid">
          <fgColor rgb="00E2EFDA"/>
        </patternFill>
      </fill>
    </dxf>
    <dxf>
      <font>
        <strike val="1"/>
        <color rgb="00A6A6A6"/>
      </font>
      <fill>
        <patternFill patternType="solid">
          <fgColor rgb="00EDEDED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6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52" customWidth="1" min="4" max="4"/>
    <col width="15" customWidth="1" min="5" max="5"/>
    <col width="24" customWidth="1" min="6" max="6"/>
    <col width="28" customWidth="1" min="7" max="7"/>
    <col width="12" customWidth="1" min="8" max="8"/>
    <col width="13" customWidth="1" min="9" max="9"/>
    <col width="22" customWidth="1" min="10" max="10"/>
    <col width="11" customWidth="1" min="11" max="11"/>
    <col width="12" customWidth="1" min="12" max="12"/>
    <col width="34" customWidth="1" min="13" max="13"/>
  </cols>
  <sheetData>
    <row r="1">
      <c r="A1" s="1" t="inlineStr">
        <is>
          <t>안양물류센터 — 차주(코람코라이프로지스) 제출서류·날인·인출일 업무 체크리스트</t>
        </is>
      </c>
    </row>
    <row r="2" ht="30" customHeight="1">
      <c r="A2" s="2" t="inlineStr">
        <is>
          <t>기준 일정: 10/26 이사회·주총 → 10/27 약정 체결·주금 납입 → 10/28 인출요청 → 10/29 인출·등기 접수. 출처: 세한 신탁등기(10/13)·소유권이전등기(10/22) 필요서류, 태평양 대출 체크리스트. 사본은 원본대조필, 원본 증명서는 3개월 이내 발급분.</t>
        </is>
      </c>
    </row>
    <row r="4">
      <c r="A4" s="3" t="inlineStr">
        <is>
          <t>진행 현황</t>
        </is>
      </c>
      <c r="B4" s="4" t="inlineStr">
        <is>
          <t>전체</t>
        </is>
      </c>
      <c r="C4" s="4" t="inlineStr">
        <is>
          <t>완료</t>
        </is>
      </c>
      <c r="D4" s="4" t="inlineStr">
        <is>
          <t>진행중</t>
        </is>
      </c>
      <c r="E4" s="4" t="inlineStr">
        <is>
          <t>미착수</t>
        </is>
      </c>
      <c r="F4" s="4" t="inlineStr">
        <is>
          <t>해당없음</t>
        </is>
      </c>
      <c r="G4" s="4" t="inlineStr">
        <is>
          <t>진행률</t>
        </is>
      </c>
      <c r="H4" s="4" t="inlineStr">
        <is>
          <t>기한 경과·미완료</t>
        </is>
      </c>
    </row>
    <row r="5">
      <c r="B5" s="5">
        <f>COUNTA($D$7:$D$51)</f>
        <v/>
      </c>
      <c r="C5" s="5">
        <f>COUNTIF($K$7:$K$51,"완료")</f>
        <v/>
      </c>
      <c r="D5" s="5">
        <f>COUNTIF($K$7:$K$51,"진행중")</f>
        <v/>
      </c>
      <c r="E5" s="5">
        <f>COUNTIF($K$7:$K$51,"미착수")</f>
        <v/>
      </c>
      <c r="F5" s="5">
        <f>COUNTIF($K$7:$K$51,"해당없음")</f>
        <v/>
      </c>
      <c r="G5" s="6">
        <f>IFERROR(C5/(B5-F5),0)</f>
        <v/>
      </c>
      <c r="H5" s="5">
        <f>SUMPRODUCT(($H$7:$H$51&lt;TODAY())*($K$7:$K$51&lt;&gt;"완료")*($K$7:$K$51&lt;&gt;"해당없음"))</f>
        <v/>
      </c>
    </row>
    <row r="6" ht="22" customHeight="1">
      <c r="A6" s="4" t="inlineStr">
        <is>
          <t>No</t>
        </is>
      </c>
      <c r="B6" s="4" t="inlineStr">
        <is>
          <t>단계</t>
        </is>
      </c>
      <c r="C6" s="4" t="inlineStr">
        <is>
          <t>구분</t>
        </is>
      </c>
      <c r="D6" s="4" t="inlineStr">
        <is>
          <t>서류·업무</t>
        </is>
      </c>
      <c r="E6" s="4" t="inlineStr">
        <is>
          <t>부수·금액</t>
        </is>
      </c>
      <c r="F6" s="4" t="inlineStr">
        <is>
          <t>날인·형식</t>
        </is>
      </c>
      <c r="G6" s="4" t="inlineStr">
        <is>
          <t>제출처</t>
        </is>
      </c>
      <c r="H6" s="4" t="inlineStr">
        <is>
          <t>기한</t>
        </is>
      </c>
      <c r="I6" s="4" t="inlineStr">
        <is>
          <t>담당</t>
        </is>
      </c>
      <c r="J6" s="4" t="inlineStr">
        <is>
          <t>출처</t>
        </is>
      </c>
      <c r="K6" s="4" t="inlineStr">
        <is>
          <t>진행상태</t>
        </is>
      </c>
      <c r="L6" s="4" t="inlineStr">
        <is>
          <t>완료일</t>
        </is>
      </c>
      <c r="M6" s="4" t="inlineStr">
        <is>
          <t>비고·메모</t>
        </is>
      </c>
    </row>
    <row r="7">
      <c r="A7" s="7" t="n">
        <v>1</v>
      </c>
      <c r="B7" s="8" t="inlineStr">
        <is>
          <t>1. 발급 서류</t>
        </is>
      </c>
      <c r="C7" s="7" t="inlineStr">
        <is>
          <t>법인서류</t>
        </is>
      </c>
      <c r="D7" s="9" t="inlineStr">
        <is>
          <t>법인인감증명서</t>
        </is>
      </c>
      <c r="E7" s="7" t="inlineStr">
        <is>
          <t>4부</t>
        </is>
      </c>
      <c r="F7" s="9" t="inlineStr">
        <is>
          <t>원본(3개월 내)</t>
        </is>
      </c>
      <c r="G7" s="9" t="inlineStr">
        <is>
          <t>세한 3부(이전 2·신탁 1), 태평양 1부</t>
        </is>
      </c>
      <c r="H7" s="10" t="n">
        <v>46322</v>
      </c>
      <c r="I7" s="7" t="inlineStr">
        <is>
          <t>사무수탁사</t>
        </is>
      </c>
      <c r="J7" s="9" t="inlineStr">
        <is>
          <t>세한(소유권이전)·세한(신탁등기)·태평양 체크리스트</t>
        </is>
      </c>
      <c r="K7" s="11" t="inlineStr">
        <is>
          <t>미착수</t>
        </is>
      </c>
      <c r="L7" s="12" t="n"/>
      <c r="M7" s="13" t="inlineStr">
        <is>
          <t>10/26~27 발급 권장</t>
        </is>
      </c>
    </row>
    <row r="8">
      <c r="A8" s="7" t="n">
        <v>2</v>
      </c>
      <c r="B8" s="9" t="inlineStr">
        <is>
          <t>1. 발급 서류</t>
        </is>
      </c>
      <c r="C8" s="7" t="inlineStr">
        <is>
          <t>법인서류</t>
        </is>
      </c>
      <c r="D8" s="9" t="inlineStr">
        <is>
          <t>법인등기사항전부증명서</t>
        </is>
      </c>
      <c r="E8" s="7" t="inlineStr">
        <is>
          <t>3부</t>
        </is>
      </c>
      <c r="F8" s="9" t="inlineStr">
        <is>
          <t>원본(3개월 내)</t>
        </is>
      </c>
      <c r="G8" s="9" t="inlineStr">
        <is>
          <t>세한 2부(이전 1·신탁 1), 태평양 1부</t>
        </is>
      </c>
      <c r="H8" s="10" t="n">
        <v>46322</v>
      </c>
      <c r="I8" s="7" t="inlineStr">
        <is>
          <t>사무수탁사</t>
        </is>
      </c>
      <c r="J8" s="9" t="inlineStr">
        <is>
          <t>세한(소유권이전)·세한(신탁등기)·태평양 체크리스트</t>
        </is>
      </c>
      <c r="K8" s="11" t="inlineStr">
        <is>
          <t>미착수</t>
        </is>
      </c>
      <c r="L8" s="12" t="n"/>
      <c r="M8" s="13" t="inlineStr"/>
    </row>
    <row r="9">
      <c r="A9" s="7" t="n">
        <v>3</v>
      </c>
      <c r="B9" s="9" t="inlineStr">
        <is>
          <t>1. 발급 서류</t>
        </is>
      </c>
      <c r="C9" s="7" t="inlineStr">
        <is>
          <t>납세</t>
        </is>
      </c>
      <c r="D9" s="9" t="inlineStr">
        <is>
          <t>지방세 납세증명서(신탁등기용)</t>
        </is>
      </c>
      <c r="E9" s="7" t="inlineStr">
        <is>
          <t>1부</t>
        </is>
      </c>
      <c r="F9" s="9" t="inlineStr">
        <is>
          <t>원본</t>
        </is>
      </c>
      <c r="G9" s="9" t="inlineStr">
        <is>
          <t>세한</t>
        </is>
      </c>
      <c r="H9" s="10" t="n">
        <v>46323</v>
      </c>
      <c r="I9" s="7" t="inlineStr">
        <is>
          <t>사무수탁사</t>
        </is>
      </c>
      <c r="J9" s="9" t="inlineStr">
        <is>
          <t>세한(신탁등기)</t>
        </is>
      </c>
      <c r="K9" s="11" t="inlineStr">
        <is>
          <t>미착수</t>
        </is>
      </c>
      <c r="L9" s="12" t="n"/>
      <c r="M9" s="13" t="inlineStr">
        <is>
          <t>담보부동산 목록(관양동 934·934-1·912-2 토지, 건물) 정확히 기재</t>
        </is>
      </c>
    </row>
    <row r="10">
      <c r="A10" s="7" t="n">
        <v>4</v>
      </c>
      <c r="B10" s="9" t="inlineStr">
        <is>
          <t>1. 발급 서류</t>
        </is>
      </c>
      <c r="C10" s="7" t="inlineStr">
        <is>
          <t>납세</t>
        </is>
      </c>
      <c r="D10" s="9" t="inlineStr">
        <is>
          <t>국세 완납증명서</t>
        </is>
      </c>
      <c r="E10" s="7" t="inlineStr">
        <is>
          <t>1부</t>
        </is>
      </c>
      <c r="F10" s="9" t="inlineStr">
        <is>
          <t>원본</t>
        </is>
      </c>
      <c r="G10" s="9" t="inlineStr">
        <is>
          <t>태평양(대주)</t>
        </is>
      </c>
      <c r="H10" s="10" t="n">
        <v>46322</v>
      </c>
      <c r="I10" s="7" t="inlineStr">
        <is>
          <t>사무수탁사</t>
        </is>
      </c>
      <c r="J10" s="9" t="inlineStr">
        <is>
          <t>태평양 체크리스트</t>
        </is>
      </c>
      <c r="K10" s="11" t="inlineStr">
        <is>
          <t>미착수</t>
        </is>
      </c>
      <c r="L10" s="12" t="n"/>
      <c r="M10" s="13" t="inlineStr">
        <is>
          <t>인출선행조건</t>
        </is>
      </c>
    </row>
    <row r="11">
      <c r="A11" s="7" t="n">
        <v>5</v>
      </c>
      <c r="B11" s="9" t="inlineStr">
        <is>
          <t>1. 발급 서류</t>
        </is>
      </c>
      <c r="C11" s="7" t="inlineStr">
        <is>
          <t>납세</t>
        </is>
      </c>
      <c r="D11" s="9" t="inlineStr">
        <is>
          <t>지방세 완납증명서</t>
        </is>
      </c>
      <c r="E11" s="7" t="inlineStr">
        <is>
          <t>1부</t>
        </is>
      </c>
      <c r="F11" s="9" t="inlineStr">
        <is>
          <t>원본</t>
        </is>
      </c>
      <c r="G11" s="9" t="inlineStr">
        <is>
          <t>태평양(대주)</t>
        </is>
      </c>
      <c r="H11" s="10" t="n">
        <v>46322</v>
      </c>
      <c r="I11" s="7" t="inlineStr">
        <is>
          <t>사무수탁사</t>
        </is>
      </c>
      <c r="J11" s="9" t="inlineStr">
        <is>
          <t>태평양 체크리스트</t>
        </is>
      </c>
      <c r="K11" s="11" t="inlineStr">
        <is>
          <t>미착수</t>
        </is>
      </c>
      <c r="L11" s="12" t="n"/>
      <c r="M11" s="13" t="inlineStr">
        <is>
          <t>인출선행조건</t>
        </is>
      </c>
    </row>
    <row r="12">
      <c r="A12" s="7" t="n">
        <v>6</v>
      </c>
      <c r="B12" s="9" t="inlineStr">
        <is>
          <t>1. 발급 서류</t>
        </is>
      </c>
      <c r="C12" s="7" t="inlineStr">
        <is>
          <t>법인서류</t>
        </is>
      </c>
      <c r="D12" s="9" t="inlineStr">
        <is>
          <t>사업자등록증 사본</t>
        </is>
      </c>
      <c r="E12" s="7" t="inlineStr">
        <is>
          <t>1부</t>
        </is>
      </c>
      <c r="F12" s="9" t="inlineStr">
        <is>
          <t>원본대조필</t>
        </is>
      </c>
      <c r="G12" s="9" t="inlineStr">
        <is>
          <t>태평양(대주)</t>
        </is>
      </c>
      <c r="H12" s="10" t="n">
        <v>46322</v>
      </c>
      <c r="I12" s="7" t="inlineStr">
        <is>
          <t>사무수탁사</t>
        </is>
      </c>
      <c r="J12" s="9" t="inlineStr">
        <is>
          <t>태평양 체크리스트</t>
        </is>
      </c>
      <c r="K12" s="11" t="inlineStr">
        <is>
          <t>미착수</t>
        </is>
      </c>
      <c r="L12" s="12" t="n"/>
      <c r="M12" s="13" t="inlineStr"/>
    </row>
    <row r="13">
      <c r="A13" s="7" t="n">
        <v>7</v>
      </c>
      <c r="B13" s="9" t="inlineStr">
        <is>
          <t>1. 발급 서류</t>
        </is>
      </c>
      <c r="C13" s="7" t="inlineStr">
        <is>
          <t>법인서류</t>
        </is>
      </c>
      <c r="D13" s="9" t="inlineStr">
        <is>
          <t>정관 사본</t>
        </is>
      </c>
      <c r="E13" s="7" t="inlineStr">
        <is>
          <t>1부</t>
        </is>
      </c>
      <c r="F13" s="9" t="inlineStr">
        <is>
          <t>원본대조필</t>
        </is>
      </c>
      <c r="G13" s="9" t="inlineStr">
        <is>
          <t>태평양(대주)</t>
        </is>
      </c>
      <c r="H13" s="10" t="n">
        <v>46322</v>
      </c>
      <c r="I13" s="7" t="inlineStr">
        <is>
          <t>사무수탁사</t>
        </is>
      </c>
      <c r="J13" s="9" t="inlineStr">
        <is>
          <t>태평양 체크리스트</t>
        </is>
      </c>
      <c r="K13" s="11" t="inlineStr">
        <is>
          <t>미착수</t>
        </is>
      </c>
      <c r="L13" s="12" t="n"/>
      <c r="M13" s="13" t="inlineStr"/>
    </row>
    <row r="14">
      <c r="A14" s="7" t="n">
        <v>8</v>
      </c>
      <c r="B14" s="9" t="inlineStr">
        <is>
          <t>1. 발급 서류</t>
        </is>
      </c>
      <c r="C14" s="7" t="inlineStr">
        <is>
          <t>법인서류</t>
        </is>
      </c>
      <c r="D14" s="9" t="inlineStr">
        <is>
          <t>이사회의사록 사본(대출약정 체결 승인, 10/26)</t>
        </is>
      </c>
      <c r="E14" s="7" t="inlineStr">
        <is>
          <t>1부</t>
        </is>
      </c>
      <c r="F14" s="9" t="inlineStr">
        <is>
          <t>원본대조필</t>
        </is>
      </c>
      <c r="G14" s="9" t="inlineStr">
        <is>
          <t>태평양(대주)</t>
        </is>
      </c>
      <c r="H14" s="10" t="n">
        <v>46322</v>
      </c>
      <c r="I14" s="7" t="inlineStr">
        <is>
          <t>사무수탁사</t>
        </is>
      </c>
      <c r="J14" s="9" t="inlineStr">
        <is>
          <t>태평양 체크리스트</t>
        </is>
      </c>
      <c r="K14" s="11" t="inlineStr">
        <is>
          <t>미착수</t>
        </is>
      </c>
      <c r="L14" s="12" t="n"/>
      <c r="M14" s="13" t="inlineStr"/>
    </row>
    <row r="15">
      <c r="A15" s="7" t="n">
        <v>9</v>
      </c>
      <c r="B15" s="9" t="inlineStr">
        <is>
          <t>1. 발급 서류</t>
        </is>
      </c>
      <c r="C15" s="7" t="inlineStr">
        <is>
          <t>계좌</t>
        </is>
      </c>
      <c r="D15" s="9" t="inlineStr">
        <is>
          <t>프로젝트계좌 통장 사본 – 대출금입금계좌(1005-504-949583)</t>
        </is>
      </c>
      <c r="E15" s="7" t="inlineStr">
        <is>
          <t>1부</t>
        </is>
      </c>
      <c r="F15" s="9" t="inlineStr">
        <is>
          <t>원본대조필</t>
        </is>
      </c>
      <c r="G15" s="9" t="inlineStr">
        <is>
          <t>태평양(대주)</t>
        </is>
      </c>
      <c r="H15" s="10" t="n">
        <v>46322</v>
      </c>
      <c r="I15" s="7" t="inlineStr">
        <is>
          <t>사무수탁사</t>
        </is>
      </c>
      <c r="J15" s="9" t="inlineStr">
        <is>
          <t>태평양 체크리스트</t>
        </is>
      </c>
      <c r="K15" s="11" t="inlineStr">
        <is>
          <t>미착수</t>
        </is>
      </c>
      <c r="L15" s="12" t="n"/>
      <c r="M15" s="13" t="inlineStr"/>
    </row>
    <row r="16">
      <c r="A16" s="7" t="n">
        <v>10</v>
      </c>
      <c r="B16" s="9" t="inlineStr">
        <is>
          <t>1. 발급 서류</t>
        </is>
      </c>
      <c r="C16" s="7" t="inlineStr">
        <is>
          <t>계좌</t>
        </is>
      </c>
      <c r="D16" s="9" t="inlineStr">
        <is>
          <t>프로젝트계좌 통장 사본 – 수입금계좌(1005-104-954081)</t>
        </is>
      </c>
      <c r="E16" s="7" t="inlineStr">
        <is>
          <t>1부</t>
        </is>
      </c>
      <c r="F16" s="9" t="inlineStr">
        <is>
          <t>원본대조필</t>
        </is>
      </c>
      <c r="G16" s="9" t="inlineStr">
        <is>
          <t>태평양(대주)</t>
        </is>
      </c>
      <c r="H16" s="10" t="n">
        <v>46322</v>
      </c>
      <c r="I16" s="7" t="inlineStr">
        <is>
          <t>사무수탁사</t>
        </is>
      </c>
      <c r="J16" s="9" t="inlineStr">
        <is>
          <t>태평양 체크리스트</t>
        </is>
      </c>
      <c r="K16" s="11" t="inlineStr">
        <is>
          <t>미착수</t>
        </is>
      </c>
      <c r="L16" s="12" t="n"/>
      <c r="M16" s="13" t="inlineStr"/>
    </row>
    <row r="17">
      <c r="A17" s="7" t="n">
        <v>11</v>
      </c>
      <c r="B17" s="9" t="inlineStr">
        <is>
          <t>1. 발급 서류</t>
        </is>
      </c>
      <c r="C17" s="7" t="inlineStr">
        <is>
          <t>계좌</t>
        </is>
      </c>
      <c r="D17" s="9" t="inlineStr">
        <is>
          <t>프로젝트계좌 통장 사본 – 운영계좌(1005-804-963776)</t>
        </is>
      </c>
      <c r="E17" s="7" t="inlineStr">
        <is>
          <t>1부</t>
        </is>
      </c>
      <c r="F17" s="9" t="inlineStr">
        <is>
          <t>원본대조필</t>
        </is>
      </c>
      <c r="G17" s="9" t="inlineStr">
        <is>
          <t>태평양(대주)</t>
        </is>
      </c>
      <c r="H17" s="10" t="n">
        <v>46322</v>
      </c>
      <c r="I17" s="7" t="inlineStr">
        <is>
          <t>사무수탁사</t>
        </is>
      </c>
      <c r="J17" s="9" t="inlineStr">
        <is>
          <t>태평양 체크리스트</t>
        </is>
      </c>
      <c r="K17" s="11" t="inlineStr">
        <is>
          <t>미착수</t>
        </is>
      </c>
      <c r="L17" s="12" t="n"/>
      <c r="M17" s="13" t="inlineStr"/>
    </row>
    <row r="18">
      <c r="A18" s="7" t="n">
        <v>12</v>
      </c>
      <c r="B18" s="9" t="inlineStr">
        <is>
          <t>1. 발급 서류</t>
        </is>
      </c>
      <c r="C18" s="7" t="inlineStr">
        <is>
          <t>계좌</t>
        </is>
      </c>
      <c r="D18" s="9" t="inlineStr">
        <is>
          <t>프로젝트계좌 통장 사본 – Tranche A 이자유보계좌(1005-504-965088)</t>
        </is>
      </c>
      <c r="E18" s="7" t="inlineStr">
        <is>
          <t>1부</t>
        </is>
      </c>
      <c r="F18" s="9" t="inlineStr">
        <is>
          <t>원본대조필</t>
        </is>
      </c>
      <c r="G18" s="9" t="inlineStr">
        <is>
          <t>태평양(대주)</t>
        </is>
      </c>
      <c r="H18" s="10" t="n">
        <v>46322</v>
      </c>
      <c r="I18" s="7" t="inlineStr">
        <is>
          <t>사무수탁사</t>
        </is>
      </c>
      <c r="J18" s="9" t="inlineStr">
        <is>
          <t>태평양 체크리스트</t>
        </is>
      </c>
      <c r="K18" s="11" t="inlineStr">
        <is>
          <t>미착수</t>
        </is>
      </c>
      <c r="L18" s="12" t="n"/>
      <c r="M18" s="13" t="inlineStr"/>
    </row>
    <row r="19">
      <c r="A19" s="7" t="n">
        <v>13</v>
      </c>
      <c r="B19" s="9" t="inlineStr">
        <is>
          <t>1. 발급 서류</t>
        </is>
      </c>
      <c r="C19" s="7" t="inlineStr">
        <is>
          <t>계좌</t>
        </is>
      </c>
      <c r="D19" s="9" t="inlineStr">
        <is>
          <t>프로젝트계좌 통장 사본 – Tranche B 이자유보계좌(1005-504-970089)</t>
        </is>
      </c>
      <c r="E19" s="7" t="inlineStr">
        <is>
          <t>1부</t>
        </is>
      </c>
      <c r="F19" s="9" t="inlineStr">
        <is>
          <t>원본대조필</t>
        </is>
      </c>
      <c r="G19" s="9" t="inlineStr">
        <is>
          <t>태평양(대주)</t>
        </is>
      </c>
      <c r="H19" s="10" t="n">
        <v>46322</v>
      </c>
      <c r="I19" s="7" t="inlineStr">
        <is>
          <t>사무수탁사</t>
        </is>
      </c>
      <c r="J19" s="9" t="inlineStr">
        <is>
          <t>태평양 체크리스트</t>
        </is>
      </c>
      <c r="K19" s="11" t="inlineStr">
        <is>
          <t>미착수</t>
        </is>
      </c>
      <c r="L19" s="12" t="n"/>
      <c r="M19" s="13" t="inlineStr"/>
    </row>
    <row r="20">
      <c r="A20" s="7" t="n">
        <v>14</v>
      </c>
      <c r="B20" s="9" t="inlineStr">
        <is>
          <t>1. 발급 서류</t>
        </is>
      </c>
      <c r="C20" s="7" t="inlineStr">
        <is>
          <t>계좌</t>
        </is>
      </c>
      <c r="D20" s="9" t="inlineStr">
        <is>
          <t>프로젝트계좌 통장 사본 – 보험금수령계좌(1005-204-955717)</t>
        </is>
      </c>
      <c r="E20" s="7" t="inlineStr">
        <is>
          <t>1부</t>
        </is>
      </c>
      <c r="F20" s="9" t="inlineStr">
        <is>
          <t>원본대조필</t>
        </is>
      </c>
      <c r="G20" s="9" t="inlineStr">
        <is>
          <t>태평양(대주)</t>
        </is>
      </c>
      <c r="H20" s="10" t="n">
        <v>46322</v>
      </c>
      <c r="I20" s="7" t="inlineStr">
        <is>
          <t>사무수탁사</t>
        </is>
      </c>
      <c r="J20" s="9" t="inlineStr">
        <is>
          <t>태평양 체크리스트</t>
        </is>
      </c>
      <c r="K20" s="11" t="inlineStr">
        <is>
          <t>미착수</t>
        </is>
      </c>
      <c r="L20" s="12" t="n"/>
      <c r="M20" s="13" t="inlineStr"/>
    </row>
    <row r="21">
      <c r="A21" s="7" t="n">
        <v>15</v>
      </c>
      <c r="B21" s="9" t="inlineStr">
        <is>
          <t>1. 발급 서류</t>
        </is>
      </c>
      <c r="C21" s="7" t="inlineStr">
        <is>
          <t>계좌</t>
        </is>
      </c>
      <c r="D21" s="9" t="inlineStr">
        <is>
          <t>프로젝트계좌 통장 사본 – 임대차보증금계좌(1005-704-972584)</t>
        </is>
      </c>
      <c r="E21" s="7" t="inlineStr">
        <is>
          <t>1부</t>
        </is>
      </c>
      <c r="F21" s="9" t="inlineStr">
        <is>
          <t>원본대조필</t>
        </is>
      </c>
      <c r="G21" s="9" t="inlineStr">
        <is>
          <t>태평양(대주)</t>
        </is>
      </c>
      <c r="H21" s="10" t="n">
        <v>46322</v>
      </c>
      <c r="I21" s="7" t="inlineStr">
        <is>
          <t>사무수탁사</t>
        </is>
      </c>
      <c r="J21" s="9" t="inlineStr">
        <is>
          <t>태평양 체크리스트</t>
        </is>
      </c>
      <c r="K21" s="11" t="inlineStr">
        <is>
          <t>미착수</t>
        </is>
      </c>
      <c r="L21" s="12" t="n"/>
      <c r="M21" s="13" t="inlineStr"/>
    </row>
    <row r="22">
      <c r="A22" s="7" t="n">
        <v>16</v>
      </c>
      <c r="B22" s="9" t="inlineStr">
        <is>
          <t>1. 발급 서류</t>
        </is>
      </c>
      <c r="C22" s="7" t="inlineStr">
        <is>
          <t>주금</t>
        </is>
      </c>
      <c r="D22" s="9" t="inlineStr">
        <is>
          <t>주금납입 증빙서류</t>
        </is>
      </c>
      <c r="E22" s="7" t="inlineStr">
        <is>
          <t>1부</t>
        </is>
      </c>
      <c r="F22" s="9" t="inlineStr">
        <is>
          <t>사본(원본대조필)</t>
        </is>
      </c>
      <c r="G22" s="9" t="inlineStr">
        <is>
          <t>태평양(대주)</t>
        </is>
      </c>
      <c r="H22" s="10" t="n">
        <v>46323</v>
      </c>
      <c r="I22" s="7" t="inlineStr">
        <is>
          <t>사무수탁사</t>
        </is>
      </c>
      <c r="J22" s="9" t="inlineStr">
        <is>
          <t>태평양 체크리스트</t>
        </is>
      </c>
      <c r="K22" s="11" t="inlineStr">
        <is>
          <t>미착수</t>
        </is>
      </c>
      <c r="L22" s="12" t="n"/>
      <c r="M22" s="13" t="inlineStr">
        <is>
          <t>10/27 주금 납입 후</t>
        </is>
      </c>
    </row>
    <row r="23">
      <c r="A23" s="7" t="n">
        <v>17</v>
      </c>
      <c r="B23" s="9" t="inlineStr">
        <is>
          <t>1. 발급 서류</t>
        </is>
      </c>
      <c r="C23" s="7" t="inlineStr">
        <is>
          <t>주금</t>
        </is>
      </c>
      <c r="D23" s="9" t="inlineStr">
        <is>
          <t>3종 종류주식 상계합의서 사본</t>
        </is>
      </c>
      <c r="E23" s="7" t="inlineStr">
        <is>
          <t>1부</t>
        </is>
      </c>
      <c r="F23" s="9" t="inlineStr">
        <is>
          <t>원본대조필</t>
        </is>
      </c>
      <c r="G23" s="9" t="inlineStr">
        <is>
          <t>태평양(대주)</t>
        </is>
      </c>
      <c r="H23" s="10" t="n">
        <v>46323</v>
      </c>
      <c r="I23" s="7" t="inlineStr">
        <is>
          <t>사무수탁사</t>
        </is>
      </c>
      <c r="J23" s="9" t="inlineStr">
        <is>
          <t>태평양 체크리스트</t>
        </is>
      </c>
      <c r="K23" s="11" t="inlineStr">
        <is>
          <t>미착수</t>
        </is>
      </c>
      <c r="L23" s="12" t="n"/>
      <c r="M23" s="13" t="inlineStr">
        <is>
          <t>계약금 채권과 주금납입채무 상계</t>
        </is>
      </c>
    </row>
    <row r="24">
      <c r="A24" s="7" t="n">
        <v>18</v>
      </c>
      <c r="B24" s="9" t="inlineStr">
        <is>
          <t>1. 발급 서류</t>
        </is>
      </c>
      <c r="C24" s="7" t="inlineStr">
        <is>
          <t>주금</t>
        </is>
      </c>
      <c r="D24" s="9" t="inlineStr">
        <is>
          <t>3종 종류주식 상계 관련 차주 동의서 사본</t>
        </is>
      </c>
      <c r="E24" s="7" t="inlineStr">
        <is>
          <t>1부</t>
        </is>
      </c>
      <c r="F24" s="9" t="inlineStr">
        <is>
          <t>원본대조필</t>
        </is>
      </c>
      <c r="G24" s="9" t="inlineStr">
        <is>
          <t>태평양(대주)</t>
        </is>
      </c>
      <c r="H24" s="10" t="n">
        <v>46323</v>
      </c>
      <c r="I24" s="7" t="inlineStr">
        <is>
          <t>사무수탁사</t>
        </is>
      </c>
      <c r="J24" s="9" t="inlineStr">
        <is>
          <t>태평양 체크리스트</t>
        </is>
      </c>
      <c r="K24" s="11" t="inlineStr">
        <is>
          <t>미착수</t>
        </is>
      </c>
      <c r="L24" s="12" t="n"/>
      <c r="M24" s="13" t="inlineStr"/>
    </row>
    <row r="25">
      <c r="A25" s="7" t="n">
        <v>19</v>
      </c>
      <c r="B25" s="9" t="inlineStr">
        <is>
          <t>1. 발급 서류</t>
        </is>
      </c>
      <c r="C25" s="7" t="inlineStr">
        <is>
          <t>법인서류</t>
        </is>
      </c>
      <c r="D25" s="9" t="inlineStr">
        <is>
          <t>위임장(법인인감) + 법인인감증명서 + 수임인 신분증 사본</t>
        </is>
      </c>
      <c r="E25" s="7" t="inlineStr">
        <is>
          <t>필요 시</t>
        </is>
      </c>
      <c r="F25" s="9" t="inlineStr">
        <is>
          <t>법인인감</t>
        </is>
      </c>
      <c r="G25" s="9" t="inlineStr">
        <is>
          <t>태평양(대주)·세한</t>
        </is>
      </c>
      <c r="H25" s="10" t="n">
        <v>46322</v>
      </c>
      <c r="I25" s="7" t="inlineStr">
        <is>
          <t>사무수탁사</t>
        </is>
      </c>
      <c r="J25" s="9" t="inlineStr">
        <is>
          <t>태평양 체크리스트</t>
        </is>
      </c>
      <c r="K25" s="11" t="inlineStr">
        <is>
          <t>미착수</t>
        </is>
      </c>
      <c r="L25" s="12" t="n"/>
      <c r="M25" s="13" t="inlineStr">
        <is>
          <t>대표이사가 아닌 자가 서명할 때만</t>
        </is>
      </c>
    </row>
    <row r="26">
      <c r="A26" s="7" t="n">
        <v>20</v>
      </c>
      <c r="B26" s="8" t="inlineStr">
        <is>
          <t>2. 날인 – 소유권이전등기</t>
        </is>
      </c>
      <c r="C26" s="7" t="inlineStr">
        <is>
          <t>등기</t>
        </is>
      </c>
      <c r="D26" s="9" t="inlineStr">
        <is>
          <t>등기신청위임장(소유권이전)</t>
        </is>
      </c>
      <c r="E26" s="7" t="inlineStr">
        <is>
          <t>1부</t>
        </is>
      </c>
      <c r="F26" s="9" t="inlineStr">
        <is>
          <t>법인도장(세한 안내) [법인인감 통일 여부 확인]</t>
        </is>
      </c>
      <c r="G26" s="9" t="inlineStr">
        <is>
          <t>세한</t>
        </is>
      </c>
      <c r="H26" s="10" t="n">
        <v>46323</v>
      </c>
      <c r="I26" s="7" t="inlineStr">
        <is>
          <t>사무수탁사</t>
        </is>
      </c>
      <c r="J26" s="9" t="inlineStr">
        <is>
          <t>세한(소유권이전)</t>
        </is>
      </c>
      <c r="K26" s="11" t="inlineStr">
        <is>
          <t>미착수</t>
        </is>
      </c>
      <c r="L26" s="12" t="n"/>
      <c r="M26" s="13" t="inlineStr"/>
    </row>
    <row r="27">
      <c r="A27" s="7" t="n">
        <v>21</v>
      </c>
      <c r="B27" s="9" t="inlineStr">
        <is>
          <t>2. 날인 – 소유권이전등기</t>
        </is>
      </c>
      <c r="C27" s="7" t="inlineStr">
        <is>
          <t>신고</t>
        </is>
      </c>
      <c r="D27" s="9" t="inlineStr">
        <is>
          <t>부동산거래계약신고서</t>
        </is>
      </c>
      <c r="E27" s="7" t="inlineStr">
        <is>
          <t>1부</t>
        </is>
      </c>
      <c r="F27" s="9" t="inlineStr">
        <is>
          <t>법인인감 + 간인</t>
        </is>
      </c>
      <c r="G27" s="9" t="inlineStr">
        <is>
          <t>세한</t>
        </is>
      </c>
      <c r="H27" s="10" t="n">
        <v>46323</v>
      </c>
      <c r="I27" s="7" t="inlineStr">
        <is>
          <t>사무수탁사</t>
        </is>
      </c>
      <c r="J27" s="9" t="inlineStr">
        <is>
          <t>세한(소유권이전)</t>
        </is>
      </c>
      <c r="K27" s="11" t="inlineStr">
        <is>
          <t>미착수</t>
        </is>
      </c>
      <c r="L27" s="12" t="n"/>
      <c r="M27" s="13" t="inlineStr">
        <is>
          <t>날인본 원본</t>
        </is>
      </c>
    </row>
    <row r="28">
      <c r="A28" s="7" t="n">
        <v>22</v>
      </c>
      <c r="B28" s="9" t="inlineStr">
        <is>
          <t>2. 날인 – 소유권이전등기</t>
        </is>
      </c>
      <c r="C28" s="7" t="inlineStr">
        <is>
          <t>신고</t>
        </is>
      </c>
      <c r="D28" s="9" t="inlineStr">
        <is>
          <t>부동산거래계약신고 위임장</t>
        </is>
      </c>
      <c r="E28" s="7" t="inlineStr">
        <is>
          <t>1부</t>
        </is>
      </c>
      <c r="F28" s="9" t="inlineStr">
        <is>
          <t>법인인감</t>
        </is>
      </c>
      <c r="G28" s="9" t="inlineStr">
        <is>
          <t>세한</t>
        </is>
      </c>
      <c r="H28" s="10" t="n">
        <v>46323</v>
      </c>
      <c r="I28" s="7" t="inlineStr">
        <is>
          <t>사무수탁사</t>
        </is>
      </c>
      <c r="J28" s="9" t="inlineStr">
        <is>
          <t>세한(소유권이전)</t>
        </is>
      </c>
      <c r="K28" s="11" t="inlineStr">
        <is>
          <t>미착수</t>
        </is>
      </c>
      <c r="L28" s="12" t="n"/>
      <c r="M28" s="13" t="inlineStr"/>
    </row>
    <row r="29">
      <c r="A29" s="7" t="n">
        <v>23</v>
      </c>
      <c r="B29" s="9" t="inlineStr">
        <is>
          <t>2. 날인 – 소유권이전등기</t>
        </is>
      </c>
      <c r="C29" s="7" t="inlineStr">
        <is>
          <t>취득세</t>
        </is>
      </c>
      <c r="D29" s="9" t="inlineStr">
        <is>
          <t>취득세 신고서</t>
        </is>
      </c>
      <c r="E29" s="7" t="inlineStr">
        <is>
          <t>1부</t>
        </is>
      </c>
      <c r="F29" s="9" t="inlineStr">
        <is>
          <t>법인인감</t>
        </is>
      </c>
      <c r="G29" s="9" t="inlineStr">
        <is>
          <t>세한</t>
        </is>
      </c>
      <c r="H29" s="10" t="n">
        <v>46323</v>
      </c>
      <c r="I29" s="7" t="inlineStr">
        <is>
          <t>사무수탁사</t>
        </is>
      </c>
      <c r="J29" s="9" t="inlineStr">
        <is>
          <t>세한(소유권이전)</t>
        </is>
      </c>
      <c r="K29" s="11" t="inlineStr">
        <is>
          <t>미착수</t>
        </is>
      </c>
      <c r="L29" s="12" t="n"/>
      <c r="M29" s="13" t="inlineStr"/>
    </row>
    <row r="30">
      <c r="A30" s="7" t="n">
        <v>24</v>
      </c>
      <c r="B30" s="9" t="inlineStr">
        <is>
          <t>2. 날인 – 소유권이전등기</t>
        </is>
      </c>
      <c r="C30" s="7" t="inlineStr">
        <is>
          <t>취득세</t>
        </is>
      </c>
      <c r="D30" s="9" t="inlineStr">
        <is>
          <t>취득가액 내역표</t>
        </is>
      </c>
      <c r="E30" s="7" t="inlineStr">
        <is>
          <t>1부</t>
        </is>
      </c>
      <c r="F30" s="9" t="inlineStr">
        <is>
          <t>법인인감</t>
        </is>
      </c>
      <c r="G30" s="9" t="inlineStr">
        <is>
          <t>세한</t>
        </is>
      </c>
      <c r="H30" s="10" t="n">
        <v>46323</v>
      </c>
      <c r="I30" s="7" t="inlineStr">
        <is>
          <t>사무수탁사</t>
        </is>
      </c>
      <c r="J30" s="9" t="inlineStr">
        <is>
          <t>세한(소유권이전)</t>
        </is>
      </c>
      <c r="K30" s="11" t="inlineStr">
        <is>
          <t>미착수</t>
        </is>
      </c>
      <c r="L30" s="12" t="n"/>
      <c r="M30" s="13" t="inlineStr"/>
    </row>
    <row r="31">
      <c r="A31" s="7" t="n">
        <v>25</v>
      </c>
      <c r="B31" s="9" t="inlineStr">
        <is>
          <t>2. 날인 – 소유권이전등기</t>
        </is>
      </c>
      <c r="C31" s="7" t="inlineStr">
        <is>
          <t>취득세</t>
        </is>
      </c>
      <c r="D31" s="9" t="inlineStr">
        <is>
          <t>계정별원장</t>
        </is>
      </c>
      <c r="E31" s="7" t="inlineStr">
        <is>
          <t>1부</t>
        </is>
      </c>
      <c r="F31" s="9" t="inlineStr">
        <is>
          <t>법인인감</t>
        </is>
      </c>
      <c r="G31" s="9" t="inlineStr">
        <is>
          <t>세한</t>
        </is>
      </c>
      <c r="H31" s="10" t="n">
        <v>46323</v>
      </c>
      <c r="I31" s="7" t="inlineStr">
        <is>
          <t>사무수탁사</t>
        </is>
      </c>
      <c r="J31" s="9" t="inlineStr">
        <is>
          <t>세한(소유권이전)</t>
        </is>
      </c>
      <c r="K31" s="11" t="inlineStr">
        <is>
          <t>미착수</t>
        </is>
      </c>
      <c r="L31" s="12" t="n"/>
      <c r="M31" s="13" t="inlineStr">
        <is>
          <t>사무수탁사 작성</t>
        </is>
      </c>
    </row>
    <row r="32">
      <c r="A32" s="7" t="n">
        <v>26</v>
      </c>
      <c r="B32" s="9" t="inlineStr">
        <is>
          <t>2. 날인 – 소유권이전등기</t>
        </is>
      </c>
      <c r="C32" s="7" t="inlineStr">
        <is>
          <t>취득세</t>
        </is>
      </c>
      <c r="D32" s="9" t="inlineStr">
        <is>
          <t>지방세 감면신청 위임장</t>
        </is>
      </c>
      <c r="E32" s="7" t="inlineStr">
        <is>
          <t>1부</t>
        </is>
      </c>
      <c r="F32" s="9" t="inlineStr">
        <is>
          <t>법인인감</t>
        </is>
      </c>
      <c r="G32" s="9" t="inlineStr">
        <is>
          <t>세한</t>
        </is>
      </c>
      <c r="H32" s="10" t="n">
        <v>46323</v>
      </c>
      <c r="I32" s="7" t="inlineStr">
        <is>
          <t>사무수탁사</t>
        </is>
      </c>
      <c r="J32" s="9" t="inlineStr">
        <is>
          <t>세한(소유권이전)</t>
        </is>
      </c>
      <c r="K32" s="11" t="inlineStr">
        <is>
          <t>미착수</t>
        </is>
      </c>
      <c r="L32" s="12" t="n"/>
      <c r="M32" s="13" t="inlineStr"/>
    </row>
    <row r="33">
      <c r="A33" s="7" t="n">
        <v>27</v>
      </c>
      <c r="B33" s="9" t="inlineStr">
        <is>
          <t>2. 날인 – 소유권이전등기</t>
        </is>
      </c>
      <c r="C33" s="7" t="inlineStr">
        <is>
          <t>취득세</t>
        </is>
      </c>
      <c r="D33" s="9" t="inlineStr">
        <is>
          <t>취득부동산 사용계획서</t>
        </is>
      </c>
      <c r="E33" s="7" t="inlineStr">
        <is>
          <t>1부</t>
        </is>
      </c>
      <c r="F33" s="9" t="inlineStr">
        <is>
          <t>법인인감</t>
        </is>
      </c>
      <c r="G33" s="9" t="inlineStr">
        <is>
          <t>세한</t>
        </is>
      </c>
      <c r="H33" s="10" t="n">
        <v>46323</v>
      </c>
      <c r="I33" s="7" t="inlineStr">
        <is>
          <t>사무수탁사</t>
        </is>
      </c>
      <c r="J33" s="9" t="inlineStr">
        <is>
          <t>세한(소유권이전)</t>
        </is>
      </c>
      <c r="K33" s="11" t="inlineStr">
        <is>
          <t>미착수</t>
        </is>
      </c>
      <c r="L33" s="12" t="n"/>
      <c r="M33" s="13" t="inlineStr"/>
    </row>
    <row r="34">
      <c r="A34" s="7" t="n">
        <v>28</v>
      </c>
      <c r="B34" s="9" t="inlineStr">
        <is>
          <t>2. 날인 – 소유권이전등기</t>
        </is>
      </c>
      <c r="C34" s="7" t="inlineStr">
        <is>
          <t>계약</t>
        </is>
      </c>
      <c r="D34" s="9" t="inlineStr">
        <is>
          <t>부동산매매계약서(체결본 원본)</t>
        </is>
      </c>
      <c r="E34" s="7" t="inlineStr">
        <is>
          <t>1부</t>
        </is>
      </c>
      <c r="F34" s="9" t="inlineStr">
        <is>
          <t>법인인감</t>
        </is>
      </c>
      <c r="G34" s="9" t="inlineStr">
        <is>
          <t>세한</t>
        </is>
      </c>
      <c r="H34" s="10" t="n">
        <v>46323</v>
      </c>
      <c r="I34" s="7" t="inlineStr">
        <is>
          <t>운용역·사무수탁사</t>
        </is>
      </c>
      <c r="J34" s="9" t="inlineStr">
        <is>
          <t>세한(소유권이전)</t>
        </is>
      </c>
      <c r="K34" s="11" t="inlineStr">
        <is>
          <t>미착수</t>
        </is>
      </c>
      <c r="L34" s="12" t="n"/>
      <c r="M34" s="13" t="inlineStr">
        <is>
          <t>10/26 체결본</t>
        </is>
      </c>
    </row>
    <row r="35">
      <c r="A35" s="7" t="n">
        <v>29</v>
      </c>
      <c r="B35" s="8" t="inlineStr">
        <is>
          <t>3. 날인 – 신탁등기</t>
        </is>
      </c>
      <c r="C35" s="7" t="inlineStr">
        <is>
          <t>등기</t>
        </is>
      </c>
      <c r="D35" s="9" t="inlineStr">
        <is>
          <t>등기신청위임장(신탁)</t>
        </is>
      </c>
      <c r="E35" s="7" t="inlineStr">
        <is>
          <t>1부</t>
        </is>
      </c>
      <c r="F35" s="9" t="inlineStr">
        <is>
          <t>법인인감</t>
        </is>
      </c>
      <c r="G35" s="9" t="inlineStr">
        <is>
          <t>세한</t>
        </is>
      </c>
      <c r="H35" s="10" t="n">
        <v>46323</v>
      </c>
      <c r="I35" s="7" t="inlineStr">
        <is>
          <t>사무수탁사</t>
        </is>
      </c>
      <c r="J35" s="9" t="inlineStr">
        <is>
          <t>세한(신탁등기)</t>
        </is>
      </c>
      <c r="K35" s="11" t="inlineStr">
        <is>
          <t>미착수</t>
        </is>
      </c>
      <c r="L35" s="12" t="n"/>
      <c r="M35" s="13" t="inlineStr"/>
    </row>
    <row r="36">
      <c r="A36" s="7" t="n">
        <v>30</v>
      </c>
      <c r="B36" s="9" t="inlineStr">
        <is>
          <t>3. 날인 – 신탁등기</t>
        </is>
      </c>
      <c r="C36" s="7" t="inlineStr">
        <is>
          <t>계약</t>
        </is>
      </c>
      <c r="D36" s="9" t="inlineStr">
        <is>
          <t>부동산담보신탁계약서 및 특약</t>
        </is>
      </c>
      <c r="E36" s="7" t="inlineStr">
        <is>
          <t>2부</t>
        </is>
      </c>
      <c r="F36" s="9" t="inlineStr">
        <is>
          <t>법인인감 + 간인(천공)</t>
        </is>
      </c>
      <c r="G36" s="9" t="inlineStr">
        <is>
          <t>우리은행 신탁부(은행 보관용은 등기소 제출)</t>
        </is>
      </c>
      <c r="H36" s="10" t="n">
        <v>46322</v>
      </c>
      <c r="I36" s="7" t="inlineStr">
        <is>
          <t>사무수탁사</t>
        </is>
      </c>
      <c r="J36" s="9" t="inlineStr">
        <is>
          <t>세한(신탁등기)</t>
        </is>
      </c>
      <c r="K36" s="11" t="inlineStr">
        <is>
          <t>미착수</t>
        </is>
      </c>
      <c r="L36" s="12" t="n"/>
      <c r="M36" s="13" t="inlineStr">
        <is>
          <t>위탁자·수탁자 각 1부</t>
        </is>
      </c>
    </row>
    <row r="37">
      <c r="A37" s="7" t="n">
        <v>31</v>
      </c>
      <c r="B37" s="8" t="inlineStr">
        <is>
          <t>4. 날인 – 대출</t>
        </is>
      </c>
      <c r="C37" s="7" t="inlineStr">
        <is>
          <t>약정</t>
        </is>
      </c>
      <c r="D37" s="9" t="inlineStr">
        <is>
          <t>담보대출약정서</t>
        </is>
      </c>
      <c r="E37" s="7" t="inlineStr">
        <is>
          <t>1부</t>
        </is>
      </c>
      <c r="F37" s="9" t="inlineStr">
        <is>
          <t>법인인감 + 수입인지 35만원</t>
        </is>
      </c>
      <c r="G37" s="9" t="inlineStr">
        <is>
          <t>태평양</t>
        </is>
      </c>
      <c r="H37" s="10" t="n">
        <v>46322</v>
      </c>
      <c r="I37" s="7" t="inlineStr">
        <is>
          <t>사무수탁사</t>
        </is>
      </c>
      <c r="J37" s="9" t="inlineStr">
        <is>
          <t>태평양 체크리스트</t>
        </is>
      </c>
      <c r="K37" s="11" t="inlineStr">
        <is>
          <t>미착수</t>
        </is>
      </c>
      <c r="L37" s="12" t="n"/>
      <c r="M37" s="13" t="inlineStr">
        <is>
          <t>인지세 부담 주체 확인</t>
        </is>
      </c>
    </row>
    <row r="38">
      <c r="A38" s="7" t="n">
        <v>32</v>
      </c>
      <c r="B38" s="9" t="inlineStr">
        <is>
          <t>4. 날인 – 대출</t>
        </is>
      </c>
      <c r="C38" s="7" t="inlineStr">
        <is>
          <t>약정</t>
        </is>
      </c>
      <c r="D38" s="9" t="inlineStr">
        <is>
          <t>예금채권근질권설정계약서</t>
        </is>
      </c>
      <c r="E38" s="7" t="inlineStr">
        <is>
          <t>1부</t>
        </is>
      </c>
      <c r="F38" s="9" t="inlineStr">
        <is>
          <t>법인인감</t>
        </is>
      </c>
      <c r="G38" s="9" t="inlineStr">
        <is>
          <t>태평양</t>
        </is>
      </c>
      <c r="H38" s="10" t="n">
        <v>46322</v>
      </c>
      <c r="I38" s="7" t="inlineStr">
        <is>
          <t>사무수탁사</t>
        </is>
      </c>
      <c r="J38" s="9" t="inlineStr">
        <is>
          <t>태평양 체크리스트</t>
        </is>
      </c>
      <c r="K38" s="11" t="inlineStr">
        <is>
          <t>미착수</t>
        </is>
      </c>
      <c r="L38" s="12" t="n"/>
      <c r="M38" s="13" t="inlineStr"/>
    </row>
    <row r="39">
      <c r="A39" s="7" t="n">
        <v>33</v>
      </c>
      <c r="B39" s="9" t="inlineStr">
        <is>
          <t>4. 날인 – 대출</t>
        </is>
      </c>
      <c r="C39" s="7" t="inlineStr">
        <is>
          <t>약정</t>
        </is>
      </c>
      <c r="D39" s="9" t="inlineStr">
        <is>
          <t>예금채권근질권설정 통지서(우리은행 앞)</t>
        </is>
      </c>
      <c r="E39" s="7" t="inlineStr">
        <is>
          <t>1부</t>
        </is>
      </c>
      <c r="F39" s="9" t="inlineStr">
        <is>
          <t>법인인감 + 확정일자</t>
        </is>
      </c>
      <c r="G39" s="9" t="inlineStr">
        <is>
          <t>우리은행(계좌개설은행)</t>
        </is>
      </c>
      <c r="H39" s="10" t="n">
        <v>46324</v>
      </c>
      <c r="I39" s="7" t="inlineStr">
        <is>
          <t>사무수탁사</t>
        </is>
      </c>
      <c r="J39" s="9" t="inlineStr">
        <is>
          <t>태평양 체크리스트</t>
        </is>
      </c>
      <c r="K39" s="11" t="inlineStr">
        <is>
          <t>미착수</t>
        </is>
      </c>
      <c r="L39" s="12" t="n"/>
      <c r="M39" s="13" t="inlineStr">
        <is>
          <t>확정일자 사본은 인출일 당일 제출</t>
        </is>
      </c>
    </row>
    <row r="40">
      <c r="A40" s="7" t="n">
        <v>34</v>
      </c>
      <c r="B40" s="9" t="inlineStr">
        <is>
          <t>4. 날인 – 대출</t>
        </is>
      </c>
      <c r="C40" s="7" t="inlineStr">
        <is>
          <t>약정</t>
        </is>
      </c>
      <c r="D40" s="9" t="inlineStr">
        <is>
          <t>보험근질권설정계약서</t>
        </is>
      </c>
      <c r="E40" s="7" t="inlineStr">
        <is>
          <t>1부</t>
        </is>
      </c>
      <c r="F40" s="9" t="inlineStr">
        <is>
          <t>법인인감</t>
        </is>
      </c>
      <c r="G40" s="9" t="inlineStr">
        <is>
          <t>태평양</t>
        </is>
      </c>
      <c r="H40" s="10" t="n">
        <v>46322</v>
      </c>
      <c r="I40" s="7" t="inlineStr">
        <is>
          <t>사무수탁사</t>
        </is>
      </c>
      <c r="J40" s="9" t="inlineStr">
        <is>
          <t>태평양 체크리스트</t>
        </is>
      </c>
      <c r="K40" s="11" t="inlineStr">
        <is>
          <t>미착수</t>
        </is>
      </c>
      <c r="L40" s="12" t="n"/>
      <c r="M40" s="13" t="inlineStr"/>
    </row>
    <row r="41">
      <c r="A41" s="7" t="n">
        <v>35</v>
      </c>
      <c r="B41" s="9" t="inlineStr">
        <is>
          <t>4. 날인 – 대출</t>
        </is>
      </c>
      <c r="C41" s="7" t="inlineStr">
        <is>
          <t>약정</t>
        </is>
      </c>
      <c r="D41" s="9" t="inlineStr">
        <is>
          <t>보험근질권설정 통지서(보험회사 앞)</t>
        </is>
      </c>
      <c r="E41" s="7" t="inlineStr">
        <is>
          <t>1부</t>
        </is>
      </c>
      <c r="F41" s="9" t="inlineStr">
        <is>
          <t>법인인감 + 확정일자</t>
        </is>
      </c>
      <c r="G41" s="9" t="inlineStr">
        <is>
          <t>보험회사</t>
        </is>
      </c>
      <c r="H41" s="10" t="n">
        <v>46324</v>
      </c>
      <c r="I41" s="7" t="inlineStr">
        <is>
          <t>사무수탁사</t>
        </is>
      </c>
      <c r="J41" s="9" t="inlineStr">
        <is>
          <t>태평양 체크리스트</t>
        </is>
      </c>
      <c r="K41" s="11" t="inlineStr">
        <is>
          <t>미착수</t>
        </is>
      </c>
      <c r="L41" s="12" t="n"/>
      <c r="M41" s="13" t="inlineStr">
        <is>
          <t>승계 보험: 서식 가-2</t>
        </is>
      </c>
    </row>
    <row r="42">
      <c r="A42" s="7" t="n">
        <v>36</v>
      </c>
      <c r="B42" s="9" t="inlineStr">
        <is>
          <t>4. 날인 – 대출</t>
        </is>
      </c>
      <c r="C42" s="7" t="inlineStr">
        <is>
          <t>수수료</t>
        </is>
      </c>
      <c r="D42" s="9" t="inlineStr">
        <is>
          <t>수수료약정서 10건(우리은행 주선·참여, 에스비아이 주선, 롯데·우리카드·수협·신협대주단 참여, 키움·엠지 취급, 디비 참여)</t>
        </is>
      </c>
      <c r="E42" s="7" t="inlineStr">
        <is>
          <t>각 1부</t>
        </is>
      </c>
      <c r="F42" s="9" t="inlineStr">
        <is>
          <t>법인인감</t>
        </is>
      </c>
      <c r="G42" s="9" t="inlineStr">
        <is>
          <t>각 대주</t>
        </is>
      </c>
      <c r="H42" s="10" t="n">
        <v>46322</v>
      </c>
      <c r="I42" s="7" t="inlineStr">
        <is>
          <t>사무수탁사</t>
        </is>
      </c>
      <c r="J42" s="9" t="inlineStr">
        <is>
          <t>수수료약정서</t>
        </is>
      </c>
      <c r="K42" s="11" t="inlineStr">
        <is>
          <t>미착수</t>
        </is>
      </c>
      <c r="L42" s="12" t="n"/>
      <c r="M42" s="13" t="inlineStr">
        <is>
          <t>롯데캐피탈만 2부 작성</t>
        </is>
      </c>
    </row>
    <row r="43">
      <c r="A43" s="7" t="n">
        <v>37</v>
      </c>
      <c r="B43" s="9" t="inlineStr">
        <is>
          <t>4. 날인 – 대출</t>
        </is>
      </c>
      <c r="C43" s="7" t="inlineStr">
        <is>
          <t>인출</t>
        </is>
      </c>
      <c r="D43" s="9" t="inlineStr">
        <is>
          <t>인출요청서</t>
        </is>
      </c>
      <c r="E43" s="7" t="inlineStr">
        <is>
          <t>1부</t>
        </is>
      </c>
      <c r="F43" s="9" t="inlineStr">
        <is>
          <t>법인인감</t>
        </is>
      </c>
      <c r="G43" s="9" t="inlineStr">
        <is>
          <t>우리은행(대리)</t>
        </is>
      </c>
      <c r="H43" s="10" t="n">
        <v>46323</v>
      </c>
      <c r="I43" s="7" t="inlineStr">
        <is>
          <t>사무수탁사</t>
        </is>
      </c>
      <c r="J43" s="9" t="inlineStr">
        <is>
          <t>태평양 체크리스트</t>
        </is>
      </c>
      <c r="K43" s="11" t="inlineStr">
        <is>
          <t>미착수</t>
        </is>
      </c>
      <c r="L43" s="12" t="n"/>
      <c r="M43" s="13" t="inlineStr">
        <is>
          <t>인출일 10/29 기재</t>
        </is>
      </c>
    </row>
    <row r="44">
      <c r="A44" s="7" t="n">
        <v>38</v>
      </c>
      <c r="B44" s="8" t="inlineStr">
        <is>
          <t>5. 인출일(10/29) 처리</t>
        </is>
      </c>
      <c r="C44" s="7" t="inlineStr">
        <is>
          <t>자금</t>
        </is>
      </c>
      <c r="D44" s="9" t="inlineStr">
        <is>
          <t>Tranche A 이자적립금 입금(1005-504-965088) 및 입금증빙</t>
        </is>
      </c>
      <c r="E44" s="7" t="inlineStr">
        <is>
          <t>1,958,213,686원</t>
        </is>
      </c>
      <c r="F44" s="9" t="inlineStr">
        <is>
          <t>입금증</t>
        </is>
      </c>
      <c r="G44" s="9" t="inlineStr">
        <is>
          <t>태평양(대주)</t>
        </is>
      </c>
      <c r="H44" s="10" t="n">
        <v>46324</v>
      </c>
      <c r="I44" s="7" t="inlineStr">
        <is>
          <t>사무수탁사</t>
        </is>
      </c>
      <c r="J44" s="9" t="inlineStr">
        <is>
          <t>이자 엑셀 v02</t>
        </is>
      </c>
      <c r="K44" s="11" t="inlineStr">
        <is>
          <t>미착수</t>
        </is>
      </c>
      <c r="L44" s="12" t="n"/>
      <c r="M44" s="13" t="inlineStr">
        <is>
          <t>A-2 기준금리 [추정] → 10/26~28 CD 평균으로 확정</t>
        </is>
      </c>
    </row>
    <row r="45">
      <c r="A45" s="7" t="n">
        <v>39</v>
      </c>
      <c r="B45" s="9" t="inlineStr">
        <is>
          <t>5. 인출일(10/29) 처리</t>
        </is>
      </c>
      <c r="C45" s="7" t="inlineStr">
        <is>
          <t>자금</t>
        </is>
      </c>
      <c r="D45" s="9" t="inlineStr">
        <is>
          <t>Tranche B 이자적립금 입금(1005-504-970089) 및 입금증빙</t>
        </is>
      </c>
      <c r="E45" s="7" t="inlineStr">
        <is>
          <t>574,684,930원</t>
        </is>
      </c>
      <c r="F45" s="9" t="inlineStr">
        <is>
          <t>입금증</t>
        </is>
      </c>
      <c r="G45" s="9" t="inlineStr">
        <is>
          <t>태평양(대주)</t>
        </is>
      </c>
      <c r="H45" s="10" t="n">
        <v>46324</v>
      </c>
      <c r="I45" s="7" t="inlineStr">
        <is>
          <t>사무수탁사</t>
        </is>
      </c>
      <c r="J45" s="9" t="inlineStr">
        <is>
          <t>이자 엑셀 v02</t>
        </is>
      </c>
      <c r="K45" s="11" t="inlineStr">
        <is>
          <t>미착수</t>
        </is>
      </c>
      <c r="L45" s="12" t="n"/>
      <c r="M45" s="13" t="inlineStr"/>
    </row>
    <row r="46">
      <c r="A46" s="7" t="n">
        <v>40</v>
      </c>
      <c r="B46" s="9" t="inlineStr">
        <is>
          <t>5. 인출일(10/29) 처리</t>
        </is>
      </c>
      <c r="C46" s="7" t="inlineStr">
        <is>
          <t>자금</t>
        </is>
      </c>
      <c r="D46" s="9" t="inlineStr">
        <is>
          <t>기표일 수수료 지급 26건</t>
        </is>
      </c>
      <c r="E46" s="7" t="inlineStr">
        <is>
          <t>2,894,000,000원</t>
        </is>
      </c>
      <c r="F46" s="9" t="inlineStr">
        <is>
          <t>이체확인증</t>
        </is>
      </c>
      <c r="G46" s="9" t="inlineStr">
        <is>
          <t>각 대주</t>
        </is>
      </c>
      <c r="H46" s="10" t="n">
        <v>46324</v>
      </c>
      <c r="I46" s="7" t="inlineStr">
        <is>
          <t>사무수탁사</t>
        </is>
      </c>
      <c r="J46" s="9" t="inlineStr">
        <is>
          <t>이자 엑셀 v02</t>
        </is>
      </c>
      <c r="K46" s="11" t="inlineStr">
        <is>
          <t>미착수</t>
        </is>
      </c>
      <c r="L46" s="12" t="n"/>
      <c r="M46" s="13" t="inlineStr">
        <is>
          <t>기관별 계좌는 통장사본 수령 후 통보</t>
        </is>
      </c>
    </row>
    <row r="47">
      <c r="A47" s="7" t="n">
        <v>41</v>
      </c>
      <c r="B47" s="9" t="inlineStr">
        <is>
          <t>5. 인출일(10/29) 처리</t>
        </is>
      </c>
      <c r="C47" s="7" t="inlineStr">
        <is>
          <t>자금</t>
        </is>
      </c>
      <c r="D47" s="9" t="inlineStr">
        <is>
          <t>취득세 납부</t>
        </is>
      </c>
      <c r="E47" s="7" t="inlineStr">
        <is>
          <t>[금액 확인 필요]</t>
        </is>
      </c>
      <c r="F47" s="9" t="inlineStr">
        <is>
          <t>영수증</t>
        </is>
      </c>
      <c r="G47" s="9" t="inlineStr">
        <is>
          <t>세한(등기 접수 전)</t>
        </is>
      </c>
      <c r="H47" s="10" t="n">
        <v>46324</v>
      </c>
      <c r="I47" s="7" t="inlineStr">
        <is>
          <t>사무수탁사</t>
        </is>
      </c>
      <c r="J47" s="9" t="inlineStr">
        <is>
          <t>세한(소유권이전)</t>
        </is>
      </c>
      <c r="K47" s="11" t="inlineStr">
        <is>
          <t>미착수</t>
        </is>
      </c>
      <c r="L47" s="12" t="n"/>
      <c r="M47" s="13" t="inlineStr"/>
    </row>
    <row r="48">
      <c r="A48" s="7" t="n">
        <v>42</v>
      </c>
      <c r="B48" s="9" t="inlineStr">
        <is>
          <t>5. 인출일(10/29) 처리</t>
        </is>
      </c>
      <c r="C48" s="7" t="inlineStr">
        <is>
          <t>제출</t>
        </is>
      </c>
      <c r="D48" s="9" t="inlineStr">
        <is>
          <t>예금·보험근질권 확정일자 통지서 사본 제출</t>
        </is>
      </c>
      <c r="E48" s="7" t="inlineStr">
        <is>
          <t>각 1부</t>
        </is>
      </c>
      <c r="F48" s="9" t="inlineStr">
        <is>
          <t>사본</t>
        </is>
      </c>
      <c r="G48" s="9" t="inlineStr">
        <is>
          <t>태평양(대주)</t>
        </is>
      </c>
      <c r="H48" s="10" t="n">
        <v>46324</v>
      </c>
      <c r="I48" s="7" t="inlineStr">
        <is>
          <t>사무수탁사</t>
        </is>
      </c>
      <c r="J48" s="9" t="inlineStr">
        <is>
          <t>태평양 체크리스트</t>
        </is>
      </c>
      <c r="K48" s="11" t="inlineStr">
        <is>
          <t>미착수</t>
        </is>
      </c>
      <c r="L48" s="12" t="n"/>
      <c r="M48" s="13" t="inlineStr"/>
    </row>
    <row r="49">
      <c r="A49" s="7" t="n">
        <v>43</v>
      </c>
      <c r="B49" s="8" t="inlineStr">
        <is>
          <t>6. 인출 후</t>
        </is>
      </c>
      <c r="C49" s="7" t="inlineStr">
        <is>
          <t>제출</t>
        </is>
      </c>
      <c r="D49" s="9" t="inlineStr">
        <is>
          <t>보험회사 승낙서(확정일자) 사본</t>
        </is>
      </c>
      <c r="E49" s="7" t="inlineStr">
        <is>
          <t>1부</t>
        </is>
      </c>
      <c r="F49" s="9" t="inlineStr">
        <is>
          <t>사본</t>
        </is>
      </c>
      <c r="G49" s="9" t="inlineStr">
        <is>
          <t>태평양(대주)</t>
        </is>
      </c>
      <c r="H49" s="10" t="n">
        <v>46335</v>
      </c>
      <c r="I49" s="7" t="inlineStr">
        <is>
          <t>사무수탁사</t>
        </is>
      </c>
      <c r="J49" s="9" t="inlineStr">
        <is>
          <t>태평양 체크리스트</t>
        </is>
      </c>
      <c r="K49" s="11" t="inlineStr">
        <is>
          <t>미착수</t>
        </is>
      </c>
      <c r="L49" s="12" t="n"/>
      <c r="M49" s="13" t="inlineStr">
        <is>
          <t>인출 후 7영업일</t>
        </is>
      </c>
    </row>
    <row r="50">
      <c r="A50" s="7" t="n">
        <v>44</v>
      </c>
      <c r="B50" s="9" t="inlineStr">
        <is>
          <t>6. 인출 후</t>
        </is>
      </c>
      <c r="C50" s="7" t="inlineStr">
        <is>
          <t>제출</t>
        </is>
      </c>
      <c r="D50" s="9" t="inlineStr">
        <is>
          <t>계좌개설은행(우리은행) 승낙서(확정일자) 사본 – 3개 계좌</t>
        </is>
      </c>
      <c r="E50" s="7" t="inlineStr">
        <is>
          <t>각 1부</t>
        </is>
      </c>
      <c r="F50" s="9" t="inlineStr">
        <is>
          <t>사본</t>
        </is>
      </c>
      <c r="G50" s="9" t="inlineStr">
        <is>
          <t>태평양(대주)</t>
        </is>
      </c>
      <c r="H50" s="10" t="n">
        <v>46335</v>
      </c>
      <c r="I50" s="7" t="inlineStr">
        <is>
          <t>사무수탁사</t>
        </is>
      </c>
      <c r="J50" s="9" t="inlineStr">
        <is>
          <t>태평양 체크리스트</t>
        </is>
      </c>
      <c r="K50" s="11" t="inlineStr">
        <is>
          <t>미착수</t>
        </is>
      </c>
      <c r="L50" s="12" t="n"/>
      <c r="M50" s="13" t="inlineStr">
        <is>
          <t>인출 후 7영업일</t>
        </is>
      </c>
    </row>
    <row r="51">
      <c r="A51" s="7" t="n">
        <v>45</v>
      </c>
      <c r="B51" s="9" t="inlineStr">
        <is>
          <t>6. 인출 후</t>
        </is>
      </c>
      <c r="C51" s="7" t="inlineStr">
        <is>
          <t>제출</t>
        </is>
      </c>
      <c r="D51" s="9" t="inlineStr">
        <is>
          <t>보험배서증권 원본(근질권 문언 기재)</t>
        </is>
      </c>
      <c r="E51" s="7" t="inlineStr">
        <is>
          <t>1부</t>
        </is>
      </c>
      <c r="F51" s="9" t="inlineStr">
        <is>
          <t>원본</t>
        </is>
      </c>
      <c r="G51" s="9" t="inlineStr">
        <is>
          <t>태평양(대주)</t>
        </is>
      </c>
      <c r="H51" s="10" t="n">
        <v>46338</v>
      </c>
      <c r="I51" s="7" t="inlineStr">
        <is>
          <t>사무수탁사</t>
        </is>
      </c>
      <c r="J51" s="9" t="inlineStr">
        <is>
          <t>태평양 체크리스트</t>
        </is>
      </c>
      <c r="K51" s="11" t="inlineStr">
        <is>
          <t>미착수</t>
        </is>
      </c>
      <c r="L51" s="12" t="n"/>
      <c r="M51" s="13" t="inlineStr">
        <is>
          <t>인출 후 10영업일</t>
        </is>
      </c>
    </row>
    <row r="53">
      <c r="A53" s="14" t="inlineStr">
        <is>
          <t>※ 진행상태(노란 칸)는 목록에서 선택: 미착수 / 진행중 / 완료 / 해당없음. 완료=초록, 진행중=파랑, 기한 경과·미완료=주황으로 표시됩니다.</t>
        </is>
      </c>
    </row>
    <row r="54">
      <c r="A54" s="14" t="inlineStr">
        <is>
          <t>※ 확인 필요: ① 소유권이전 위임장 매수인 날인(세한 '법인도장' 표기) 법인인감 통일 여부 ② 대출약정서 수입인지 35만원 부담 주체 ③ 취득세 금액 ④ A-2 기준금리 확정(10/26~28 CD 평균) 후 이자적립금 금액.</t>
        </is>
      </c>
    </row>
    <row r="55">
      <c r="A55" s="14" t="inlineStr">
        <is>
          <t>※ 차주 외 서류(KLI 리파이낸싱 동의 공문·종류주식 매입확약서, 매도인 매도용 인감증명서·등기필증 등)는 이 목록에서 제외했습니다.</t>
        </is>
      </c>
    </row>
    <row r="56">
      <c r="A56" s="14" t="inlineStr">
        <is>
          <t>※ 세한 등기법무지원팀 02-560-5171~2.</t>
        </is>
      </c>
    </row>
  </sheetData>
  <autoFilter ref="A6:M51"/>
  <mergeCells count="6">
    <mergeCell ref="A4:A5"/>
    <mergeCell ref="A54:M54"/>
    <mergeCell ref="A56:M56"/>
    <mergeCell ref="A53:M53"/>
    <mergeCell ref="A55:M55"/>
    <mergeCell ref="A2:M2"/>
  </mergeCells>
  <conditionalFormatting sqref="A7:M51">
    <cfRule type="expression" priority="1" dxfId="0">
      <formula>$K7="완료"</formula>
    </cfRule>
    <cfRule type="expression" priority="2" dxfId="1">
      <formula>$K7="해당없음"</formula>
    </cfRule>
    <cfRule type="expression" priority="3" dxfId="2">
      <formula>AND($K7&lt;&gt;"완료",$K7&lt;&gt;"해당없음",$H7&lt;TODAY())</formula>
    </cfRule>
    <cfRule type="expression" priority="4" dxfId="3">
      <formula>$K7="진행중"</formula>
    </cfRule>
  </conditionalFormatting>
  <dataValidations count="2">
    <dataValidation sqref="K7:K51" showDropDown="0" showInputMessage="0" showErrorMessage="1" allowBlank="0" errorTitle="진행상태" error="목록에서 선택하세요." type="list">
      <formula1>"미착수,진행중,완료,해당없음"</formula1>
    </dataValidation>
    <dataValidation sqref="L7:L51" showDropDown="0" showInputMessage="0" showErrorMessage="0" allowBlank="1" type="date" operator="greaterThan">
      <formula1>DATE(2026,1,1)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2026-10-26T01:13:52Z</dcterms:created>
  <dcterms:modified xmlns:dcterms="http://purl.org/dc/terms/" xmlns:xsi="http://www.w3.org/2001/XMLSchema-instance" xsi:type="dcterms:W3CDTF">2026-10-26T01:13:52Z</dcterms:modified>
</cp:coreProperties>
</file>