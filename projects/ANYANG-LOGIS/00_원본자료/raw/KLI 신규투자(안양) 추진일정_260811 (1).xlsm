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1 코람코라이프인프라\03 미래전략\02 매입\03 물류시설 매입검토\08 안양\"/>
    </mc:Choice>
  </mc:AlternateContent>
  <xr:revisionPtr revIDLastSave="0" documentId="13_ncr:1_{D8ADEC4F-8571-423E-8A2E-86E91CE2BABA}" xr6:coauthVersionLast="47" xr6:coauthVersionMax="47" xr10:uidLastSave="{00000000-0000-0000-0000-000000000000}"/>
  <bookViews>
    <workbookView xWindow="28680" yWindow="-120" windowWidth="29040" windowHeight="15720" activeTab="3" xr2:uid="{00000000-000D-0000-FFFF-FFFF00000000}"/>
  </bookViews>
  <sheets>
    <sheet name="일정 및 To-do List (주차별)" sheetId="20" r:id="rId1"/>
    <sheet name="일정 및 To-do List (주차별)_대안1-1" sheetId="21" state="hidden" r:id="rId2"/>
    <sheet name="Sheet1" sheetId="19" state="hidden" r:id="rId3"/>
    <sheet name="매입 일정 및 To-do List" sheetId="15" r:id="rId4"/>
  </sheets>
  <definedNames>
    <definedName name="_xlnm.Print_Area" localSheetId="3">'매입 일정 및 To-do List'!$A$1:$J$101</definedName>
    <definedName name="_xlnm.Print_Area" localSheetId="0">'일정 및 To-do List (주차별)'!$A$1:$N$29</definedName>
    <definedName name="_xlnm.Print_Area" localSheetId="1">'일정 및 To-do List (주차별)_대안1-1'!$A$1:$N$28</definedName>
    <definedName name="_xlnm.Print_Titles" localSheetId="3">'매입 일정 및 To-do List'!$4:$6</definedName>
    <definedName name="_xlnm.Print_Titles" localSheetId="0">'일정 및 To-do List (주차별)'!$4:$6</definedName>
    <definedName name="_xlnm.Print_Titles" localSheetId="1">'일정 및 To-do List (주차별)_대안1-1'!$4:$6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5" i="15" l="1"/>
  <c r="E21" i="15"/>
  <c r="E29" i="15"/>
  <c r="K6" i="15"/>
  <c r="G6" i="15"/>
  <c r="F6" i="15"/>
  <c r="F5" i="15"/>
  <c r="J5" i="15"/>
  <c r="I5" i="15"/>
  <c r="H5" i="15"/>
  <c r="G5" i="15"/>
  <c r="H4" i="15"/>
  <c r="I4" i="15"/>
  <c r="J4" i="15"/>
  <c r="G4" i="15"/>
  <c r="F4" i="15"/>
  <c r="E4" i="15"/>
  <c r="M27" i="20" l="1"/>
  <c r="M20" i="20"/>
  <c r="K27" i="20"/>
  <c r="L27" i="20" s="1"/>
  <c r="O14" i="20"/>
  <c r="O15" i="20" s="1"/>
  <c r="O18" i="20" s="1"/>
  <c r="O19" i="20" s="1"/>
  <c r="O20" i="20" s="1"/>
  <c r="O21" i="20" s="1"/>
  <c r="O22" i="20" s="1"/>
  <c r="O23" i="20" s="1"/>
  <c r="O24" i="20" s="1"/>
  <c r="O25" i="20" s="1"/>
  <c r="O26" i="20" s="1"/>
  <c r="O27" i="20" s="1"/>
  <c r="G13" i="20"/>
  <c r="C38" i="21" l="1"/>
  <c r="C39" i="21" s="1"/>
  <c r="C40" i="21" s="1"/>
  <c r="C36" i="21"/>
  <c r="C35" i="21"/>
  <c r="C34" i="21"/>
  <c r="C27" i="21"/>
  <c r="C28" i="21" s="1"/>
  <c r="C26" i="21"/>
  <c r="K24" i="21"/>
  <c r="L24" i="21" s="1"/>
  <c r="C17" i="21"/>
  <c r="C18" i="21" s="1"/>
  <c r="C13" i="21"/>
  <c r="C14" i="21" s="1"/>
  <c r="C15" i="21" s="1"/>
  <c r="B13" i="21"/>
  <c r="B14" i="21" s="1"/>
  <c r="B15" i="21" s="1"/>
  <c r="B16" i="21" s="1"/>
  <c r="B17" i="21" s="1"/>
  <c r="B18" i="21" s="1"/>
  <c r="B19" i="21" s="1"/>
  <c r="B20" i="21" s="1"/>
  <c r="B21" i="21" s="1"/>
  <c r="B22" i="21" s="1"/>
  <c r="B23" i="21" s="1"/>
  <c r="B24" i="21" s="1"/>
  <c r="B25" i="21" s="1"/>
  <c r="B26" i="21" s="1"/>
  <c r="B27" i="21" s="1"/>
  <c r="B28" i="21" s="1"/>
  <c r="B29" i="21" s="1"/>
  <c r="B30" i="21" s="1"/>
  <c r="B31" i="21" s="1"/>
  <c r="B32" i="21" s="1"/>
  <c r="B33" i="21" s="1"/>
  <c r="B34" i="21" s="1"/>
  <c r="B35" i="21" s="1"/>
  <c r="B36" i="21" s="1"/>
  <c r="B37" i="21" s="1"/>
  <c r="B38" i="21" s="1"/>
  <c r="B39" i="21" s="1"/>
  <c r="B40" i="21" s="1"/>
  <c r="B41" i="21" s="1"/>
  <c r="B42" i="21" s="1"/>
  <c r="B43" i="21" s="1"/>
  <c r="B44" i="21" s="1"/>
  <c r="O12" i="21"/>
  <c r="O13" i="21" s="1"/>
  <c r="O14" i="21" s="1"/>
  <c r="O15" i="21" s="1"/>
  <c r="O16" i="21" s="1"/>
  <c r="O17" i="21" s="1"/>
  <c r="O18" i="21" s="1"/>
  <c r="O19" i="21" s="1"/>
  <c r="O20" i="21" s="1"/>
  <c r="O21" i="21" s="1"/>
  <c r="O22" i="21" s="1"/>
  <c r="O23" i="21" s="1"/>
  <c r="C12" i="21"/>
  <c r="B12" i="21"/>
  <c r="D8" i="21"/>
  <c r="E8" i="21" s="1"/>
  <c r="E7" i="21"/>
  <c r="A7" i="21"/>
  <c r="A2" i="21"/>
  <c r="D9" i="21" l="1"/>
  <c r="D11" i="21" l="1"/>
  <c r="E9" i="21"/>
  <c r="D10" i="21"/>
  <c r="E10" i="21" s="1"/>
  <c r="D12" i="21" l="1"/>
  <c r="E11" i="21"/>
  <c r="A11" i="21"/>
  <c r="E12" i="21" l="1"/>
  <c r="D13" i="21"/>
  <c r="D14" i="21" l="1"/>
  <c r="E13" i="21"/>
  <c r="D15" i="21" l="1"/>
  <c r="E14" i="21"/>
  <c r="E15" i="21" l="1"/>
  <c r="D16" i="21"/>
  <c r="D17" i="21" l="1"/>
  <c r="A16" i="21"/>
  <c r="E16" i="21"/>
  <c r="D18" i="21" l="1"/>
  <c r="E17" i="21"/>
  <c r="D19" i="21" l="1"/>
  <c r="E18" i="21"/>
  <c r="E19" i="21" l="1"/>
  <c r="D20" i="21"/>
  <c r="D21" i="21" l="1"/>
  <c r="E20" i="21"/>
  <c r="A20" i="21"/>
  <c r="D22" i="21" l="1"/>
  <c r="E21" i="21"/>
  <c r="E22" i="21" l="1"/>
  <c r="D23" i="21"/>
  <c r="E23" i="21" l="1"/>
  <c r="D24" i="21"/>
  <c r="E24" i="21" l="1"/>
  <c r="D25" i="21"/>
  <c r="D26" i="21" l="1"/>
  <c r="E25" i="21"/>
  <c r="A25" i="21"/>
  <c r="E26" i="21" l="1"/>
  <c r="D27" i="21"/>
  <c r="D28" i="21" l="1"/>
  <c r="E27" i="21"/>
  <c r="E28" i="21" l="1"/>
  <c r="D29" i="21"/>
  <c r="D30" i="21" l="1"/>
  <c r="A29" i="21"/>
  <c r="E29" i="21"/>
  <c r="E30" i="21" l="1"/>
  <c r="D31" i="21"/>
  <c r="D32" i="21" l="1"/>
  <c r="E31" i="21"/>
  <c r="E32" i="21" l="1"/>
  <c r="D33" i="21"/>
  <c r="E33" i="21" l="1"/>
  <c r="D34" i="21"/>
  <c r="A33" i="21"/>
  <c r="D35" i="21" l="1"/>
  <c r="E34" i="21"/>
  <c r="D36" i="21" l="1"/>
  <c r="E35" i="21"/>
  <c r="E36" i="21" l="1"/>
  <c r="D37" i="21"/>
  <c r="D38" i="21" l="1"/>
  <c r="E37" i="21"/>
  <c r="D39" i="21" l="1"/>
  <c r="E38" i="21"/>
  <c r="D40" i="21" l="1"/>
  <c r="E39" i="21"/>
  <c r="E40" i="21" l="1"/>
  <c r="D41" i="21"/>
  <c r="E41" i="21" l="1"/>
  <c r="A41" i="21"/>
  <c r="D42" i="21"/>
  <c r="D43" i="21" l="1"/>
  <c r="E42" i="21"/>
  <c r="E43" i="21" l="1"/>
  <c r="D44" i="21"/>
  <c r="D45" i="21" l="1"/>
  <c r="E44" i="21"/>
  <c r="D46" i="21" l="1"/>
  <c r="E45" i="21"/>
  <c r="A45" i="21"/>
  <c r="D47" i="21" l="1"/>
  <c r="E46" i="21"/>
  <c r="E47" i="21" l="1"/>
  <c r="D48" i="21"/>
  <c r="D49" i="21" l="1"/>
  <c r="E48" i="21"/>
  <c r="D50" i="21" l="1"/>
  <c r="E49" i="21"/>
  <c r="E50" i="21" l="1"/>
  <c r="A50" i="21"/>
  <c r="C39" i="20" l="1"/>
  <c r="C40" i="20" s="1"/>
  <c r="C38" i="20"/>
  <c r="C35" i="20"/>
  <c r="C36" i="20" s="1"/>
  <c r="C34" i="20"/>
  <c r="C26" i="20"/>
  <c r="C27" i="20" s="1"/>
  <c r="C28" i="20" s="1"/>
  <c r="C17" i="20"/>
  <c r="C18" i="20" s="1"/>
  <c r="B13" i="20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C12" i="20"/>
  <c r="C13" i="20" s="1"/>
  <c r="C14" i="20" s="1"/>
  <c r="C15" i="20" s="1"/>
  <c r="B12" i="20"/>
  <c r="D9" i="20"/>
  <c r="E9" i="20" s="1"/>
  <c r="E8" i="20"/>
  <c r="D8" i="20"/>
  <c r="E7" i="20"/>
  <c r="A7" i="20"/>
  <c r="A2" i="20"/>
  <c r="D10" i="20" l="1"/>
  <c r="E10" i="20" s="1"/>
  <c r="D11" i="20"/>
  <c r="D12" i="20" l="1"/>
  <c r="E11" i="20"/>
  <c r="A11" i="20"/>
  <c r="E12" i="20" l="1"/>
  <c r="D13" i="20"/>
  <c r="D14" i="20" l="1"/>
  <c r="E13" i="20"/>
  <c r="D15" i="20" l="1"/>
  <c r="E14" i="20"/>
  <c r="E15" i="20" l="1"/>
  <c r="D16" i="20"/>
  <c r="A16" i="20" l="1"/>
  <c r="D17" i="20"/>
  <c r="E16" i="20"/>
  <c r="D18" i="20" l="1"/>
  <c r="E17" i="20"/>
  <c r="E18" i="20" l="1"/>
  <c r="D19" i="20"/>
  <c r="E19" i="20" l="1"/>
  <c r="D20" i="20"/>
  <c r="D21" i="20" l="1"/>
  <c r="E20" i="20"/>
  <c r="A20" i="20"/>
  <c r="D22" i="20" l="1"/>
  <c r="E21" i="20"/>
  <c r="E22" i="20" l="1"/>
  <c r="D23" i="20"/>
  <c r="D24" i="20" l="1"/>
  <c r="E23" i="20"/>
  <c r="E24" i="20" l="1"/>
  <c r="D25" i="20"/>
  <c r="D26" i="20" l="1"/>
  <c r="E25" i="20"/>
  <c r="A25" i="20"/>
  <c r="E26" i="20" l="1"/>
  <c r="D27" i="20"/>
  <c r="E27" i="20" l="1"/>
  <c r="D28" i="20"/>
  <c r="D29" i="20" l="1"/>
  <c r="E28" i="20"/>
  <c r="D30" i="20" l="1"/>
  <c r="E29" i="20"/>
  <c r="A29" i="20"/>
  <c r="E30" i="20" l="1"/>
  <c r="D31" i="20"/>
  <c r="D32" i="20" l="1"/>
  <c r="E31" i="20"/>
  <c r="D33" i="20" l="1"/>
  <c r="E32" i="20"/>
  <c r="D34" i="20" l="1"/>
  <c r="E33" i="20"/>
  <c r="A33" i="20"/>
  <c r="E34" i="20" l="1"/>
  <c r="D35" i="20"/>
  <c r="D36" i="20" l="1"/>
  <c r="E35" i="20"/>
  <c r="D37" i="20" l="1"/>
  <c r="E36" i="20"/>
  <c r="D38" i="20" l="1"/>
  <c r="E37" i="20"/>
  <c r="D39" i="20" l="1"/>
  <c r="E38" i="20"/>
  <c r="E39" i="20" l="1"/>
  <c r="D40" i="20"/>
  <c r="E40" i="20" l="1"/>
  <c r="D41" i="20"/>
  <c r="D42" i="20" l="1"/>
  <c r="E41" i="20"/>
  <c r="A41" i="20"/>
  <c r="D43" i="20" l="1"/>
  <c r="E42" i="20"/>
  <c r="E43" i="20" l="1"/>
  <c r="D44" i="20"/>
  <c r="E44" i="20" l="1"/>
  <c r="D45" i="20"/>
  <c r="D46" i="20" l="1"/>
  <c r="E45" i="20"/>
  <c r="A45" i="20"/>
  <c r="E46" i="20" l="1"/>
  <c r="D47" i="20"/>
  <c r="D48" i="20" l="1"/>
  <c r="E47" i="20"/>
  <c r="D49" i="20" l="1"/>
  <c r="E48" i="20"/>
  <c r="D50" i="20" l="1"/>
  <c r="E49" i="20"/>
  <c r="E50" i="20" l="1"/>
  <c r="A50" i="20"/>
  <c r="A2" i="15" l="1"/>
  <c r="B90" i="15" l="1"/>
  <c r="B97" i="15" s="1"/>
  <c r="B104" i="15" s="1"/>
  <c r="B111" i="15" s="1"/>
  <c r="B118" i="15" s="1"/>
  <c r="B125" i="15" s="1"/>
  <c r="B132" i="15" s="1"/>
  <c r="B139" i="15" s="1"/>
  <c r="B146" i="15" s="1"/>
  <c r="B153" i="15" s="1"/>
  <c r="B160" i="15" s="1"/>
  <c r="B167" i="15" s="1"/>
  <c r="B176" i="15" s="1"/>
  <c r="B183" i="15" s="1"/>
  <c r="D7" i="15" l="1"/>
  <c r="C8" i="15"/>
  <c r="A8" i="15" s="1"/>
  <c r="C9" i="15" l="1"/>
  <c r="D8" i="15"/>
  <c r="D9" i="15" l="1"/>
  <c r="C10" i="15"/>
  <c r="C11" i="15" s="1"/>
  <c r="D11" i="15" l="1"/>
  <c r="C12" i="15"/>
  <c r="D12" i="15" s="1"/>
  <c r="D10" i="15"/>
  <c r="C13" i="15" l="1"/>
  <c r="D13" i="15" l="1"/>
  <c r="C14" i="15"/>
  <c r="D14" i="15" l="1"/>
  <c r="C15" i="15"/>
  <c r="A13" i="15" s="1"/>
  <c r="D15" i="15" l="1"/>
  <c r="C16" i="15"/>
  <c r="C17" i="15" l="1"/>
  <c r="D16" i="15"/>
  <c r="D17" i="15" l="1"/>
  <c r="C18" i="15"/>
  <c r="D18" i="15" l="1"/>
  <c r="C19" i="15"/>
  <c r="D19" i="15" l="1"/>
  <c r="C20" i="15"/>
  <c r="C21" i="15" l="1"/>
  <c r="D20" i="15"/>
  <c r="D21" i="15" l="1"/>
  <c r="C22" i="15"/>
  <c r="A20" i="15" s="1"/>
  <c r="D22" i="15" l="1"/>
  <c r="C23" i="15"/>
  <c r="D23" i="15" l="1"/>
  <c r="C24" i="15"/>
  <c r="C25" i="15" l="1"/>
  <c r="D24" i="15"/>
  <c r="D25" i="15" l="1"/>
  <c r="C26" i="15"/>
  <c r="D26" i="15" l="1"/>
  <c r="C27" i="15"/>
  <c r="D27" i="15" l="1"/>
  <c r="C28" i="15"/>
  <c r="C29" i="15" l="1"/>
  <c r="A27" i="15" s="1"/>
  <c r="D28" i="15"/>
  <c r="D29" i="15" l="1"/>
  <c r="C30" i="15"/>
  <c r="D30" i="15" l="1"/>
  <c r="C31" i="15"/>
  <c r="D31" i="15" l="1"/>
  <c r="C32" i="15"/>
  <c r="C33" i="15" l="1"/>
  <c r="D32" i="15"/>
  <c r="D33" i="15" l="1"/>
  <c r="C34" i="15"/>
  <c r="D34" i="15" l="1"/>
  <c r="C35" i="15"/>
  <c r="D35" i="15" l="1"/>
  <c r="C36" i="15"/>
  <c r="A34" i="15" s="1"/>
  <c r="C37" i="15" l="1"/>
  <c r="D36" i="15"/>
  <c r="D37" i="15" l="1"/>
  <c r="C38" i="15"/>
  <c r="D38" i="15" l="1"/>
  <c r="C39" i="15"/>
  <c r="D39" i="15" l="1"/>
  <c r="C40" i="15"/>
  <c r="C41" i="15" l="1"/>
  <c r="A41" i="15" s="1"/>
  <c r="D40" i="15"/>
  <c r="D41" i="15" l="1"/>
  <c r="C42" i="15"/>
  <c r="D42" i="15" l="1"/>
  <c r="C43" i="15"/>
  <c r="D43" i="15" l="1"/>
  <c r="C44" i="15"/>
  <c r="C45" i="15" l="1"/>
  <c r="D44" i="15"/>
  <c r="D45" i="15" l="1"/>
  <c r="C46" i="15"/>
  <c r="D46" i="15" l="1"/>
  <c r="C47" i="15"/>
  <c r="D47" i="15" l="1"/>
  <c r="C48" i="15"/>
  <c r="C49" i="15" l="1"/>
  <c r="D48" i="15"/>
  <c r="D49" i="15" l="1"/>
  <c r="C50" i="15"/>
  <c r="D50" i="15" l="1"/>
  <c r="C51" i="15"/>
  <c r="D51" i="15" l="1"/>
  <c r="C52" i="15"/>
  <c r="A52" i="15" s="1"/>
  <c r="A50" i="15" s="1"/>
  <c r="C53" i="15" l="1"/>
  <c r="D52" i="15"/>
  <c r="D53" i="15" l="1"/>
  <c r="C54" i="15"/>
  <c r="D54" i="15" l="1"/>
  <c r="C55" i="15"/>
  <c r="D55" i="15" l="1"/>
  <c r="C56" i="15"/>
  <c r="C57" i="15" l="1"/>
  <c r="D56" i="15"/>
  <c r="D57" i="15" l="1"/>
  <c r="C58" i="15"/>
  <c r="D58" i="15" l="1"/>
  <c r="C59" i="15"/>
  <c r="D59" i="15" l="1"/>
  <c r="C60" i="15"/>
  <c r="C61" i="15" l="1"/>
  <c r="D60" i="15"/>
  <c r="D61" i="15" l="1"/>
  <c r="C62" i="15"/>
  <c r="D62" i="15" l="1"/>
  <c r="C63" i="15"/>
  <c r="D63" i="15" l="1"/>
  <c r="C64" i="15"/>
  <c r="C65" i="15" l="1"/>
  <c r="D64" i="15"/>
  <c r="D65" i="15" l="1"/>
  <c r="C66" i="15"/>
  <c r="D66" i="15" l="1"/>
  <c r="C67" i="15"/>
  <c r="D67" i="15" l="1"/>
  <c r="C68" i="15"/>
  <c r="C69" i="15" l="1"/>
  <c r="D68" i="15"/>
  <c r="D69" i="15" l="1"/>
  <c r="C70" i="15"/>
  <c r="D70" i="15" l="1"/>
  <c r="C71" i="15"/>
  <c r="D71" i="15" l="1"/>
  <c r="C72" i="15"/>
  <c r="C73" i="15" l="1"/>
  <c r="D72" i="15"/>
  <c r="D73" i="15" l="1"/>
  <c r="C74" i="15"/>
  <c r="D74" i="15" l="1"/>
  <c r="C75" i="15"/>
  <c r="D75" i="15" l="1"/>
  <c r="C76" i="15"/>
  <c r="C77" i="15" l="1"/>
  <c r="D76" i="15"/>
  <c r="D77" i="15" l="1"/>
  <c r="C78" i="15"/>
  <c r="D78" i="15" l="1"/>
  <c r="C79" i="15"/>
  <c r="D79" i="15" l="1"/>
  <c r="C80" i="15"/>
  <c r="C81" i="15" l="1"/>
  <c r="D80" i="15"/>
  <c r="D81" i="15" l="1"/>
  <c r="C82" i="15"/>
  <c r="D82" i="15" l="1"/>
  <c r="C83" i="15"/>
  <c r="D83" i="15" l="1"/>
  <c r="C84" i="15"/>
  <c r="C85" i="15" l="1"/>
  <c r="A85" i="15" s="1"/>
  <c r="D84" i="15"/>
  <c r="D85" i="15" l="1"/>
  <c r="C86" i="15"/>
  <c r="D86" i="15" l="1"/>
  <c r="C87" i="15"/>
  <c r="D87" i="15" l="1"/>
  <c r="C88" i="15"/>
  <c r="C89" i="15" l="1"/>
  <c r="D88" i="15"/>
  <c r="D89" i="15" l="1"/>
  <c r="C90" i="15"/>
  <c r="D90" i="15" l="1"/>
  <c r="C91" i="15"/>
  <c r="D91" i="15" l="1"/>
  <c r="C92" i="15"/>
  <c r="C93" i="15" l="1"/>
  <c r="D92" i="15"/>
  <c r="D93" i="15" l="1"/>
  <c r="C94" i="15"/>
  <c r="D94" i="15" l="1"/>
  <c r="C95" i="15"/>
  <c r="D95" i="15" l="1"/>
  <c r="C96" i="15"/>
  <c r="C97" i="15" l="1"/>
  <c r="D96" i="15"/>
  <c r="D97" i="15" l="1"/>
  <c r="C98" i="15"/>
  <c r="C99" i="15" s="1"/>
  <c r="D99" i="15" l="1"/>
  <c r="C100" i="15"/>
  <c r="D98" i="15"/>
  <c r="D100" i="15" l="1"/>
  <c r="C101" i="15"/>
  <c r="D101" i="15" l="1"/>
  <c r="C102" i="15"/>
  <c r="D102" i="15" l="1"/>
  <c r="C103" i="15"/>
  <c r="D103" i="15" l="1"/>
  <c r="C104" i="15"/>
  <c r="C105" i="15" l="1"/>
  <c r="D104" i="15"/>
  <c r="D105" i="15" l="1"/>
  <c r="C106" i="15"/>
  <c r="D106" i="15" l="1"/>
  <c r="C107" i="15"/>
  <c r="D107" i="15" l="1"/>
  <c r="C108" i="15"/>
  <c r="C109" i="15" l="1"/>
  <c r="D108" i="15"/>
  <c r="C110" i="15" l="1"/>
  <c r="D109" i="15"/>
  <c r="C111" i="15" l="1"/>
  <c r="D110" i="15"/>
  <c r="D111" i="15" l="1"/>
  <c r="C112" i="15"/>
  <c r="D112" i="15" l="1"/>
  <c r="C113" i="15"/>
  <c r="A113" i="15" l="1"/>
  <c r="D113" i="15"/>
  <c r="C114" i="15"/>
  <c r="D114" i="15" l="1"/>
  <c r="C115" i="15"/>
  <c r="D115" i="15" l="1"/>
  <c r="C116" i="15"/>
  <c r="C117" i="15" l="1"/>
  <c r="D116" i="15"/>
  <c r="C118" i="15" l="1"/>
  <c r="D117" i="15"/>
  <c r="C119" i="15" l="1"/>
  <c r="D118" i="15"/>
  <c r="D119" i="15" l="1"/>
  <c r="C120" i="15"/>
  <c r="C121" i="15" l="1"/>
  <c r="D120" i="15"/>
  <c r="D121" i="15" l="1"/>
  <c r="C122" i="15"/>
  <c r="D122" i="15" l="1"/>
  <c r="C123" i="15"/>
  <c r="D123" i="15" l="1"/>
  <c r="C124" i="15"/>
  <c r="D124" i="15" l="1"/>
  <c r="C125" i="15"/>
  <c r="C126" i="15" l="1"/>
  <c r="D125" i="15"/>
  <c r="C127" i="15" l="1"/>
  <c r="D126" i="15"/>
  <c r="D127" i="15" l="1"/>
  <c r="C128" i="15"/>
  <c r="D128" i="15" l="1"/>
  <c r="C129" i="15"/>
  <c r="C130" i="15" l="1"/>
  <c r="D129" i="15"/>
  <c r="C131" i="15" l="1"/>
  <c r="D130" i="15"/>
  <c r="D131" i="15" l="1"/>
  <c r="C132" i="15"/>
  <c r="D132" i="15" l="1"/>
  <c r="C133" i="15"/>
  <c r="D133" i="15" l="1"/>
  <c r="C134" i="15"/>
  <c r="C135" i="15" l="1"/>
  <c r="D134" i="15"/>
  <c r="D135" i="15" l="1"/>
  <c r="C136" i="15"/>
  <c r="C137" i="15" l="1"/>
  <c r="D136" i="15"/>
  <c r="C138" i="15" l="1"/>
  <c r="D137" i="15"/>
  <c r="D138" i="15" l="1"/>
  <c r="C139" i="15"/>
  <c r="D139" i="15" l="1"/>
  <c r="C140" i="15"/>
  <c r="C141" i="15" s="1"/>
  <c r="C142" i="15" l="1"/>
  <c r="D141" i="15"/>
  <c r="D140" i="15"/>
  <c r="D142" i="15" l="1"/>
  <c r="C143" i="15"/>
  <c r="D143" i="15" l="1"/>
  <c r="C144" i="15"/>
  <c r="D144" i="15" l="1"/>
  <c r="C145" i="15"/>
  <c r="C146" i="15" l="1"/>
  <c r="D145" i="15"/>
  <c r="D146" i="15" l="1"/>
  <c r="C147" i="15"/>
  <c r="C148" i="15" l="1"/>
  <c r="D147" i="15"/>
  <c r="C149" i="15" l="1"/>
  <c r="A148" i="15"/>
  <c r="D148" i="15"/>
  <c r="C150" i="15" l="1"/>
  <c r="D149" i="15"/>
  <c r="D150" i="15" l="1"/>
  <c r="C151" i="15"/>
  <c r="D151" i="15" l="1"/>
  <c r="C152" i="15"/>
  <c r="D152" i="15" l="1"/>
  <c r="C153" i="15"/>
  <c r="D153" i="15" l="1"/>
  <c r="C154" i="15"/>
  <c r="D154" i="15" l="1"/>
  <c r="C155" i="15"/>
  <c r="C156" i="15" l="1"/>
  <c r="D155" i="15"/>
  <c r="D156" i="15" l="1"/>
  <c r="C157" i="15"/>
  <c r="D157" i="15" l="1"/>
  <c r="C158" i="15"/>
  <c r="C159" i="15" l="1"/>
  <c r="D158" i="15"/>
  <c r="D159" i="15" l="1"/>
  <c r="C160" i="15"/>
  <c r="D160" i="15" l="1"/>
  <c r="C161" i="15"/>
  <c r="D161" i="15" l="1"/>
  <c r="C163" i="15" l="1"/>
  <c r="C164" i="15" l="1"/>
  <c r="D163" i="15"/>
  <c r="C165" i="15" l="1"/>
  <c r="D164" i="15"/>
  <c r="C166" i="15" l="1"/>
  <c r="D165" i="15"/>
  <c r="C167" i="15" l="1"/>
  <c r="D166" i="15"/>
  <c r="C168" i="15" l="1"/>
  <c r="D167" i="15"/>
  <c r="D168" i="15" l="1"/>
  <c r="C169" i="15"/>
  <c r="D169" i="15" l="1"/>
  <c r="C170" i="15"/>
  <c r="C171" i="15" l="1"/>
  <c r="D170" i="15"/>
  <c r="D171" i="15" l="1"/>
  <c r="C172" i="15"/>
  <c r="D172" i="15" l="1"/>
  <c r="C173" i="15"/>
  <c r="D173" i="15" l="1"/>
  <c r="C174" i="15"/>
  <c r="D174" i="15" l="1"/>
  <c r="C175" i="15"/>
  <c r="D175" i="15" l="1"/>
  <c r="C176" i="15"/>
  <c r="C177" i="15" l="1"/>
  <c r="A176" i="15"/>
  <c r="D176" i="15"/>
  <c r="C178" i="15" l="1"/>
  <c r="D177" i="15"/>
  <c r="D178" i="15" l="1"/>
  <c r="C179" i="15"/>
  <c r="C180" i="15" l="1"/>
  <c r="D179" i="15"/>
  <c r="C181" i="15" l="1"/>
  <c r="D180" i="15"/>
  <c r="C182" i="15" l="1"/>
  <c r="D181" i="15"/>
  <c r="D182" i="15" l="1"/>
  <c r="C183" i="15"/>
  <c r="D183" i="15" l="1"/>
  <c r="C184" i="15"/>
  <c r="C185" i="15" l="1"/>
  <c r="D184" i="15"/>
  <c r="D185" i="15" l="1"/>
  <c r="C186" i="15"/>
  <c r="C187" i="15" l="1"/>
  <c r="D186" i="15"/>
  <c r="C188" i="15" l="1"/>
  <c r="D187" i="15"/>
  <c r="C189" i="15" l="1"/>
  <c r="D189" i="15" s="1"/>
  <c r="D188" i="15"/>
</calcChain>
</file>

<file path=xl/sharedStrings.xml><?xml version="1.0" encoding="utf-8"?>
<sst xmlns="http://schemas.openxmlformats.org/spreadsheetml/2006/main" count="238" uniqueCount="186">
  <si>
    <t>일자</t>
    <phoneticPr fontId="1" type="noConversion"/>
  </si>
  <si>
    <t>To-do list</t>
    <phoneticPr fontId="3" type="noConversion"/>
  </si>
  <si>
    <t>주차</t>
    <phoneticPr fontId="3" type="noConversion"/>
  </si>
  <si>
    <t>매매계약관련</t>
    <phoneticPr fontId="18" type="noConversion"/>
  </si>
  <si>
    <t>구분</t>
    <phoneticPr fontId="1" type="noConversion"/>
  </si>
  <si>
    <t>주요내용</t>
    <phoneticPr fontId="3" type="noConversion"/>
  </si>
  <si>
    <t>매수인 &amp; 임대인</t>
    <phoneticPr fontId="18" type="noConversion"/>
  </si>
  <si>
    <t>S&amp;L조건 협의</t>
    <phoneticPr fontId="18" type="noConversion"/>
  </si>
  <si>
    <t>대출약정관련</t>
    <phoneticPr fontId="18" type="noConversion"/>
  </si>
  <si>
    <t xml:space="preserve">조건 협의 -2.(Term sheet, 초안협의) </t>
    <phoneticPr fontId="18" type="noConversion"/>
  </si>
  <si>
    <t>비고</t>
    <phoneticPr fontId="18" type="noConversion"/>
  </si>
  <si>
    <t>감평, 재무, 법률, 시장, 물리실사 업체 선정업무</t>
    <phoneticPr fontId="18" type="noConversion"/>
  </si>
  <si>
    <t xml:space="preserve">조건 협의 -3.(Term sheet, 초안협의) </t>
    <phoneticPr fontId="18" type="noConversion"/>
  </si>
  <si>
    <t>실사 의뢰 (성공보수)</t>
    <phoneticPr fontId="18" type="noConversion"/>
  </si>
  <si>
    <t>조건 합의 및 매도확약서 및 임차확약서 접수(7/10)</t>
    <phoneticPr fontId="18" type="noConversion"/>
  </si>
  <si>
    <t>이사회 (양해각서 체결의 건) (7/22)
이사회 (정기주총 안건_자산보관계약 승인)</t>
    <phoneticPr fontId="18" type="noConversion"/>
  </si>
  <si>
    <t>이사회 (매매계약 및 임대차계약 체결의 건)</t>
    <phoneticPr fontId="18" type="noConversion"/>
  </si>
  <si>
    <t>투자심의위원회 자료베포(8/13)</t>
    <phoneticPr fontId="18" type="noConversion"/>
  </si>
  <si>
    <t>이사회 (매매계약 및 임대차계약 체결의 건)
주주총회 개최 및 승인 완료 (자산보관계약)</t>
    <phoneticPr fontId="18" type="noConversion"/>
  </si>
  <si>
    <t>[구월점] 계약금(10%) 지급(17억원)</t>
  </si>
  <si>
    <t>[구월점] 소유권이전 (12/23, 잔금 154억원)</t>
    <phoneticPr fontId="18" type="noConversion"/>
  </si>
  <si>
    <t>[신림점] 소유권이전 (10/21, 228억원)</t>
  </si>
  <si>
    <t>도급계약 체결</t>
  </si>
  <si>
    <t>시공사 선정 RFP초안 협의</t>
  </si>
  <si>
    <t>시공사 선정 RFP 발송</t>
  </si>
  <si>
    <t>계획 공사비관련 협의</t>
  </si>
  <si>
    <t>임대차 개시 (신림), 리뉴얼공사 착수</t>
  </si>
  <si>
    <t>25년 8월</t>
    <phoneticPr fontId="18" type="noConversion"/>
  </si>
  <si>
    <t>월</t>
    <phoneticPr fontId="18" type="noConversion"/>
  </si>
  <si>
    <t>주차</t>
    <phoneticPr fontId="18" type="noConversion"/>
  </si>
  <si>
    <t>공사관련</t>
    <phoneticPr fontId="18" type="noConversion"/>
  </si>
  <si>
    <t>안양PFV</t>
    <phoneticPr fontId="18" type="noConversion"/>
  </si>
  <si>
    <t>매도인</t>
    <phoneticPr fontId="18" type="noConversion"/>
  </si>
  <si>
    <t>매매계약서 체결
임대차전환동의서 징구</t>
    <phoneticPr fontId="18" type="noConversion"/>
  </si>
  <si>
    <t>1) 입찰제안서 제출 예정
2) 9월내 클로징 목표</t>
    <phoneticPr fontId="18" type="noConversion"/>
  </si>
  <si>
    <t>안양물류센터</t>
    <phoneticPr fontId="1" type="noConversion"/>
  </si>
  <si>
    <t>입찰공고</t>
    <phoneticPr fontId="18" type="noConversion"/>
  </si>
  <si>
    <t>거래종결</t>
    <phoneticPr fontId="18" type="noConversion"/>
  </si>
  <si>
    <t>투자관련</t>
    <phoneticPr fontId="18" type="noConversion"/>
  </si>
  <si>
    <t>추석 9/24-26</t>
    <phoneticPr fontId="18" type="noConversion"/>
  </si>
  <si>
    <t>KLI리츠</t>
    <phoneticPr fontId="18" type="noConversion"/>
  </si>
  <si>
    <t>투자자</t>
    <phoneticPr fontId="18" type="noConversion"/>
  </si>
  <si>
    <t>주요일정</t>
    <phoneticPr fontId="18" type="noConversion"/>
  </si>
  <si>
    <t>이지스, 삼성증권</t>
    <phoneticPr fontId="18" type="noConversion"/>
  </si>
  <si>
    <t>투자심의위원회
- 매입확약서 제출의 건
- 주주간계약 체결의 건</t>
    <phoneticPr fontId="18" type="noConversion"/>
  </si>
  <si>
    <t>대출약정 체결</t>
    <phoneticPr fontId="18" type="noConversion"/>
  </si>
  <si>
    <t>주주간계약 체결</t>
    <phoneticPr fontId="18" type="noConversion"/>
  </si>
  <si>
    <t>삼성증권 투자확약서 제출(조건부, To코람코)</t>
    <phoneticPr fontId="18" type="noConversion"/>
  </si>
  <si>
    <t>이지스 투자확약서 제출(조건부, To코람코)</t>
    <phoneticPr fontId="18" type="noConversion"/>
  </si>
  <si>
    <t>입찰제안 마감</t>
    <phoneticPr fontId="18" type="noConversion"/>
  </si>
  <si>
    <t>우리은행 등</t>
    <phoneticPr fontId="18" type="noConversion"/>
  </si>
  <si>
    <t>예비투자심의개최
- 양해각서 체결의 건
- 실사업체 선정의 건
발기설립 업무 착수</t>
    <phoneticPr fontId="18" type="noConversion"/>
  </si>
  <si>
    <t>매매계약서 합의</t>
    <phoneticPr fontId="18" type="noConversion"/>
  </si>
  <si>
    <t>영업인가 접수</t>
    <phoneticPr fontId="18" type="noConversion"/>
  </si>
  <si>
    <t>우협선정
발기설립 업무</t>
    <phoneticPr fontId="18" type="noConversion"/>
  </si>
  <si>
    <t>KLI리츠 매입확약서 송부(삼성증권)
주주간계약 합의(이지스, 삼성)</t>
    <phoneticPr fontId="18" type="noConversion"/>
  </si>
  <si>
    <t>코크렙 00호</t>
    <phoneticPr fontId="18" type="noConversion"/>
  </si>
  <si>
    <t>매매계약 전 영업인가 필요
매매계약서 체결
대출약정서 및 부속서류 체결
자산보관 및 담보신탁계약</t>
    <phoneticPr fontId="18" type="noConversion"/>
  </si>
  <si>
    <t>영업인가 완료(접수 후 2주)
매매계약 체결
주주간계약</t>
    <phoneticPr fontId="18" type="noConversion"/>
  </si>
  <si>
    <t xml:space="preserve">
매매계약 체결
주주간계약 체결</t>
    <phoneticPr fontId="18" type="noConversion"/>
  </si>
  <si>
    <t>심사완료</t>
    <phoneticPr fontId="18" type="noConversion"/>
  </si>
  <si>
    <t>영업인가 완료(접수 후 2주)
매매계약 체결
주주간계약 체결</t>
    <phoneticPr fontId="18" type="noConversion"/>
  </si>
  <si>
    <t xml:space="preserve">
주주간계약 체결</t>
    <phoneticPr fontId="18" type="noConversion"/>
  </si>
  <si>
    <t>인출일</t>
    <phoneticPr fontId="18" type="noConversion"/>
  </si>
  <si>
    <t>출자금 납입</t>
    <phoneticPr fontId="18" type="noConversion"/>
  </si>
  <si>
    <t>우협선정 및 통지</t>
    <phoneticPr fontId="18" type="noConversion"/>
  </si>
  <si>
    <t>입찰 참여</t>
    <phoneticPr fontId="18" type="noConversion"/>
  </si>
  <si>
    <t>주주간계약
매입확약서 및 매도확약서 확정</t>
    <phoneticPr fontId="18" type="noConversion"/>
  </si>
  <si>
    <t>선순위, 중순위 참여 대주 결정
담보신탁 및 자산보관 협의</t>
    <phoneticPr fontId="18" type="noConversion"/>
  </si>
  <si>
    <t>주주간계약
매입확약서 확정</t>
    <phoneticPr fontId="18" type="noConversion"/>
  </si>
  <si>
    <t>실사완료 필요</t>
    <phoneticPr fontId="18" type="noConversion"/>
  </si>
  <si>
    <t>실사완료 및 보고서 수령(실사의뢰 기준 4주)
(단, 양해각서 체결 후 물리실사 진행가능 예상)</t>
    <phoneticPr fontId="18" type="noConversion"/>
  </si>
  <si>
    <t>선순위, 중순위 대주 확정(우투 참여결정)</t>
    <phoneticPr fontId="18" type="noConversion"/>
  </si>
  <si>
    <r>
      <rPr>
        <b/>
        <sz val="11"/>
        <rFont val="KoPubWorld돋움체 Light"/>
        <family val="3"/>
        <charset val="129"/>
      </rPr>
      <t>양해각서 체결</t>
    </r>
    <r>
      <rPr>
        <sz val="11"/>
        <rFont val="KoPubWorld돋움체 Light"/>
        <family val="3"/>
        <charset val="129"/>
      </rPr>
      <t xml:space="preserve">
영업인가 사전협의 업무 착수</t>
    </r>
    <phoneticPr fontId="18" type="noConversion"/>
  </si>
  <si>
    <r>
      <rPr>
        <b/>
        <sz val="11"/>
        <rFont val="KoPubWorld돋움체 Light"/>
        <family val="3"/>
        <charset val="129"/>
      </rPr>
      <t>양해각서 체결</t>
    </r>
    <r>
      <rPr>
        <sz val="11"/>
        <rFont val="KoPubWorld돋움체 Light"/>
        <family val="3"/>
        <charset val="129"/>
      </rPr>
      <t xml:space="preserve">
(임대차 승계합의서)</t>
    </r>
    <phoneticPr fontId="18" type="noConversion"/>
  </si>
  <si>
    <r>
      <rPr>
        <b/>
        <sz val="11"/>
        <rFont val="KoPubWorld돋움체 Light"/>
        <family val="3"/>
        <charset val="129"/>
      </rPr>
      <t>양해각서 체결</t>
    </r>
    <r>
      <rPr>
        <sz val="11"/>
        <rFont val="KoPubWorld돋움체 Light"/>
        <family val="3"/>
        <charset val="129"/>
      </rPr>
      <t xml:space="preserve">
</t>
    </r>
    <r>
      <rPr>
        <sz val="11"/>
        <color rgb="FF0000FF"/>
        <rFont val="KoPubWorld돋움체 Light"/>
        <family val="3"/>
        <charset val="129"/>
      </rPr>
      <t>영업인가 사전협의 업무 착수</t>
    </r>
    <phoneticPr fontId="18" type="noConversion"/>
  </si>
  <si>
    <r>
      <t xml:space="preserve">영업인가 접수
</t>
    </r>
    <r>
      <rPr>
        <sz val="11"/>
        <rFont val="KoPubWorld돋움체 Light"/>
        <family val="3"/>
        <charset val="129"/>
      </rPr>
      <t>투자심의위원회
- 매매계약 체결의 건
- 주주간계약 체결의 건</t>
    </r>
    <phoneticPr fontId="18" type="noConversion"/>
  </si>
  <si>
    <t>주주간계약 및 차입 및 출자(140억원)
매입확약서 송부</t>
    <phoneticPr fontId="18" type="noConversion"/>
  </si>
  <si>
    <t>주주간계약서 협의 착수</t>
    <phoneticPr fontId="18" type="noConversion"/>
  </si>
  <si>
    <t>매매계약 체결
주주간계약 체결</t>
    <phoneticPr fontId="18" type="noConversion"/>
  </si>
  <si>
    <t>우협선정 및 통지
발기설립 업무</t>
    <phoneticPr fontId="18" type="noConversion"/>
  </si>
  <si>
    <t>대출약정 합의</t>
    <phoneticPr fontId="18" type="noConversion"/>
  </si>
  <si>
    <r>
      <rPr>
        <sz val="11"/>
        <color rgb="FF0000FF"/>
        <rFont val="KoPubWorld돋움체 Light"/>
        <family val="3"/>
        <charset val="129"/>
      </rPr>
      <t>영업인가 완료(접수 후 2주)</t>
    </r>
    <r>
      <rPr>
        <sz val="11"/>
        <rFont val="KoPubWorld돋움체 Light"/>
        <family val="3"/>
        <charset val="129"/>
      </rPr>
      <t xml:space="preserve">
매매계약 체결
주주간계약 체결</t>
    </r>
    <phoneticPr fontId="18" type="noConversion"/>
  </si>
  <si>
    <r>
      <rPr>
        <b/>
        <sz val="11"/>
        <color rgb="FF0000FF"/>
        <rFont val="KoPubWorld돋움체 Bold"/>
        <family val="3"/>
        <charset val="129"/>
      </rPr>
      <t>영업인가 접수</t>
    </r>
    <r>
      <rPr>
        <b/>
        <sz val="11"/>
        <rFont val="KoPubWorld돋움체 Bold"/>
        <family val="3"/>
        <charset val="129"/>
      </rPr>
      <t xml:space="preserve">
매매계약 합의</t>
    </r>
    <phoneticPr fontId="18" type="noConversion"/>
  </si>
  <si>
    <t>*실사완료 필요</t>
    <phoneticPr fontId="18" type="noConversion"/>
  </si>
  <si>
    <t>영업인가 사전협의 업무 착수</t>
    <phoneticPr fontId="18" type="noConversion"/>
  </si>
  <si>
    <t>코크렙 ##호</t>
    <phoneticPr fontId="18" type="noConversion"/>
  </si>
  <si>
    <r>
      <rPr>
        <b/>
        <u/>
        <sz val="11"/>
        <color rgb="FF0000FF"/>
        <rFont val="KoPubWorld돋움체 Bold"/>
        <family val="3"/>
        <charset val="129"/>
      </rPr>
      <t>영업인가 접수*</t>
    </r>
    <r>
      <rPr>
        <b/>
        <sz val="11"/>
        <rFont val="KoPubWorld돋움체 Bold"/>
        <family val="3"/>
        <charset val="129"/>
      </rPr>
      <t xml:space="preserve">
투자심의위원회
- 매매계약 체결의 건
- 주주간계약 체결의 건</t>
    </r>
    <phoneticPr fontId="18" type="noConversion"/>
  </si>
  <si>
    <t>매매계약서 합의
(임대차승계합의서 및 정산합의서 포함)</t>
    <phoneticPr fontId="18" type="noConversion"/>
  </si>
  <si>
    <t>입찰공고(7/15)</t>
    <phoneticPr fontId="18" type="noConversion"/>
  </si>
  <si>
    <t>우협선정 및 통지(8/18)</t>
    <phoneticPr fontId="18" type="noConversion"/>
  </si>
  <si>
    <t>양해각서 체결(8/28)
(임대차 승계합의서 협의)</t>
    <phoneticPr fontId="18" type="noConversion"/>
  </si>
  <si>
    <t>에쿼티 투자확약서 제출(조건부, 삼성, 우투)</t>
    <phoneticPr fontId="18" type="noConversion"/>
  </si>
  <si>
    <t>양해각서 체결</t>
    <phoneticPr fontId="18" type="noConversion"/>
  </si>
  <si>
    <t>심사완료 및 대출약정서 협의</t>
    <phoneticPr fontId="18" type="noConversion"/>
  </si>
  <si>
    <t>KLI리츠 매입확약서 송부(삼성증권, 우리투자)
주주간계약 합의(우투, 삼성, KLI리츠)</t>
    <phoneticPr fontId="18" type="noConversion"/>
  </si>
  <si>
    <t>영업인가 완료(접수 후 2주)
- 매매계약 체결
- 대출약정 체결
- 주주간계약</t>
    <phoneticPr fontId="18" type="noConversion"/>
  </si>
  <si>
    <t>*추석 9/24-26</t>
    <phoneticPr fontId="18" type="noConversion"/>
  </si>
  <si>
    <t>우협선정 통지
발기설립 업무 착수
감평/, 재무/, 법률/, 시장/, 물리실사 업체 선정업무
예비투자심의자료 베포</t>
    <phoneticPr fontId="18" type="noConversion"/>
  </si>
  <si>
    <t>거래종결(10/22)</t>
    <phoneticPr fontId="18" type="noConversion"/>
  </si>
  <si>
    <t>출자금 납입(10/21)</t>
    <phoneticPr fontId="18" type="noConversion"/>
  </si>
  <si>
    <t>인출일(10/22)</t>
    <phoneticPr fontId="18" type="noConversion"/>
  </si>
  <si>
    <t>[KLI리츠] 이사회 개최
사모사채 발행 및 인수계약(삼성증권)</t>
    <phoneticPr fontId="18" type="noConversion"/>
  </si>
  <si>
    <t>설립자본금관련 수권절차</t>
    <phoneticPr fontId="18" type="noConversion"/>
  </si>
  <si>
    <r>
      <rPr>
        <b/>
        <sz val="11"/>
        <rFont val="KoPubWorld돋움체 Bold"/>
        <family val="3"/>
        <charset val="129"/>
      </rPr>
      <t>예비투자심의개최</t>
    </r>
    <r>
      <rPr>
        <sz val="11"/>
        <rFont val="KoPubWorld돋움체 Light"/>
        <family val="3"/>
        <charset val="129"/>
      </rPr>
      <t xml:space="preserve">
- 양해각서 체결의 건
- 실사업체 선정의 건
- KLI리츠 설립자본금 투자의 건
</t>
    </r>
    <r>
      <rPr>
        <u/>
        <sz val="11"/>
        <rFont val="KoPubWorld돋움체 Light"/>
        <family val="3"/>
        <charset val="129"/>
      </rPr>
      <t>양해각서 체결</t>
    </r>
    <phoneticPr fontId="18" type="noConversion"/>
  </si>
  <si>
    <t>매매계약서 협의</t>
    <phoneticPr fontId="18" type="noConversion"/>
  </si>
  <si>
    <t>영업인가 사전협의 업무 착수
매매계약서 협의</t>
    <phoneticPr fontId="18" type="noConversion"/>
  </si>
  <si>
    <r>
      <t xml:space="preserve">선순위, 중순위 참여 대주 결정
담보신탁 및 자산보관 협의
</t>
    </r>
    <r>
      <rPr>
        <sz val="11"/>
        <color rgb="FFFF0000"/>
        <rFont val="KoPubWorld돋움체 Light"/>
        <family val="3"/>
        <charset val="129"/>
      </rPr>
      <t>심사일정 8월내 가능 여부 문의</t>
    </r>
    <phoneticPr fontId="18" type="noConversion"/>
  </si>
  <si>
    <t>우투 투자확약서 제출(조건부, To코람코)</t>
    <phoneticPr fontId="18" type="noConversion"/>
  </si>
  <si>
    <t>매매계약서 체결
임대차전환동의서 징구</t>
  </si>
  <si>
    <t>우리투자증권, 삼성증권 인수확약서 제출(LOC)</t>
    <phoneticPr fontId="3" type="noConversion"/>
  </si>
  <si>
    <t>우리은행, 우리투자증권 대주 참여의향서 제출</t>
    <phoneticPr fontId="3" type="noConversion"/>
  </si>
  <si>
    <t>실사업체 선정 협의</t>
    <phoneticPr fontId="3" type="noConversion"/>
  </si>
  <si>
    <t>입찰제안 마감일</t>
    <phoneticPr fontId="3" type="noConversion"/>
  </si>
  <si>
    <t>숏리스트 인터뷰 진행</t>
    <phoneticPr fontId="3" type="noConversion"/>
  </si>
  <si>
    <t>지정휴무일</t>
    <phoneticPr fontId="3" type="noConversion"/>
  </si>
  <si>
    <t>대체공휴일</t>
    <phoneticPr fontId="3" type="noConversion"/>
  </si>
  <si>
    <t>추석</t>
    <phoneticPr fontId="3" type="noConversion"/>
  </si>
  <si>
    <t>한글날</t>
    <phoneticPr fontId="3" type="noConversion"/>
  </si>
  <si>
    <t>우협선정 및 통지</t>
    <phoneticPr fontId="3" type="noConversion"/>
  </si>
  <si>
    <t>이사회 개최
- 신규설립리츠 설립자본금 투자의 건</t>
    <phoneticPr fontId="3" type="noConversion"/>
  </si>
  <si>
    <t>대주 심사완료</t>
    <phoneticPr fontId="3" type="noConversion"/>
  </si>
  <si>
    <t>대주 심사 착수</t>
    <phoneticPr fontId="3" type="noConversion"/>
  </si>
  <si>
    <t>D+2W</t>
    <phoneticPr fontId="3" type="noConversion"/>
  </si>
  <si>
    <t>D+3W</t>
    <phoneticPr fontId="3" type="noConversion"/>
  </si>
  <si>
    <t>D+4W</t>
    <phoneticPr fontId="3" type="noConversion"/>
  </si>
  <si>
    <t>D+5W</t>
    <phoneticPr fontId="3" type="noConversion"/>
  </si>
  <si>
    <t>D+1W</t>
    <phoneticPr fontId="3" type="noConversion"/>
  </si>
  <si>
    <t>발기설립 완료</t>
    <phoneticPr fontId="3" type="noConversion"/>
  </si>
  <si>
    <t>영업인가 공식 접수</t>
    <phoneticPr fontId="3" type="noConversion"/>
  </si>
  <si>
    <t>투자심의위원회 개최
- 매매계약 체결의 건
- 주주간계약 체결의 건</t>
    <phoneticPr fontId="3" type="noConversion"/>
  </si>
  <si>
    <t>투자심의위원회 
- 매입확약서 제출의 건
- 주주간계약 체결의 건</t>
    <phoneticPr fontId="3" type="noConversion"/>
  </si>
  <si>
    <t>이사회 개최
- 매입확약서 제출의 건
- 주주간계약 체결의 건
- 사모사채 발행 및 인수계약 체결의 건</t>
    <phoneticPr fontId="3" type="noConversion"/>
  </si>
  <si>
    <t>거래종결</t>
    <phoneticPr fontId="3" type="noConversion"/>
  </si>
  <si>
    <t>인출일</t>
    <phoneticPr fontId="3" type="noConversion"/>
  </si>
  <si>
    <t>출자금 납입</t>
    <phoneticPr fontId="3" type="noConversion"/>
  </si>
  <si>
    <t>영업인가 완료</t>
    <phoneticPr fontId="3" type="noConversion"/>
  </si>
  <si>
    <t>입찰제안서 제출</t>
    <phoneticPr fontId="3" type="noConversion"/>
  </si>
  <si>
    <t>매매계약 체결</t>
    <phoneticPr fontId="3" type="noConversion"/>
  </si>
  <si>
    <t>예비투자심의위원회 개최</t>
    <phoneticPr fontId="3" type="noConversion"/>
  </si>
  <si>
    <t>우협통지</t>
    <phoneticPr fontId="18" type="noConversion"/>
  </si>
  <si>
    <t xml:space="preserve">입찰제안 마감(8/5) 및 </t>
    <phoneticPr fontId="18" type="noConversion"/>
  </si>
  <si>
    <t>인터뷰(8/10) 예정</t>
    <phoneticPr fontId="18" type="noConversion"/>
  </si>
  <si>
    <t>주주총회 개최 
- 매매계약 체결의 건
- 주주간계약 체결의 건
- 대출약정 체결의 건</t>
    <phoneticPr fontId="3" type="noConversion"/>
  </si>
  <si>
    <t>주주총회 개최 
- 주주간계약 체결의 건
- 대출약정 체결의 건</t>
    <phoneticPr fontId="3" type="noConversion"/>
  </si>
  <si>
    <t>D+6W</t>
    <phoneticPr fontId="3" type="noConversion"/>
  </si>
  <si>
    <t>D+7W</t>
    <phoneticPr fontId="3" type="noConversion"/>
  </si>
  <si>
    <t xml:space="preserve">D+8W </t>
    <phoneticPr fontId="3" type="noConversion"/>
  </si>
  <si>
    <t>D+9W 독점적 협상기간 종료</t>
    <phoneticPr fontId="3" type="noConversion"/>
  </si>
  <si>
    <t>대출약정 체결</t>
    <phoneticPr fontId="3" type="noConversion"/>
  </si>
  <si>
    <t>주주간계약 체결의 건</t>
    <phoneticPr fontId="3" type="noConversion"/>
  </si>
  <si>
    <t>우리투자증권, 삼성증권, LF</t>
    <phoneticPr fontId="18" type="noConversion"/>
  </si>
  <si>
    <t>KLI리츠 IR자료 베포</t>
    <phoneticPr fontId="3" type="noConversion"/>
  </si>
  <si>
    <t>KLI 안양물류</t>
    <phoneticPr fontId="1" type="noConversion"/>
  </si>
  <si>
    <t xml:space="preserve">실사업체 선정 업무 조율 완료
- 법무, 시장, 재무 완료/ 물리 진행중 </t>
    <phoneticPr fontId="3" type="noConversion"/>
  </si>
  <si>
    <t>양해각서 체결</t>
    <phoneticPr fontId="3" type="noConversion"/>
  </si>
  <si>
    <t>예비투자심의자료 베포</t>
    <phoneticPr fontId="3" type="noConversion"/>
  </si>
  <si>
    <t>영업인가 사전협의(2)</t>
    <phoneticPr fontId="3" type="noConversion"/>
  </si>
  <si>
    <t>영업인가 사전협의(3)</t>
    <phoneticPr fontId="3" type="noConversion"/>
  </si>
  <si>
    <t>대출약정서 협의(1)</t>
    <phoneticPr fontId="3" type="noConversion"/>
  </si>
  <si>
    <t>대출약정서 협의(2)</t>
    <phoneticPr fontId="3" type="noConversion"/>
  </si>
  <si>
    <t>실사업무 착수(3)</t>
    <phoneticPr fontId="3" type="noConversion"/>
  </si>
  <si>
    <t>실사업무 착수(2)</t>
    <phoneticPr fontId="3" type="noConversion"/>
  </si>
  <si>
    <r>
      <t xml:space="preserve">발기설립 업무 착수
</t>
    </r>
    <r>
      <rPr>
        <b/>
        <sz val="11"/>
        <color theme="1"/>
        <rFont val="KoPubWorld돋움체 Light"/>
        <family val="3"/>
        <charset val="129"/>
      </rPr>
      <t>실사업체 업무 착수(0)</t>
    </r>
    <phoneticPr fontId="3" type="noConversion"/>
  </si>
  <si>
    <t>대출약정서 협의(0)</t>
    <phoneticPr fontId="3" type="noConversion"/>
  </si>
  <si>
    <t>본 투자심의위원회</t>
    <phoneticPr fontId="3" type="noConversion"/>
  </si>
  <si>
    <t>주주간계약 합의</t>
    <phoneticPr fontId="3" type="noConversion"/>
  </si>
  <si>
    <t>양해각서 체결(코람코자산신탁)
영업인가 사전협의 업무 착수
3종 세트 (자산관리, 자산보관, 사무수탁) 업무 착수
실사업무 착수(1)</t>
    <phoneticPr fontId="3" type="noConversion"/>
  </si>
  <si>
    <t>양해각서 체결(D-day)
매매계약서 협의 착수(0)</t>
    <phoneticPr fontId="3" type="noConversion"/>
  </si>
  <si>
    <t>매매계약서 협의(1)</t>
    <phoneticPr fontId="3" type="noConversion"/>
  </si>
  <si>
    <t>매매계약서 협의(2)</t>
    <phoneticPr fontId="3" type="noConversion"/>
  </si>
  <si>
    <t>매매계약서 협의(3)</t>
    <phoneticPr fontId="3" type="noConversion"/>
  </si>
  <si>
    <t>예비투심
- 양해각서 체결의 건
- 실사업체 선정의 건</t>
    <phoneticPr fontId="3" type="noConversion"/>
  </si>
  <si>
    <t>실사보고서 보완 및 최종본 수령(4)</t>
    <phoneticPr fontId="3" type="noConversion"/>
  </si>
  <si>
    <t>투자심의위원회 자료 베포</t>
    <phoneticPr fontId="3" type="noConversion"/>
  </si>
  <si>
    <t>주주간계약 체결</t>
    <phoneticPr fontId="3" type="noConversion"/>
  </si>
  <si>
    <t>주주간계약 협의(0)</t>
    <phoneticPr fontId="3" type="noConversion"/>
  </si>
  <si>
    <t>주주간계약 협의(1)</t>
    <phoneticPr fontId="3" type="noConversion"/>
  </si>
  <si>
    <t>주주간계약 협의(2)</t>
    <phoneticPr fontId="3" type="noConversion"/>
  </si>
  <si>
    <t>주주간계약 협의(3)</t>
    <phoneticPr fontId="3" type="noConversion"/>
  </si>
  <si>
    <t>매매게약서 합의
(임대차승계합의서 및 정산합의서 포함)</t>
    <phoneticPr fontId="3" type="noConversion"/>
  </si>
  <si>
    <r>
      <t xml:space="preserve">실사보고서 초안 수령
</t>
    </r>
    <r>
      <rPr>
        <sz val="11"/>
        <color rgb="FF0000FF"/>
        <rFont val="KoPubWorld돋움체 Bold"/>
        <family val="3"/>
        <charset val="129"/>
      </rPr>
      <t>영업인가 공식 접수</t>
    </r>
    <phoneticPr fontId="3" type="noConversion"/>
  </si>
  <si>
    <t>영업인가
매매계약서, 주주간계약 등 체결
대출약정서 및 부속서류 체결
자산보관 및 담보신탁계약</t>
    <phoneticPr fontId="3" type="noConversion"/>
  </si>
  <si>
    <t>보통주 조달 협의(회사채, 2년물)</t>
    <phoneticPr fontId="3" type="noConversion"/>
  </si>
  <si>
    <t>발행 및 인수계약서 합의</t>
    <phoneticPr fontId="3" type="noConversion"/>
  </si>
  <si>
    <t>주주간계약 및 차입 및 출자(144억원)
매입확약서 송부
설립자본금 투입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</si>
</sst>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&quot;년&quot;\ m&quot;월&quot;;@"/>
    <numFmt numFmtId="177" formatCode="#,##0&quot;주&quot;&quot;차&quot;"/>
  </numFmts>
  <fonts count="26" x14ac:knownFonts="1">
    <font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10"/>
      <name val="Arial"/>
      <family val="2"/>
    </font>
    <font>
      <sz val="8"/>
      <name val="맑은 고딕"/>
      <family val="3"/>
      <charset val="129"/>
    </font>
    <font>
      <sz val="11"/>
      <color theme="1"/>
      <name val="KoPubWorld돋움체 Light"/>
      <family val="3"/>
      <charset val="129"/>
    </font>
    <font>
      <b/>
      <sz val="11"/>
      <color theme="1"/>
      <name val="KoPubWorld돋움체 Light"/>
      <family val="3"/>
      <charset val="129"/>
    </font>
    <font>
      <b/>
      <sz val="14"/>
      <color theme="1"/>
      <name val="KoPubWorld돋움체 Light"/>
      <family val="3"/>
      <charset val="129"/>
    </font>
    <font>
      <sz val="11"/>
      <color rgb="FFFF0000"/>
      <name val="KoPubWorld돋움체 Light"/>
      <family val="3"/>
      <charset val="129"/>
    </font>
    <font>
      <b/>
      <sz val="11"/>
      <color rgb="FFFF0000"/>
      <name val="KoPubWorld돋움체 Light"/>
      <family val="3"/>
      <charset val="129"/>
    </font>
    <font>
      <b/>
      <sz val="11"/>
      <name val="KoPubWorld돋움체 Light"/>
      <family val="3"/>
      <charset val="129"/>
    </font>
    <font>
      <sz val="11"/>
      <color rgb="FF0000FF"/>
      <name val="KoPubWorld돋움체 Light"/>
      <family val="3"/>
      <charset val="129"/>
    </font>
    <font>
      <b/>
      <sz val="11"/>
      <color theme="1"/>
      <name val="KoPubWorld돋움체 Bold"/>
      <family val="3"/>
      <charset val="129"/>
    </font>
    <font>
      <sz val="11"/>
      <color theme="1"/>
      <name val="KoPubWorld돋움체 Bold"/>
      <family val="3"/>
      <charset val="129"/>
    </font>
    <font>
      <sz val="11"/>
      <name val="KoPubWorld돋움체 Light"/>
      <family val="3"/>
      <charset val="129"/>
    </font>
    <font>
      <sz val="11"/>
      <color theme="0"/>
      <name val="KoPubWorld돋움체 Light"/>
      <family val="3"/>
      <charset val="129"/>
    </font>
    <font>
      <sz val="11"/>
      <color rgb="FFFF0000"/>
      <name val="KoPubWorld돋움체 Bold"/>
      <family val="3"/>
      <charset val="129"/>
    </font>
    <font>
      <b/>
      <sz val="11"/>
      <color rgb="FF0000FF"/>
      <name val="KoPubWorld돋움체 Light"/>
      <family val="3"/>
      <charset val="129"/>
    </font>
    <font>
      <b/>
      <sz val="11"/>
      <color rgb="FFFF0000"/>
      <name val="KoPubWorld돋움체 Bold"/>
      <family val="3"/>
      <charset val="129"/>
    </font>
    <font>
      <sz val="8"/>
      <name val="맑은 고딕"/>
      <family val="3"/>
      <charset val="129"/>
      <scheme val="minor"/>
    </font>
    <font>
      <b/>
      <sz val="14"/>
      <name val="KoPubWorld돋움체 Light"/>
      <family val="3"/>
      <charset val="129"/>
    </font>
    <font>
      <b/>
      <sz val="11"/>
      <name val="KoPubWorld돋움체 Bold"/>
      <family val="3"/>
      <charset val="129"/>
    </font>
    <font>
      <sz val="11"/>
      <name val="KoPubWorld돋움체 Bold"/>
      <family val="3"/>
      <charset val="129"/>
    </font>
    <font>
      <b/>
      <sz val="11"/>
      <color rgb="FF0000FF"/>
      <name val="KoPubWorld돋움체 Bold"/>
      <family val="3"/>
      <charset val="129"/>
    </font>
    <font>
      <u/>
      <sz val="11"/>
      <name val="KoPubWorld돋움체 Light"/>
      <family val="3"/>
      <charset val="129"/>
    </font>
    <font>
      <b/>
      <u/>
      <sz val="11"/>
      <color rgb="FF0000FF"/>
      <name val="KoPubWorld돋움체 Bold"/>
      <family val="3"/>
      <charset val="129"/>
    </font>
    <font>
      <sz val="11"/>
      <color rgb="FF0000FF"/>
      <name val="KoPubWorld돋움체 Bold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255">
    <xf numFmtId="0" fontId="0" fillId="0" borderId="0" xfId="0">
      <alignment vertical="center"/>
    </xf>
    <xf numFmtId="0" fontId="4" fillId="0" borderId="0" xfId="0" applyFont="1">
      <alignment vertical="center"/>
    </xf>
    <xf numFmtId="14" fontId="4" fillId="3" borderId="0" xfId="0" applyNumberFormat="1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4" fillId="0" borderId="1" xfId="0" applyFont="1" applyBorder="1" applyAlignment="1">
      <alignment horizontal="left" vertical="center" wrapText="1"/>
    </xf>
    <xf numFmtId="14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left" vertical="center" wrapText="1"/>
    </xf>
    <xf numFmtId="0" fontId="4" fillId="6" borderId="1" xfId="0" applyFont="1" applyFill="1" applyBorder="1" applyAlignment="1">
      <alignment horizontal="left" vertical="center" wrapText="1"/>
    </xf>
    <xf numFmtId="0" fontId="4" fillId="6" borderId="0" xfId="0" applyFont="1" applyFill="1">
      <alignment vertical="center"/>
    </xf>
    <xf numFmtId="0" fontId="6" fillId="3" borderId="0" xfId="0" applyFont="1" applyFill="1" applyAlignment="1">
      <alignment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vertical="center" wrapText="1"/>
    </xf>
    <xf numFmtId="0" fontId="4" fillId="0" borderId="0" xfId="0" applyFont="1" applyAlignment="1">
      <alignment horizontal="center" vertical="center"/>
    </xf>
    <xf numFmtId="176" fontId="4" fillId="0" borderId="4" xfId="0" applyNumberFormat="1" applyFont="1" applyBorder="1">
      <alignment vertical="center"/>
    </xf>
    <xf numFmtId="14" fontId="4" fillId="0" borderId="6" xfId="0" applyNumberFormat="1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14" fontId="4" fillId="0" borderId="7" xfId="0" applyNumberFormat="1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left" vertical="center" wrapText="1"/>
    </xf>
    <xf numFmtId="14" fontId="4" fillId="3" borderId="7" xfId="0" applyNumberFormat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 wrapText="1"/>
    </xf>
    <xf numFmtId="14" fontId="4" fillId="7" borderId="7" xfId="0" applyNumberFormat="1" applyFont="1" applyFill="1" applyBorder="1" applyAlignment="1">
      <alignment horizontal="center" vertical="center" wrapText="1"/>
    </xf>
    <xf numFmtId="0" fontId="4" fillId="7" borderId="7" xfId="0" applyFont="1" applyFill="1" applyBorder="1" applyAlignment="1">
      <alignment horizontal="center" vertical="center" wrapText="1"/>
    </xf>
    <xf numFmtId="0" fontId="9" fillId="0" borderId="7" xfId="0" applyFont="1" applyBorder="1" applyAlignment="1">
      <alignment horizontal="left" vertical="center" wrapText="1"/>
    </xf>
    <xf numFmtId="14" fontId="4" fillId="0" borderId="8" xfId="0" applyNumberFormat="1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6" fillId="3" borderId="0" xfId="0" applyFont="1" applyFill="1" applyAlignment="1">
      <alignment horizontal="left" vertical="center" wrapText="1"/>
    </xf>
    <xf numFmtId="0" fontId="4" fillId="3" borderId="0" xfId="0" applyFont="1" applyFill="1" applyAlignment="1">
      <alignment horizontal="left" vertical="center" wrapText="1"/>
    </xf>
    <xf numFmtId="0" fontId="4" fillId="4" borderId="1" xfId="0" applyFont="1" applyFill="1" applyBorder="1" applyAlignment="1">
      <alignment horizontal="left" vertical="center" wrapText="1"/>
    </xf>
    <xf numFmtId="0" fontId="4" fillId="3" borderId="0" xfId="0" applyFont="1" applyFill="1" applyAlignment="1">
      <alignment vertical="center" wrapText="1"/>
    </xf>
    <xf numFmtId="0" fontId="4" fillId="0" borderId="6" xfId="0" applyFont="1" applyBorder="1" applyAlignment="1">
      <alignment vertical="center" wrapText="1"/>
    </xf>
    <xf numFmtId="0" fontId="4" fillId="0" borderId="7" xfId="0" applyFont="1" applyBorder="1" applyAlignment="1">
      <alignment vertical="center" wrapText="1"/>
    </xf>
    <xf numFmtId="0" fontId="4" fillId="7" borderId="7" xfId="0" applyFont="1" applyFill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13" fillId="0" borderId="7" xfId="0" applyFont="1" applyBorder="1" applyAlignment="1">
      <alignment horizontal="left" vertical="center" wrapText="1"/>
    </xf>
    <xf numFmtId="14" fontId="4" fillId="8" borderId="7" xfId="0" applyNumberFormat="1" applyFont="1" applyFill="1" applyBorder="1" applyAlignment="1">
      <alignment horizontal="center" vertical="center" wrapText="1"/>
    </xf>
    <xf numFmtId="0" fontId="4" fillId="8" borderId="7" xfId="0" applyFont="1" applyFill="1" applyBorder="1" applyAlignment="1">
      <alignment horizontal="center" vertical="center" wrapText="1"/>
    </xf>
    <xf numFmtId="0" fontId="4" fillId="8" borderId="7" xfId="0" applyFont="1" applyFill="1" applyBorder="1" applyAlignment="1">
      <alignment vertical="center" wrapText="1"/>
    </xf>
    <xf numFmtId="0" fontId="4" fillId="8" borderId="7" xfId="0" applyFont="1" applyFill="1" applyBorder="1" applyAlignment="1">
      <alignment horizontal="left" vertical="center" wrapText="1"/>
    </xf>
    <xf numFmtId="14" fontId="6" fillId="3" borderId="0" xfId="0" applyNumberFormat="1" applyFont="1" applyFill="1" applyAlignment="1">
      <alignment vertical="center" wrapText="1"/>
    </xf>
    <xf numFmtId="14" fontId="4" fillId="3" borderId="0" xfId="1" applyNumberFormat="1" applyFont="1" applyFill="1" applyAlignment="1">
      <alignment wrapText="1"/>
    </xf>
    <xf numFmtId="0" fontId="4" fillId="4" borderId="3" xfId="0" applyFont="1" applyFill="1" applyBorder="1" applyAlignment="1">
      <alignment vertical="center" wrapText="1"/>
    </xf>
    <xf numFmtId="0" fontId="4" fillId="0" borderId="10" xfId="0" applyFont="1" applyBorder="1" applyAlignment="1">
      <alignment vertical="center" wrapText="1"/>
    </xf>
    <xf numFmtId="0" fontId="4" fillId="0" borderId="11" xfId="0" applyFont="1" applyBorder="1" applyAlignment="1">
      <alignment vertical="center" wrapText="1"/>
    </xf>
    <xf numFmtId="0" fontId="5" fillId="0" borderId="11" xfId="0" applyFont="1" applyBorder="1" applyAlignment="1">
      <alignment vertical="center" wrapText="1"/>
    </xf>
    <xf numFmtId="0" fontId="4" fillId="3" borderId="11" xfId="0" applyFont="1" applyFill="1" applyBorder="1" applyAlignment="1">
      <alignment vertical="center" wrapText="1"/>
    </xf>
    <xf numFmtId="176" fontId="4" fillId="0" borderId="0" xfId="0" applyNumberFormat="1" applyFont="1">
      <alignment vertical="center"/>
    </xf>
    <xf numFmtId="176" fontId="14" fillId="0" borderId="0" xfId="0" applyNumberFormat="1" applyFont="1">
      <alignment vertical="center"/>
    </xf>
    <xf numFmtId="0" fontId="4" fillId="0" borderId="5" xfId="0" applyFont="1" applyBorder="1">
      <alignment vertical="center"/>
    </xf>
    <xf numFmtId="14" fontId="4" fillId="9" borderId="7" xfId="0" applyNumberFormat="1" applyFont="1" applyFill="1" applyBorder="1" applyAlignment="1">
      <alignment horizontal="center" vertical="center" wrapText="1"/>
    </xf>
    <xf numFmtId="0" fontId="4" fillId="9" borderId="7" xfId="0" applyFont="1" applyFill="1" applyBorder="1" applyAlignment="1">
      <alignment horizontal="center" vertical="center" wrapText="1"/>
    </xf>
    <xf numFmtId="0" fontId="4" fillId="9" borderId="7" xfId="0" applyFont="1" applyFill="1" applyBorder="1" applyAlignment="1">
      <alignment vertical="center" wrapText="1"/>
    </xf>
    <xf numFmtId="0" fontId="4" fillId="9" borderId="7" xfId="0" applyFont="1" applyFill="1" applyBorder="1" applyAlignment="1">
      <alignment horizontal="left" vertical="center" wrapText="1"/>
    </xf>
    <xf numFmtId="0" fontId="4" fillId="9" borderId="11" xfId="0" applyFont="1" applyFill="1" applyBorder="1" applyAlignment="1">
      <alignment vertical="center" wrapText="1"/>
    </xf>
    <xf numFmtId="0" fontId="7" fillId="0" borderId="11" xfId="0" applyFont="1" applyBorder="1" applyAlignment="1">
      <alignment vertical="center" wrapText="1"/>
    </xf>
    <xf numFmtId="0" fontId="4" fillId="8" borderId="11" xfId="0" applyFont="1" applyFill="1" applyBorder="1" applyAlignment="1">
      <alignment vertical="center" wrapText="1"/>
    </xf>
    <xf numFmtId="0" fontId="4" fillId="7" borderId="11" xfId="0" applyFont="1" applyFill="1" applyBorder="1" applyAlignment="1">
      <alignment vertical="center" wrapText="1"/>
    </xf>
    <xf numFmtId="0" fontId="4" fillId="4" borderId="3" xfId="0" applyFont="1" applyFill="1" applyBorder="1" applyAlignment="1">
      <alignment horizontal="center" vertical="center" wrapText="1"/>
    </xf>
    <xf numFmtId="0" fontId="12" fillId="0" borderId="7" xfId="0" applyFont="1" applyBorder="1" applyAlignment="1">
      <alignment vertical="center" wrapText="1"/>
    </xf>
    <xf numFmtId="177" fontId="4" fillId="0" borderId="12" xfId="0" applyNumberFormat="1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>
      <alignment vertical="center"/>
    </xf>
    <xf numFmtId="14" fontId="13" fillId="0" borderId="7" xfId="0" applyNumberFormat="1" applyFont="1" applyBorder="1" applyAlignment="1">
      <alignment horizontal="center" vertical="center" wrapText="1"/>
    </xf>
    <xf numFmtId="0" fontId="13" fillId="0" borderId="7" xfId="0" applyFont="1" applyBorder="1" applyAlignment="1">
      <alignment horizontal="center" vertical="center" wrapText="1"/>
    </xf>
    <xf numFmtId="0" fontId="13" fillId="0" borderId="11" xfId="0" applyFont="1" applyBorder="1" applyAlignment="1">
      <alignment vertical="center" wrapText="1"/>
    </xf>
    <xf numFmtId="14" fontId="4" fillId="5" borderId="7" xfId="0" applyNumberFormat="1" applyFont="1" applyFill="1" applyBorder="1" applyAlignment="1">
      <alignment horizontal="center" vertical="center" wrapText="1"/>
    </xf>
    <xf numFmtId="0" fontId="4" fillId="5" borderId="7" xfId="0" applyFont="1" applyFill="1" applyBorder="1" applyAlignment="1">
      <alignment horizontal="center" vertical="center" wrapText="1"/>
    </xf>
    <xf numFmtId="0" fontId="4" fillId="5" borderId="7" xfId="0" applyFont="1" applyFill="1" applyBorder="1" applyAlignment="1">
      <alignment vertical="center" wrapText="1"/>
    </xf>
    <xf numFmtId="0" fontId="4" fillId="5" borderId="11" xfId="0" applyFont="1" applyFill="1" applyBorder="1" applyAlignment="1">
      <alignment vertical="center" wrapText="1"/>
    </xf>
    <xf numFmtId="0" fontId="4" fillId="0" borderId="4" xfId="0" applyFont="1" applyBorder="1">
      <alignment vertical="center"/>
    </xf>
    <xf numFmtId="177" fontId="4" fillId="0" borderId="15" xfId="0" applyNumberFormat="1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176" fontId="4" fillId="0" borderId="15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14" fontId="4" fillId="10" borderId="7" xfId="0" applyNumberFormat="1" applyFont="1" applyFill="1" applyBorder="1" applyAlignment="1">
      <alignment horizontal="center" vertical="center" wrapText="1"/>
    </xf>
    <xf numFmtId="0" fontId="4" fillId="10" borderId="7" xfId="0" applyFont="1" applyFill="1" applyBorder="1" applyAlignment="1">
      <alignment horizontal="center" vertical="center" wrapText="1"/>
    </xf>
    <xf numFmtId="14" fontId="5" fillId="0" borderId="7" xfId="0" applyNumberFormat="1" applyFont="1" applyBorder="1" applyAlignment="1">
      <alignment horizontal="center" vertical="center" wrapText="1"/>
    </xf>
    <xf numFmtId="0" fontId="11" fillId="0" borderId="7" xfId="0" applyFont="1" applyBorder="1" applyAlignment="1">
      <alignment vertical="center" wrapText="1"/>
    </xf>
    <xf numFmtId="0" fontId="5" fillId="0" borderId="7" xfId="0" applyFont="1" applyBorder="1" applyAlignment="1">
      <alignment vertical="center" wrapText="1"/>
    </xf>
    <xf numFmtId="14" fontId="19" fillId="3" borderId="0" xfId="0" applyNumberFormat="1" applyFont="1" applyFill="1" applyAlignment="1">
      <alignment horizontal="left" vertical="center" wrapText="1"/>
    </xf>
    <xf numFmtId="0" fontId="19" fillId="3" borderId="0" xfId="0" applyFont="1" applyFill="1" applyAlignment="1">
      <alignment horizontal="left" vertical="center" wrapText="1"/>
    </xf>
    <xf numFmtId="0" fontId="13" fillId="3" borderId="0" xfId="0" applyFont="1" applyFill="1" applyAlignment="1">
      <alignment horizontal="left" vertical="center" wrapText="1"/>
    </xf>
    <xf numFmtId="0" fontId="13" fillId="0" borderId="1" xfId="0" applyFont="1" applyBorder="1" applyAlignment="1">
      <alignment horizontal="left" vertical="center" wrapText="1"/>
    </xf>
    <xf numFmtId="0" fontId="9" fillId="0" borderId="6" xfId="0" applyFont="1" applyBorder="1" applyAlignment="1">
      <alignment horizontal="left" vertical="center" wrapText="1"/>
    </xf>
    <xf numFmtId="0" fontId="13" fillId="0" borderId="0" xfId="0" applyFont="1" applyAlignment="1">
      <alignment horizontal="left" vertical="center" wrapText="1"/>
    </xf>
    <xf numFmtId="0" fontId="4" fillId="12" borderId="0" xfId="0" applyFont="1" applyFill="1">
      <alignment vertical="center"/>
    </xf>
    <xf numFmtId="177" fontId="4" fillId="0" borderId="0" xfId="0" applyNumberFormat="1" applyFont="1">
      <alignment vertical="center"/>
    </xf>
    <xf numFmtId="14" fontId="6" fillId="0" borderId="0" xfId="0" applyNumberFormat="1" applyFont="1" applyAlignment="1">
      <alignment vertical="center" wrapText="1"/>
    </xf>
    <xf numFmtId="14" fontId="4" fillId="0" borderId="0" xfId="1" applyNumberFormat="1" applyFont="1" applyAlignment="1">
      <alignment wrapText="1"/>
    </xf>
    <xf numFmtId="14" fontId="4" fillId="0" borderId="17" xfId="0" applyNumberFormat="1" applyFont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 wrapText="1"/>
    </xf>
    <xf numFmtId="0" fontId="13" fillId="0" borderId="17" xfId="0" applyFont="1" applyBorder="1" applyAlignment="1">
      <alignment horizontal="left" vertical="center" wrapText="1"/>
    </xf>
    <xf numFmtId="177" fontId="4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left" vertical="center" wrapText="1"/>
    </xf>
    <xf numFmtId="0" fontId="5" fillId="0" borderId="0" xfId="0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20" fillId="0" borderId="0" xfId="0" applyFont="1" applyAlignment="1">
      <alignment horizontal="left" vertical="center" wrapText="1"/>
    </xf>
    <xf numFmtId="0" fontId="21" fillId="0" borderId="0" xfId="0" applyFont="1" applyAlignment="1">
      <alignment horizontal="left" vertical="center" wrapText="1"/>
    </xf>
    <xf numFmtId="0" fontId="11" fillId="0" borderId="0" xfId="0" applyFont="1" applyAlignment="1">
      <alignment vertical="center" wrapText="1"/>
    </xf>
    <xf numFmtId="176" fontId="4" fillId="0" borderId="0" xfId="0" applyNumberFormat="1" applyFont="1" applyAlignment="1">
      <alignment horizontal="center" vertical="center"/>
    </xf>
    <xf numFmtId="14" fontId="13" fillId="0" borderId="0" xfId="0" applyNumberFormat="1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14" fontId="1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20" fillId="11" borderId="0" xfId="0" applyFont="1" applyFill="1" applyAlignment="1">
      <alignment horizontal="left" vertical="center" wrapText="1"/>
    </xf>
    <xf numFmtId="0" fontId="9" fillId="5" borderId="0" xfId="0" applyFont="1" applyFill="1" applyAlignment="1">
      <alignment horizontal="left" vertical="center" wrapText="1"/>
    </xf>
    <xf numFmtId="0" fontId="13" fillId="5" borderId="0" xfId="0" applyFont="1" applyFill="1" applyAlignment="1">
      <alignment horizontal="left" vertical="center" wrapText="1"/>
    </xf>
    <xf numFmtId="0" fontId="9" fillId="9" borderId="0" xfId="0" applyFont="1" applyFill="1" applyAlignment="1">
      <alignment horizontal="left" vertical="center" wrapText="1"/>
    </xf>
    <xf numFmtId="0" fontId="21" fillId="7" borderId="0" xfId="0" applyFont="1" applyFill="1" applyAlignment="1">
      <alignment horizontal="left" vertical="center" wrapText="1"/>
    </xf>
    <xf numFmtId="14" fontId="5" fillId="0" borderId="0" xfId="0" applyNumberFormat="1" applyFont="1" applyAlignment="1">
      <alignment horizontal="center" vertical="center" wrapText="1"/>
    </xf>
    <xf numFmtId="0" fontId="9" fillId="8" borderId="0" xfId="0" applyFont="1" applyFill="1" applyAlignment="1">
      <alignment horizontal="left" vertical="center" wrapText="1"/>
    </xf>
    <xf numFmtId="0" fontId="9" fillId="4" borderId="12" xfId="0" applyFont="1" applyFill="1" applyBorder="1" applyAlignment="1">
      <alignment horizontal="center" vertical="center" wrapText="1"/>
    </xf>
    <xf numFmtId="0" fontId="9" fillId="13" borderId="12" xfId="0" applyFont="1" applyFill="1" applyBorder="1" applyAlignment="1">
      <alignment horizontal="center" vertical="center" wrapText="1"/>
    </xf>
    <xf numFmtId="14" fontId="4" fillId="3" borderId="0" xfId="1" applyNumberFormat="1" applyFont="1" applyFill="1" applyAlignment="1">
      <alignment horizontal="left" wrapText="1"/>
    </xf>
    <xf numFmtId="0" fontId="9" fillId="13" borderId="19" xfId="0" applyFont="1" applyFill="1" applyBorder="1" applyAlignment="1">
      <alignment horizontal="center" vertical="center" wrapText="1"/>
    </xf>
    <xf numFmtId="0" fontId="13" fillId="0" borderId="3" xfId="0" applyFont="1" applyBorder="1" applyAlignment="1">
      <alignment horizontal="left" vertical="center" wrapText="1"/>
    </xf>
    <xf numFmtId="0" fontId="9" fillId="0" borderId="10" xfId="0" applyFont="1" applyBorder="1" applyAlignment="1">
      <alignment horizontal="left" vertical="center" wrapText="1"/>
    </xf>
    <xf numFmtId="0" fontId="13" fillId="0" borderId="11" xfId="0" applyFont="1" applyBorder="1" applyAlignment="1">
      <alignment horizontal="left" vertical="center" wrapText="1"/>
    </xf>
    <xf numFmtId="0" fontId="9" fillId="0" borderId="11" xfId="0" applyFont="1" applyBorder="1" applyAlignment="1">
      <alignment horizontal="left" vertical="center" wrapText="1"/>
    </xf>
    <xf numFmtId="14" fontId="6" fillId="0" borderId="0" xfId="0" applyNumberFormat="1" applyFont="1">
      <alignment vertical="center"/>
    </xf>
    <xf numFmtId="49" fontId="13" fillId="4" borderId="14" xfId="0" applyNumberFormat="1" applyFont="1" applyFill="1" applyBorder="1" applyAlignment="1">
      <alignment horizontal="center" vertical="center" wrapText="1"/>
    </xf>
    <xf numFmtId="49" fontId="13" fillId="13" borderId="16" xfId="0" applyNumberFormat="1" applyFont="1" applyFill="1" applyBorder="1" applyAlignment="1">
      <alignment horizontal="center" vertical="center" wrapText="1"/>
    </xf>
    <xf numFmtId="49" fontId="13" fillId="13" borderId="14" xfId="0" applyNumberFormat="1" applyFont="1" applyFill="1" applyBorder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0" fontId="9" fillId="4" borderId="20" xfId="0" applyFont="1" applyFill="1" applyBorder="1" applyAlignment="1">
      <alignment horizontal="center" vertical="center" wrapText="1"/>
    </xf>
    <xf numFmtId="49" fontId="13" fillId="4" borderId="21" xfId="0" applyNumberFormat="1" applyFont="1" applyFill="1" applyBorder="1" applyAlignment="1">
      <alignment horizontal="center" vertical="center" wrapText="1"/>
    </xf>
    <xf numFmtId="0" fontId="9" fillId="0" borderId="22" xfId="0" applyFont="1" applyBorder="1" applyAlignment="1">
      <alignment horizontal="left" vertical="center" wrapText="1"/>
    </xf>
    <xf numFmtId="0" fontId="13" fillId="0" borderId="23" xfId="0" applyFont="1" applyBorder="1" applyAlignment="1">
      <alignment horizontal="left" vertical="center" wrapText="1"/>
    </xf>
    <xf numFmtId="0" fontId="9" fillId="0" borderId="23" xfId="0" applyFont="1" applyBorder="1" applyAlignment="1">
      <alignment horizontal="left" vertical="center" wrapText="1"/>
    </xf>
    <xf numFmtId="0" fontId="13" fillId="0" borderId="24" xfId="0" applyFont="1" applyBorder="1" applyAlignment="1">
      <alignment horizontal="left" vertical="center" wrapText="1"/>
    </xf>
    <xf numFmtId="0" fontId="13" fillId="0" borderId="18" xfId="0" applyFont="1" applyBorder="1" applyAlignment="1">
      <alignment horizontal="left" vertical="center" wrapText="1"/>
    </xf>
    <xf numFmtId="0" fontId="13" fillId="0" borderId="2" xfId="0" applyFont="1" applyBorder="1" applyAlignment="1">
      <alignment horizontal="left" vertical="center" wrapText="1"/>
    </xf>
    <xf numFmtId="0" fontId="14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49" fontId="4" fillId="0" borderId="0" xfId="0" applyNumberFormat="1" applyFont="1" applyAlignment="1">
      <alignment horizontal="center" vertical="center" wrapText="1"/>
    </xf>
    <xf numFmtId="0" fontId="7" fillId="0" borderId="7" xfId="0" applyFont="1" applyBorder="1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0" fillId="10" borderId="6" xfId="0" applyFill="1" applyBorder="1">
      <alignment vertical="center"/>
    </xf>
    <xf numFmtId="0" fontId="0" fillId="10" borderId="22" xfId="0" applyFill="1" applyBorder="1">
      <alignment vertical="center"/>
    </xf>
    <xf numFmtId="0" fontId="4" fillId="0" borderId="11" xfId="0" applyFont="1" applyBorder="1" applyAlignment="1">
      <alignment horizontal="center" vertical="center"/>
    </xf>
    <xf numFmtId="177" fontId="4" fillId="0" borderId="7" xfId="0" applyNumberFormat="1" applyFont="1" applyBorder="1" applyAlignment="1">
      <alignment horizontal="center" vertical="center"/>
    </xf>
    <xf numFmtId="176" fontId="4" fillId="0" borderId="11" xfId="0" applyNumberFormat="1" applyFont="1" applyBorder="1" applyAlignment="1">
      <alignment horizontal="center" vertical="center"/>
    </xf>
    <xf numFmtId="0" fontId="5" fillId="14" borderId="25" xfId="0" applyFont="1" applyFill="1" applyBorder="1" applyAlignment="1">
      <alignment horizontal="center" vertical="center"/>
    </xf>
    <xf numFmtId="177" fontId="5" fillId="14" borderId="8" xfId="0" applyNumberFormat="1" applyFont="1" applyFill="1" applyBorder="1" applyAlignment="1">
      <alignment horizontal="center" vertical="center"/>
    </xf>
    <xf numFmtId="14" fontId="5" fillId="14" borderId="8" xfId="0" applyNumberFormat="1" applyFont="1" applyFill="1" applyBorder="1" applyAlignment="1">
      <alignment horizontal="center" vertical="center" wrapText="1"/>
    </xf>
    <xf numFmtId="0" fontId="9" fillId="14" borderId="8" xfId="0" applyFont="1" applyFill="1" applyBorder="1" applyAlignment="1">
      <alignment horizontal="left" vertical="center" wrapText="1"/>
    </xf>
    <xf numFmtId="0" fontId="9" fillId="14" borderId="26" xfId="0" applyFont="1" applyFill="1" applyBorder="1" applyAlignment="1">
      <alignment horizontal="left" vertical="center" wrapText="1"/>
    </xf>
    <xf numFmtId="177" fontId="13" fillId="0" borderId="15" xfId="0" applyNumberFormat="1" applyFont="1" applyBorder="1" applyAlignment="1">
      <alignment horizontal="center" vertical="center"/>
    </xf>
    <xf numFmtId="0" fontId="13" fillId="0" borderId="0" xfId="0" applyFont="1" applyAlignment="1">
      <alignment vertical="center" wrapText="1"/>
    </xf>
    <xf numFmtId="0" fontId="13" fillId="0" borderId="0" xfId="0" applyFont="1">
      <alignment vertical="center"/>
    </xf>
    <xf numFmtId="0" fontId="10" fillId="0" borderId="7" xfId="0" applyFont="1" applyBorder="1" applyAlignment="1">
      <alignment horizontal="left" vertical="center" wrapText="1"/>
    </xf>
    <xf numFmtId="0" fontId="4" fillId="0" borderId="0" xfId="0" applyFont="1" applyAlignment="1">
      <alignment horizontal="right" vertical="center" wrapText="1"/>
    </xf>
    <xf numFmtId="14" fontId="4" fillId="0" borderId="0" xfId="1" applyNumberFormat="1" applyFont="1" applyAlignment="1">
      <alignment horizontal="left" wrapText="1"/>
    </xf>
    <xf numFmtId="177" fontId="4" fillId="15" borderId="15" xfId="0" applyNumberFormat="1" applyFont="1" applyFill="1" applyBorder="1" applyAlignment="1">
      <alignment horizontal="center" vertical="center"/>
    </xf>
    <xf numFmtId="14" fontId="4" fillId="15" borderId="7" xfId="0" applyNumberFormat="1" applyFont="1" applyFill="1" applyBorder="1" applyAlignment="1">
      <alignment horizontal="center" vertical="center" wrapText="1"/>
    </xf>
    <xf numFmtId="0" fontId="4" fillId="15" borderId="7" xfId="0" applyFont="1" applyFill="1" applyBorder="1" applyAlignment="1">
      <alignment horizontal="center" vertical="center" wrapText="1"/>
    </xf>
    <xf numFmtId="0" fontId="13" fillId="15" borderId="7" xfId="0" applyFont="1" applyFill="1" applyBorder="1" applyAlignment="1">
      <alignment horizontal="left" vertical="center" wrapText="1"/>
    </xf>
    <xf numFmtId="0" fontId="13" fillId="15" borderId="23" xfId="0" applyFont="1" applyFill="1" applyBorder="1" applyAlignment="1">
      <alignment horizontal="left" vertical="center" wrapText="1"/>
    </xf>
    <xf numFmtId="0" fontId="13" fillId="15" borderId="0" xfId="0" applyFont="1" applyFill="1" applyAlignment="1">
      <alignment horizontal="left" vertical="center" wrapText="1"/>
    </xf>
    <xf numFmtId="0" fontId="13" fillId="15" borderId="11" xfId="0" applyFont="1" applyFill="1" applyBorder="1" applyAlignment="1">
      <alignment horizontal="left" vertical="center" wrapText="1"/>
    </xf>
    <xf numFmtId="14" fontId="19" fillId="0" borderId="0" xfId="0" applyNumberFormat="1" applyFont="1" applyAlignment="1">
      <alignment horizontal="left" vertical="center" wrapText="1"/>
    </xf>
    <xf numFmtId="0" fontId="9" fillId="0" borderId="0" xfId="0" applyFont="1" applyAlignment="1">
      <alignment horizontal="center" vertical="center" wrapText="1"/>
    </xf>
    <xf numFmtId="49" fontId="13" fillId="0" borderId="0" xfId="0" applyNumberFormat="1" applyFont="1" applyAlignment="1">
      <alignment horizontal="center" vertical="center" wrapText="1"/>
    </xf>
    <xf numFmtId="177" fontId="5" fillId="14" borderId="15" xfId="0" applyNumberFormat="1" applyFont="1" applyFill="1" applyBorder="1" applyAlignment="1">
      <alignment horizontal="center" vertical="center"/>
    </xf>
    <xf numFmtId="14" fontId="5" fillId="14" borderId="7" xfId="0" applyNumberFormat="1" applyFont="1" applyFill="1" applyBorder="1" applyAlignment="1">
      <alignment horizontal="center" vertical="center" wrapText="1"/>
    </xf>
    <xf numFmtId="0" fontId="5" fillId="14" borderId="7" xfId="0" applyFont="1" applyFill="1" applyBorder="1" applyAlignment="1">
      <alignment horizontal="center" vertical="center" wrapText="1"/>
    </xf>
    <xf numFmtId="0" fontId="9" fillId="14" borderId="7" xfId="0" applyFont="1" applyFill="1" applyBorder="1" applyAlignment="1">
      <alignment horizontal="left" vertical="center" wrapText="1"/>
    </xf>
    <xf numFmtId="0" fontId="9" fillId="14" borderId="23" xfId="0" applyFont="1" applyFill="1" applyBorder="1" applyAlignment="1">
      <alignment horizontal="left" vertical="center" wrapText="1"/>
    </xf>
    <xf numFmtId="0" fontId="9" fillId="14" borderId="11" xfId="0" applyFont="1" applyFill="1" applyBorder="1" applyAlignment="1">
      <alignment horizontal="left" vertical="center" wrapText="1"/>
    </xf>
    <xf numFmtId="176" fontId="13" fillId="0" borderId="0" xfId="0" applyNumberFormat="1" applyFont="1">
      <alignment vertical="center"/>
    </xf>
    <xf numFmtId="177" fontId="13" fillId="0" borderId="0" xfId="0" applyNumberFormat="1" applyFont="1">
      <alignment vertical="center"/>
    </xf>
    <xf numFmtId="14" fontId="4" fillId="0" borderId="7" xfId="0" applyNumberFormat="1" applyFont="1" applyBorder="1" applyAlignment="1">
      <alignment horizontal="center" vertical="top" wrapText="1"/>
    </xf>
    <xf numFmtId="176" fontId="4" fillId="0" borderId="27" xfId="0" applyNumberFormat="1" applyFont="1" applyBorder="1">
      <alignment vertical="center"/>
    </xf>
    <xf numFmtId="177" fontId="4" fillId="0" borderId="18" xfId="0" applyNumberFormat="1" applyFont="1" applyBorder="1" applyAlignment="1">
      <alignment horizontal="center" vertical="center"/>
    </xf>
    <xf numFmtId="177" fontId="4" fillId="0" borderId="27" xfId="0" applyNumberFormat="1" applyFont="1" applyBorder="1">
      <alignment vertical="center"/>
    </xf>
    <xf numFmtId="176" fontId="4" fillId="14" borderId="0" xfId="0" applyNumberFormat="1" applyFont="1" applyFill="1">
      <alignment vertical="center"/>
    </xf>
    <xf numFmtId="177" fontId="4" fillId="14" borderId="0" xfId="0" applyNumberFormat="1" applyFont="1" applyFill="1">
      <alignment vertical="center"/>
    </xf>
    <xf numFmtId="0" fontId="20" fillId="14" borderId="7" xfId="0" applyFont="1" applyFill="1" applyBorder="1" applyAlignment="1">
      <alignment horizontal="left" vertical="center" wrapText="1"/>
    </xf>
    <xf numFmtId="0" fontId="20" fillId="14" borderId="23" xfId="0" applyFont="1" applyFill="1" applyBorder="1" applyAlignment="1">
      <alignment horizontal="left" vertical="center" wrapText="1"/>
    </xf>
    <xf numFmtId="0" fontId="20" fillId="14" borderId="0" xfId="0" applyFont="1" applyFill="1" applyAlignment="1">
      <alignment horizontal="left" vertical="center" wrapText="1"/>
    </xf>
    <xf numFmtId="0" fontId="20" fillId="14" borderId="11" xfId="0" applyFont="1" applyFill="1" applyBorder="1" applyAlignment="1">
      <alignment horizontal="left" vertical="center" wrapText="1"/>
    </xf>
    <xf numFmtId="14" fontId="11" fillId="0" borderId="7" xfId="0" applyNumberFormat="1" applyFont="1" applyBorder="1" applyAlignment="1">
      <alignment horizontal="center" vertical="center" wrapText="1"/>
    </xf>
    <xf numFmtId="0" fontId="11" fillId="0" borderId="7" xfId="0" applyFont="1" applyBorder="1" applyAlignment="1">
      <alignment horizontal="center" vertical="center" wrapText="1"/>
    </xf>
    <xf numFmtId="0" fontId="20" fillId="0" borderId="7" xfId="0" applyFont="1" applyBorder="1" applyAlignment="1">
      <alignment horizontal="left" vertical="center" wrapText="1"/>
    </xf>
    <xf numFmtId="0" fontId="20" fillId="0" borderId="23" xfId="0" applyFont="1" applyBorder="1" applyAlignment="1">
      <alignment horizontal="left" vertical="center" wrapText="1"/>
    </xf>
    <xf numFmtId="0" fontId="20" fillId="0" borderId="1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14" fontId="6" fillId="3" borderId="0" xfId="0" applyNumberFormat="1" applyFont="1" applyFill="1" applyAlignment="1">
      <alignment horizontal="center" vertical="center" wrapText="1"/>
    </xf>
    <xf numFmtId="14" fontId="4" fillId="14" borderId="7" xfId="0" applyNumberFormat="1" applyFont="1" applyFill="1" applyBorder="1" applyAlignment="1">
      <alignment horizontal="center" vertical="center" wrapText="1"/>
    </xf>
    <xf numFmtId="0" fontId="4" fillId="14" borderId="7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14" fontId="6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49" fontId="4" fillId="4" borderId="1" xfId="0" applyNumberFormat="1" applyFont="1" applyFill="1" applyBorder="1" applyAlignment="1">
      <alignment horizontal="center" vertical="center" wrapText="1"/>
    </xf>
    <xf numFmtId="49" fontId="4" fillId="4" borderId="1" xfId="0" applyNumberFormat="1" applyFont="1" applyFill="1" applyBorder="1" applyAlignment="1">
      <alignment horizontal="left" vertical="center" wrapText="1"/>
    </xf>
    <xf numFmtId="0" fontId="4" fillId="10" borderId="7" xfId="0" applyFont="1" applyFill="1" applyBorder="1" applyAlignment="1">
      <alignment vertical="center" wrapText="1"/>
    </xf>
    <xf numFmtId="0" fontId="10" fillId="0" borderId="7" xfId="0" applyFont="1" applyBorder="1" applyAlignment="1">
      <alignment vertical="center" wrapText="1"/>
    </xf>
    <xf numFmtId="0" fontId="6" fillId="3" borderId="0" xfId="0" applyFont="1" applyFill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5" fillId="10" borderId="7" xfId="0" applyFont="1" applyFill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15" fillId="0" borderId="7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0" fontId="9" fillId="10" borderId="7" xfId="0" applyFont="1" applyFill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8" fillId="10" borderId="7" xfId="0" applyFont="1" applyFill="1" applyBorder="1" applyAlignment="1">
      <alignment horizontal="center" vertical="center" wrapText="1"/>
    </xf>
    <xf numFmtId="0" fontId="5" fillId="9" borderId="7" xfId="0" applyFont="1" applyFill="1" applyBorder="1" applyAlignment="1">
      <alignment horizontal="center" vertical="center" wrapText="1"/>
    </xf>
    <xf numFmtId="0" fontId="5" fillId="7" borderId="7" xfId="0" applyFont="1" applyFill="1" applyBorder="1" applyAlignment="1">
      <alignment horizontal="center" vertical="center" wrapText="1"/>
    </xf>
    <xf numFmtId="0" fontId="12" fillId="7" borderId="7" xfId="0" applyFont="1" applyFill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 wrapText="1"/>
    </xf>
    <xf numFmtId="0" fontId="5" fillId="8" borderId="7" xfId="0" applyFont="1" applyFill="1" applyBorder="1" applyAlignment="1">
      <alignment horizontal="center" vertical="center" wrapText="1"/>
    </xf>
    <xf numFmtId="0" fontId="16" fillId="0" borderId="7" xfId="0" applyFont="1" applyBorder="1" applyAlignment="1">
      <alignment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14" fontId="6" fillId="3" borderId="0" xfId="0" applyNumberFormat="1" applyFont="1" applyFill="1" applyAlignment="1">
      <alignment horizontal="left" vertical="center" wrapText="1"/>
    </xf>
    <xf numFmtId="14" fontId="4" fillId="3" borderId="0" xfId="1" applyNumberFormat="1" applyFont="1" applyFill="1" applyAlignment="1">
      <alignment horizontal="left" wrapText="1"/>
    </xf>
    <xf numFmtId="14" fontId="6" fillId="3" borderId="0" xfId="0" applyNumberFormat="1" applyFont="1" applyFill="1" applyAlignment="1">
      <alignment horizontal="center" vertical="center" wrapText="1"/>
    </xf>
    <xf numFmtId="0" fontId="4" fillId="4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0" borderId="9" xfId="0" applyFont="1" applyBorder="1" applyAlignment="1">
      <alignment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14" fontId="4" fillId="0" borderId="0" xfId="1" applyNumberFormat="1" applyFont="1" applyAlignment="1">
      <alignment horizontal="left" wrapText="1"/>
    </xf>
    <xf numFmtId="0" fontId="4" fillId="0" borderId="1" xfId="0" applyFont="1" applyBorder="1" applyAlignment="1">
      <alignment horizontal="center" vertical="center" wrapText="1"/>
    </xf>
    <xf numFmtId="14" fontId="4" fillId="0" borderId="7" xfId="0" applyNumberFormat="1" applyFont="1" applyFill="1" applyBorder="1" applyAlignment="1">
      <alignment horizontal="center" vertical="center" wrapText="1"/>
    </xf>
    <xf numFmtId="0" fontId="4" fillId="0" borderId="7" xfId="0" applyFont="1" applyFill="1" applyBorder="1" applyAlignment="1">
      <alignment horizontal="center" vertical="center" wrapText="1"/>
    </xf>
    <xf numFmtId="0" fontId="16" fillId="0" borderId="7" xfId="0" applyFont="1" applyFill="1" applyBorder="1" applyAlignment="1">
      <alignment horizontal="center" vertical="center" wrapText="1"/>
    </xf>
    <xf numFmtId="0" fontId="4" fillId="0" borderId="7" xfId="0" applyFont="1" applyFill="1" applyBorder="1" applyAlignment="1">
      <alignment vertical="center" wrapText="1"/>
    </xf>
    <xf numFmtId="0" fontId="4" fillId="0" borderId="11" xfId="0" applyFont="1" applyFill="1" applyBorder="1" applyAlignment="1">
      <alignment vertical="center" wrapText="1"/>
    </xf>
    <xf numFmtId="0" fontId="4" fillId="0" borderId="0" xfId="0" applyFont="1" applyFill="1">
      <alignment vertical="center"/>
    </xf>
    <xf numFmtId="0" fontId="4" fillId="0" borderId="15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 vertical="center" wrapText="1"/>
    </xf>
    <xf numFmtId="0" fontId="13" fillId="0" borderId="7" xfId="0" applyFont="1" applyBorder="1" applyAlignment="1">
      <alignment vertical="center" wrapText="1"/>
    </xf>
    <xf numFmtId="14" fontId="12" fillId="14" borderId="7" xfId="0" applyNumberFormat="1" applyFont="1" applyFill="1" applyBorder="1" applyAlignment="1">
      <alignment horizontal="center" vertical="center" wrapText="1"/>
    </xf>
    <xf numFmtId="0" fontId="12" fillId="14" borderId="7" xfId="0" applyFont="1" applyFill="1" applyBorder="1" applyAlignment="1">
      <alignment horizontal="center" vertical="center" wrapText="1"/>
    </xf>
    <xf numFmtId="0" fontId="22" fillId="14" borderId="7" xfId="0" applyFont="1" applyFill="1" applyBorder="1" applyAlignment="1">
      <alignment horizontal="center" vertical="center" wrapText="1"/>
    </xf>
    <xf numFmtId="0" fontId="12" fillId="14" borderId="7" xfId="0" applyFont="1" applyFill="1" applyBorder="1" applyAlignment="1">
      <alignment vertical="center" wrapText="1"/>
    </xf>
    <xf numFmtId="0" fontId="10" fillId="0" borderId="7" xfId="0" applyFont="1" applyFill="1" applyBorder="1" applyAlignment="1">
      <alignment vertical="center" wrapText="1"/>
    </xf>
    <xf numFmtId="14" fontId="11" fillId="14" borderId="7" xfId="0" applyNumberFormat="1" applyFont="1" applyFill="1" applyBorder="1" applyAlignment="1">
      <alignment horizontal="center" vertical="center" wrapText="1"/>
    </xf>
    <xf numFmtId="0" fontId="11" fillId="14" borderId="7" xfId="0" applyFont="1" applyFill="1" applyBorder="1" applyAlignment="1">
      <alignment horizontal="center" vertical="center" wrapText="1"/>
    </xf>
    <xf numFmtId="0" fontId="11" fillId="14" borderId="7" xfId="0" applyFont="1" applyFill="1" applyBorder="1" applyAlignment="1">
      <alignment vertical="center" wrapText="1"/>
    </xf>
    <xf numFmtId="0" fontId="22" fillId="14" borderId="7" xfId="0" applyFont="1" applyFill="1" applyBorder="1" applyAlignment="1">
      <alignment vertical="center" wrapText="1"/>
    </xf>
  </cellXfs>
  <cellStyles count="2">
    <cellStyle name="표준" xfId="0" builtinId="0"/>
    <cellStyle name="표준 11" xfId="1" xr:uid="{00000000-0005-0000-0000-000001000000}"/>
  </cellStyles>
  <dxfs count="4135"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 val="0"/>
        <i val="0"/>
        <strike val="0"/>
        <color theme="0" tint="-0.24994659260841701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 val="0"/>
        <i val="0"/>
        <strike val="0"/>
        <color theme="0" tint="-0.24994659260841701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ont>
        <b val="0"/>
        <i val="0"/>
        <strike val="0"/>
        <color theme="0" tint="-0.24994659260841701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 val="0"/>
        <i val="0"/>
        <strike val="0"/>
        <color theme="0" tint="-0.24994659260841701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 val="0"/>
        <i val="0"/>
        <strike val="0"/>
        <color theme="0" tint="-0.24994659260841701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 val="0"/>
        <i val="0"/>
        <strike val="0"/>
        <color theme="0" tint="-0.24994659260841701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 val="0"/>
        <i val="0"/>
        <strike val="0"/>
        <color theme="0" tint="-0.24994659260841701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ont>
        <b val="0"/>
        <i val="0"/>
        <strike val="0"/>
        <color theme="0" tint="-0.24994659260841701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79998168889431442"/>
        </patternFill>
      </fill>
    </dxf>
    <dxf>
      <font>
        <b val="0"/>
        <i val="0"/>
        <strike val="0"/>
        <color theme="0" tint="-0.24994659260841701"/>
      </font>
      <fill>
        <patternFill>
          <bgColor theme="6" tint="0.79998168889431442"/>
        </patternFill>
      </fill>
    </dxf>
  </dxfs>
  <tableStyles count="0" defaultTableStyle="TableStyleMedium9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571500</xdr:colOff>
      <xdr:row>0</xdr:row>
      <xdr:rowOff>168592</xdr:rowOff>
    </xdr:from>
    <xdr:to>
      <xdr:col>14</xdr:col>
      <xdr:colOff>855329</xdr:colOff>
      <xdr:row>1</xdr:row>
      <xdr:rowOff>251460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EB54F8F-C0FD-4AF1-BA47-115EAEDFE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97700" y="168592"/>
          <a:ext cx="1684004" cy="32099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1390650</xdr:colOff>
      <xdr:row>17</xdr:row>
      <xdr:rowOff>1139638</xdr:rowOff>
    </xdr:from>
    <xdr:to>
      <xdr:col>12</xdr:col>
      <xdr:colOff>933450</xdr:colOff>
      <xdr:row>18</xdr:row>
      <xdr:rowOff>212911</xdr:rowOff>
    </xdr:to>
    <xdr:sp macro="" textlink="">
      <xdr:nvSpPr>
        <xdr:cNvPr id="6" name="화살표: 왼쪽 5">
          <a:extLst>
            <a:ext uri="{FF2B5EF4-FFF2-40B4-BE49-F238E27FC236}">
              <a16:creationId xmlns:a16="http://schemas.microsoft.com/office/drawing/2014/main" id="{1696282F-D9C6-4F4F-8320-5A5AFA1AEDD9}"/>
            </a:ext>
          </a:extLst>
        </xdr:cNvPr>
        <xdr:cNvSpPr/>
      </xdr:nvSpPr>
      <xdr:spPr>
        <a:xfrm>
          <a:off x="14859000" y="4959163"/>
          <a:ext cx="2257425" cy="263898"/>
        </a:xfrm>
        <a:prstGeom prst="leftArrow">
          <a:avLst>
            <a:gd name="adj1" fmla="val 100000"/>
            <a:gd name="adj2" fmla="val 50000"/>
          </a:avLst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rgbClr val="FF0000"/>
              </a:solidFill>
              <a:effectLst/>
              <a:latin typeface="KoPubWorld돋움체 Bold" panose="00000800000000000000" pitchFamily="2" charset="-127"/>
              <a:ea typeface="KoPubWorld돋움체 Bold" panose="00000800000000000000" pitchFamily="2" charset="-127"/>
              <a:cs typeface="KoPubWorld돋움체 Bold" panose="00000800000000000000" pitchFamily="2" charset="-127"/>
            </a:rPr>
            <a:t>부동산원 공식협의업무 착수 가능</a:t>
          </a:r>
          <a:endParaRPr lang="ko-KR" altLang="ko-KR">
            <a:solidFill>
              <a:srgbClr val="FF0000"/>
            </a:solidFill>
            <a:effectLst/>
            <a:latin typeface="KoPubWorld돋움체 Bold" panose="00000800000000000000" pitchFamily="2" charset="-127"/>
            <a:ea typeface="KoPubWorld돋움체 Bold" panose="00000800000000000000" pitchFamily="2" charset="-127"/>
            <a:cs typeface="KoPubWorld돋움체 Bold" panose="00000800000000000000" pitchFamily="2" charset="-127"/>
          </a:endParaRPr>
        </a:p>
      </xdr:txBody>
    </xdr:sp>
    <xdr:clientData/>
  </xdr:twoCellAnchor>
  <xdr:twoCellAnchor>
    <xdr:from>
      <xdr:col>11</xdr:col>
      <xdr:colOff>1355911</xdr:colOff>
      <xdr:row>22</xdr:row>
      <xdr:rowOff>451597</xdr:rowOff>
    </xdr:from>
    <xdr:to>
      <xdr:col>11</xdr:col>
      <xdr:colOff>2680447</xdr:colOff>
      <xdr:row>23</xdr:row>
      <xdr:rowOff>233642</xdr:rowOff>
    </xdr:to>
    <xdr:sp macro="" textlink="">
      <xdr:nvSpPr>
        <xdr:cNvPr id="8" name="화살표: 왼쪽 7">
          <a:extLst>
            <a:ext uri="{FF2B5EF4-FFF2-40B4-BE49-F238E27FC236}">
              <a16:creationId xmlns:a16="http://schemas.microsoft.com/office/drawing/2014/main" id="{90C44848-E430-46AB-AE8A-CB5047C286F2}"/>
            </a:ext>
          </a:extLst>
        </xdr:cNvPr>
        <xdr:cNvSpPr/>
      </xdr:nvSpPr>
      <xdr:spPr>
        <a:xfrm>
          <a:off x="14814176" y="7354421"/>
          <a:ext cx="1324536" cy="263897"/>
        </a:xfrm>
        <a:prstGeom prst="leftArrow">
          <a:avLst>
            <a:gd name="adj1" fmla="val 100000"/>
            <a:gd name="adj2" fmla="val 50000"/>
          </a:avLst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1100">
              <a:solidFill>
                <a:srgbClr val="FF0000"/>
              </a:solidFill>
              <a:effectLst/>
              <a:latin typeface="KoPubWorld돋움체 Bold" panose="00000800000000000000" pitchFamily="2" charset="-127"/>
              <a:ea typeface="KoPubWorld돋움체 Bold" panose="00000800000000000000" pitchFamily="2" charset="-127"/>
              <a:cs typeface="KoPubWorld돋움체 Bold" panose="00000800000000000000" pitchFamily="2" charset="-127"/>
            </a:rPr>
            <a:t>실사보고서 완료 필요</a:t>
          </a:r>
          <a:endParaRPr lang="ko-KR" altLang="ko-KR">
            <a:solidFill>
              <a:srgbClr val="FF0000"/>
            </a:solidFill>
            <a:effectLst/>
            <a:latin typeface="KoPubWorld돋움체 Bold" panose="00000800000000000000" pitchFamily="2" charset="-127"/>
            <a:ea typeface="KoPubWorld돋움체 Bold" panose="00000800000000000000" pitchFamily="2" charset="-127"/>
            <a:cs typeface="KoPubWorld돋움체 Bold" panose="00000800000000000000" pitchFamily="2" charset="-127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571500</xdr:colOff>
      <xdr:row>0</xdr:row>
      <xdr:rowOff>168592</xdr:rowOff>
    </xdr:from>
    <xdr:to>
      <xdr:col>14</xdr:col>
      <xdr:colOff>855329</xdr:colOff>
      <xdr:row>1</xdr:row>
      <xdr:rowOff>251460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72CEDBF2-9D14-4BBF-B1A6-4EF7FA249E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97700" y="168592"/>
          <a:ext cx="1684004" cy="32099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571500</xdr:colOff>
      <xdr:row>0</xdr:row>
      <xdr:rowOff>168592</xdr:rowOff>
    </xdr:from>
    <xdr:to>
      <xdr:col>10</xdr:col>
      <xdr:colOff>2256865</xdr:colOff>
      <xdr:row>1</xdr:row>
      <xdr:rowOff>251460</xdr:rowOff>
    </xdr:to>
    <xdr:pic>
      <xdr:nvPicPr>
        <xdr:cNvPr id="15347" name="그림 1">
          <a:extLst>
            <a:ext uri="{FF2B5EF4-FFF2-40B4-BE49-F238E27FC236}">
              <a16:creationId xmlns:a16="http://schemas.microsoft.com/office/drawing/2014/main" id="{00000000-0008-0000-0200-0000F3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83563" y="168592"/>
          <a:ext cx="1685365" cy="32099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571500</xdr:colOff>
      <xdr:row>0</xdr:row>
      <xdr:rowOff>168592</xdr:rowOff>
    </xdr:from>
    <xdr:to>
      <xdr:col>10</xdr:col>
      <xdr:colOff>2256865</xdr:colOff>
      <xdr:row>1</xdr:row>
      <xdr:rowOff>251460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59750" y="168592"/>
          <a:ext cx="1685365" cy="32099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8E8DB-D823-41A4-B666-E8EA31F30791}">
  <sheetPr>
    <tabColor theme="9" tint="0.39997558519241921"/>
    <pageSetUpPr fitToPage="1"/>
  </sheetPr>
  <dimension ref="A1:R235"/>
  <sheetViews>
    <sheetView showGridLines="0" view="pageBreakPreview" zoomScale="70" zoomScaleNormal="70" zoomScaleSheetLayoutView="70" workbookViewId="0">
      <pane xSplit="5" ySplit="6" topLeftCell="G11" activePane="bottomRight" state="frozen"/>
      <selection activeCell="G37" sqref="G37"/>
      <selection pane="topRight" activeCell="G37" sqref="G37"/>
      <selection pane="bottomLeft" activeCell="G37" sqref="G37"/>
      <selection pane="bottomRight" activeCell="G37" sqref="G37"/>
    </sheetView>
  </sheetViews>
  <sheetFormatPr defaultColWidth="9" defaultRowHeight="18.75" outlineLevelCol="1" x14ac:dyDescent="0.3"/>
  <cols>
    <col min="1" max="1" width="10.125" style="1" customWidth="1"/>
    <col min="2" max="2" width="10.125" style="1" hidden="1" customWidth="1"/>
    <col min="3" max="3" width="7.25" style="13" customWidth="1"/>
    <col min="4" max="4" width="14" style="5" customWidth="1" outlineLevel="1"/>
    <col min="5" max="5" width="3.25" style="6" customWidth="1" outlineLevel="1"/>
    <col min="6" max="6" width="40.625" style="87" hidden="1" customWidth="1"/>
    <col min="7" max="7" width="35.625" style="87" customWidth="1"/>
    <col min="8" max="8" width="37.625" style="87" customWidth="1"/>
    <col min="9" max="9" width="35.625" style="87" customWidth="1"/>
    <col min="10" max="10" width="2.625" style="87" customWidth="1"/>
    <col min="11" max="11" width="30.625" style="87" customWidth="1"/>
    <col min="12" max="12" width="45.625" style="87" customWidth="1"/>
    <col min="13" max="13" width="30.625" style="87" customWidth="1"/>
    <col min="14" max="14" width="18.375" style="87" customWidth="1"/>
    <col min="15" max="15" width="19.75" style="6" customWidth="1"/>
    <col min="16" max="16384" width="9" style="1"/>
  </cols>
  <sheetData>
    <row r="1" spans="1:18" ht="19.149999999999999" customHeight="1" x14ac:dyDescent="0.3">
      <c r="A1" s="122" t="s">
        <v>35</v>
      </c>
      <c r="B1" s="122"/>
      <c r="C1" s="122"/>
      <c r="D1" s="122"/>
      <c r="E1" s="90"/>
      <c r="F1" s="82"/>
      <c r="G1" s="82"/>
      <c r="H1" s="82"/>
      <c r="I1" s="82"/>
      <c r="J1" s="164"/>
      <c r="K1" s="82"/>
      <c r="L1" s="82"/>
      <c r="M1" s="82"/>
      <c r="N1" s="82"/>
      <c r="O1" s="194"/>
      <c r="Q1" s="227"/>
      <c r="R1" s="227"/>
    </row>
    <row r="2" spans="1:18" ht="21" customHeight="1" x14ac:dyDescent="0.45">
      <c r="A2" s="235">
        <f ca="1">TODAY()</f>
        <v>46245</v>
      </c>
      <c r="B2" s="235"/>
      <c r="C2" s="235"/>
      <c r="D2" s="235"/>
      <c r="E2" s="91"/>
      <c r="F2" s="235"/>
      <c r="G2" s="235"/>
      <c r="H2" s="235"/>
      <c r="I2" s="235"/>
      <c r="J2" s="156"/>
      <c r="K2" s="83"/>
      <c r="L2" s="83"/>
      <c r="M2" s="83"/>
      <c r="N2" s="83"/>
      <c r="O2" s="195"/>
      <c r="Q2" s="116"/>
      <c r="R2" s="10"/>
    </row>
    <row r="3" spans="1:18" ht="6" customHeight="1" x14ac:dyDescent="0.3">
      <c r="F3" s="84"/>
      <c r="G3" s="84"/>
      <c r="H3" s="84"/>
      <c r="I3" s="84"/>
      <c r="K3" s="84"/>
      <c r="L3" s="84"/>
      <c r="M3" s="84"/>
      <c r="N3" s="84"/>
    </row>
    <row r="4" spans="1:18" ht="25.5" customHeight="1" x14ac:dyDescent="0.3">
      <c r="A4" s="234" t="s">
        <v>2</v>
      </c>
      <c r="B4" s="234"/>
      <c r="C4" s="236"/>
      <c r="D4" s="236" t="s">
        <v>0</v>
      </c>
      <c r="E4" s="236"/>
      <c r="F4" s="114" t="s">
        <v>4</v>
      </c>
      <c r="G4" s="114" t="s">
        <v>42</v>
      </c>
      <c r="H4" s="114" t="s">
        <v>38</v>
      </c>
      <c r="I4" s="127" t="s">
        <v>8</v>
      </c>
      <c r="J4" s="165"/>
      <c r="K4" s="117" t="s">
        <v>31</v>
      </c>
      <c r="L4" s="115" t="s">
        <v>86</v>
      </c>
      <c r="M4" s="115" t="s">
        <v>40</v>
      </c>
      <c r="N4" s="115" t="s">
        <v>10</v>
      </c>
    </row>
    <row r="5" spans="1:18" s="126" customFormat="1" x14ac:dyDescent="0.3">
      <c r="A5" s="234"/>
      <c r="B5" s="234"/>
      <c r="C5" s="236"/>
      <c r="D5" s="236"/>
      <c r="E5" s="236"/>
      <c r="F5" s="123"/>
      <c r="G5" s="123"/>
      <c r="H5" s="123" t="s">
        <v>151</v>
      </c>
      <c r="I5" s="128" t="s">
        <v>50</v>
      </c>
      <c r="J5" s="166"/>
      <c r="K5" s="124" t="s">
        <v>32</v>
      </c>
      <c r="L5" s="125" t="s">
        <v>6</v>
      </c>
      <c r="M5" s="125" t="s">
        <v>41</v>
      </c>
      <c r="N5" s="125"/>
      <c r="O5" s="137"/>
    </row>
    <row r="6" spans="1:18" ht="79.5" customHeight="1" x14ac:dyDescent="0.3">
      <c r="A6" s="232"/>
      <c r="B6" s="232"/>
      <c r="C6" s="226"/>
      <c r="D6" s="233" t="s">
        <v>5</v>
      </c>
      <c r="E6" s="234"/>
      <c r="F6" s="85"/>
      <c r="G6" s="85" t="s">
        <v>34</v>
      </c>
      <c r="H6" s="85" t="s">
        <v>67</v>
      </c>
      <c r="I6" s="134" t="s">
        <v>107</v>
      </c>
      <c r="K6" s="118" t="s">
        <v>33</v>
      </c>
      <c r="L6" s="85" t="s">
        <v>57</v>
      </c>
      <c r="M6" s="85" t="s">
        <v>77</v>
      </c>
      <c r="N6" s="85"/>
    </row>
    <row r="7" spans="1:18" hidden="1" x14ac:dyDescent="0.3">
      <c r="A7" s="14">
        <f>D7</f>
        <v>46202</v>
      </c>
      <c r="C7" s="72"/>
      <c r="D7" s="15">
        <v>46202</v>
      </c>
      <c r="E7" s="16" t="str">
        <f t="shared" ref="E7:E50" si="0">TEXT(D7,"aaa")</f>
        <v>월</v>
      </c>
      <c r="F7" s="86"/>
      <c r="G7" s="86"/>
      <c r="H7" s="86"/>
      <c r="I7" s="129"/>
      <c r="J7" s="96"/>
      <c r="K7" s="119"/>
      <c r="L7" s="86"/>
      <c r="M7" s="86"/>
      <c r="N7" s="86"/>
    </row>
    <row r="8" spans="1:18" hidden="1" x14ac:dyDescent="0.3">
      <c r="A8" s="47"/>
      <c r="B8" s="47"/>
      <c r="C8" s="72"/>
      <c r="D8" s="17">
        <f t="shared" ref="D8:D9" si="1">D7+1</f>
        <v>46203</v>
      </c>
      <c r="E8" s="18" t="str">
        <f t="shared" si="0"/>
        <v>화</v>
      </c>
      <c r="F8" s="35"/>
      <c r="G8" s="35"/>
      <c r="H8" s="35"/>
      <c r="I8" s="130"/>
      <c r="K8" s="120"/>
      <c r="L8" s="35"/>
      <c r="M8" s="35"/>
      <c r="N8" s="35"/>
    </row>
    <row r="9" spans="1:18" hidden="1" x14ac:dyDescent="0.3">
      <c r="C9" s="73"/>
      <c r="D9" s="17">
        <f t="shared" si="1"/>
        <v>46204</v>
      </c>
      <c r="E9" s="18" t="str">
        <f t="shared" si="0"/>
        <v>수</v>
      </c>
      <c r="F9" s="35"/>
      <c r="G9" s="35"/>
      <c r="H9" s="35"/>
      <c r="I9" s="130"/>
      <c r="K9" s="120"/>
      <c r="L9" s="35"/>
      <c r="M9" s="35"/>
      <c r="N9" s="35"/>
    </row>
    <row r="10" spans="1:18" hidden="1" x14ac:dyDescent="0.3">
      <c r="A10" s="47"/>
      <c r="B10" s="47"/>
      <c r="C10" s="73"/>
      <c r="D10" s="17">
        <f>D9+1</f>
        <v>46205</v>
      </c>
      <c r="E10" s="18" t="str">
        <f t="shared" si="0"/>
        <v>목</v>
      </c>
      <c r="F10" s="24"/>
      <c r="G10" s="24"/>
      <c r="H10" s="24"/>
      <c r="I10" s="131"/>
      <c r="J10" s="96"/>
      <c r="K10" s="121"/>
      <c r="L10" s="24"/>
      <c r="M10" s="24"/>
      <c r="N10" s="24"/>
    </row>
    <row r="11" spans="1:18" s="153" customFormat="1" x14ac:dyDescent="0.3">
      <c r="A11" s="173">
        <f>D11</f>
        <v>46204</v>
      </c>
      <c r="B11" s="174">
        <v>1</v>
      </c>
      <c r="C11" s="151">
        <v>1</v>
      </c>
      <c r="D11" s="64">
        <f>D9</f>
        <v>46204</v>
      </c>
      <c r="E11" s="65" t="str">
        <f t="shared" si="0"/>
        <v>수</v>
      </c>
      <c r="F11" s="35"/>
      <c r="G11" s="35"/>
      <c r="H11" s="35"/>
      <c r="I11" s="130"/>
      <c r="J11" s="87"/>
      <c r="K11" s="120"/>
      <c r="L11" s="35"/>
      <c r="M11" s="35"/>
      <c r="N11" s="35"/>
      <c r="O11" s="104"/>
    </row>
    <row r="12" spans="1:18" x14ac:dyDescent="0.3">
      <c r="B12" s="89">
        <f>B11+1</f>
        <v>2</v>
      </c>
      <c r="C12" s="72">
        <f>C11+1</f>
        <v>2</v>
      </c>
      <c r="D12" s="17">
        <f>D11+7</f>
        <v>46211</v>
      </c>
      <c r="E12" s="18" t="str">
        <f t="shared" si="0"/>
        <v>수</v>
      </c>
      <c r="F12" s="35"/>
      <c r="G12" s="35"/>
      <c r="H12" s="35" t="s">
        <v>47</v>
      </c>
      <c r="I12" s="130"/>
      <c r="K12" s="120"/>
      <c r="L12" s="35"/>
      <c r="M12" s="35"/>
      <c r="N12" s="35"/>
    </row>
    <row r="13" spans="1:18" x14ac:dyDescent="0.3">
      <c r="B13" s="89">
        <f t="shared" ref="B13:C28" si="2">B12+1</f>
        <v>3</v>
      </c>
      <c r="C13" s="72">
        <f>C12+1</f>
        <v>3</v>
      </c>
      <c r="D13" s="17">
        <f t="shared" ref="D13:D49" si="3">D12+7</f>
        <v>46218</v>
      </c>
      <c r="E13" s="18" t="str">
        <f t="shared" si="0"/>
        <v>수</v>
      </c>
      <c r="F13" s="35"/>
      <c r="G13" s="35" t="str">
        <f>K13</f>
        <v>입찰공고(7/15)</v>
      </c>
      <c r="H13" s="35" t="s">
        <v>108</v>
      </c>
      <c r="I13" s="130" t="s">
        <v>72</v>
      </c>
      <c r="K13" s="120" t="s">
        <v>89</v>
      </c>
      <c r="L13" s="35"/>
      <c r="M13" s="35"/>
      <c r="N13" s="35"/>
      <c r="O13" s="104">
        <v>1</v>
      </c>
    </row>
    <row r="14" spans="1:18" x14ac:dyDescent="0.3">
      <c r="A14" s="47"/>
      <c r="B14" s="89">
        <f t="shared" si="2"/>
        <v>4</v>
      </c>
      <c r="C14" s="72">
        <f>C13+1</f>
        <v>4</v>
      </c>
      <c r="D14" s="17">
        <f t="shared" si="3"/>
        <v>46225</v>
      </c>
      <c r="E14" s="18" t="str">
        <f t="shared" si="0"/>
        <v>수</v>
      </c>
      <c r="F14" s="35"/>
      <c r="G14" s="35"/>
      <c r="H14" s="35" t="s">
        <v>92</v>
      </c>
      <c r="I14" s="130"/>
      <c r="K14" s="120"/>
      <c r="L14" s="35"/>
      <c r="M14" s="35"/>
      <c r="N14" s="35"/>
      <c r="O14" s="6">
        <f>O13+1</f>
        <v>2</v>
      </c>
    </row>
    <row r="15" spans="1:18" x14ac:dyDescent="0.3">
      <c r="A15" s="47"/>
      <c r="B15" s="89">
        <f t="shared" si="2"/>
        <v>5</v>
      </c>
      <c r="C15" s="72">
        <f>C14+1</f>
        <v>5</v>
      </c>
      <c r="D15" s="17">
        <f t="shared" si="3"/>
        <v>46232</v>
      </c>
      <c r="E15" s="18" t="str">
        <f t="shared" si="0"/>
        <v>수</v>
      </c>
      <c r="F15" s="24"/>
      <c r="G15" s="35"/>
      <c r="H15" s="24"/>
      <c r="I15" s="131"/>
      <c r="J15" s="96"/>
      <c r="K15" s="120"/>
      <c r="L15" s="35"/>
      <c r="M15" s="35"/>
      <c r="N15" s="24"/>
      <c r="O15" s="6">
        <f t="shared" ref="O15:O27" si="4">O14+1</f>
        <v>3</v>
      </c>
    </row>
    <row r="16" spans="1:18" x14ac:dyDescent="0.3">
      <c r="A16" s="176">
        <f>D16</f>
        <v>46239</v>
      </c>
      <c r="B16" s="178">
        <f t="shared" si="2"/>
        <v>6</v>
      </c>
      <c r="C16" s="177">
        <v>1</v>
      </c>
      <c r="D16" s="185">
        <f t="shared" si="3"/>
        <v>46239</v>
      </c>
      <c r="E16" s="186" t="str">
        <f t="shared" si="0"/>
        <v>수</v>
      </c>
      <c r="F16" s="187" t="s">
        <v>7</v>
      </c>
      <c r="G16" s="187" t="s">
        <v>49</v>
      </c>
      <c r="H16" s="187"/>
      <c r="I16" s="188"/>
      <c r="J16" s="99"/>
      <c r="K16" s="189" t="s">
        <v>141</v>
      </c>
      <c r="L16" s="187" t="s">
        <v>66</v>
      </c>
      <c r="M16" s="187"/>
      <c r="N16" s="187"/>
      <c r="O16" s="6">
        <v>0</v>
      </c>
    </row>
    <row r="17" spans="1:16" x14ac:dyDescent="0.3">
      <c r="B17" s="89">
        <f t="shared" si="2"/>
        <v>7</v>
      </c>
      <c r="C17" s="72">
        <f t="shared" si="2"/>
        <v>2</v>
      </c>
      <c r="D17" s="17">
        <f t="shared" si="3"/>
        <v>46246</v>
      </c>
      <c r="E17" s="18" t="str">
        <f t="shared" si="0"/>
        <v>수</v>
      </c>
      <c r="F17" s="35" t="s">
        <v>9</v>
      </c>
      <c r="G17" s="35"/>
      <c r="H17" s="35"/>
      <c r="I17" s="130"/>
      <c r="K17" s="120" t="s">
        <v>142</v>
      </c>
      <c r="L17" s="35"/>
      <c r="M17" s="35"/>
      <c r="N17" s="35"/>
      <c r="O17" s="6">
        <v>0</v>
      </c>
      <c r="P17" s="1" t="s">
        <v>140</v>
      </c>
    </row>
    <row r="18" spans="1:16" ht="75" x14ac:dyDescent="0.3">
      <c r="B18" s="89">
        <f t="shared" si="2"/>
        <v>8</v>
      </c>
      <c r="C18" s="72">
        <f t="shared" si="2"/>
        <v>3</v>
      </c>
      <c r="D18" s="17">
        <f t="shared" si="3"/>
        <v>46253</v>
      </c>
      <c r="E18" s="18" t="str">
        <f t="shared" si="0"/>
        <v>수</v>
      </c>
      <c r="F18" s="35" t="s">
        <v>12</v>
      </c>
      <c r="G18" s="35" t="s">
        <v>80</v>
      </c>
      <c r="H18" s="35"/>
      <c r="I18" s="130"/>
      <c r="K18" s="120" t="s">
        <v>90</v>
      </c>
      <c r="L18" s="35" t="s">
        <v>98</v>
      </c>
      <c r="M18" s="35"/>
      <c r="N18" s="35"/>
      <c r="O18" s="6">
        <f t="shared" si="4"/>
        <v>1</v>
      </c>
    </row>
    <row r="19" spans="1:16" ht="93.75" x14ac:dyDescent="0.3">
      <c r="A19" s="47"/>
      <c r="B19" s="89">
        <f t="shared" si="2"/>
        <v>9</v>
      </c>
      <c r="C19" s="72">
        <v>4</v>
      </c>
      <c r="D19" s="17">
        <f t="shared" si="3"/>
        <v>46260</v>
      </c>
      <c r="E19" s="18" t="str">
        <f t="shared" si="0"/>
        <v>수</v>
      </c>
      <c r="F19" s="35"/>
      <c r="G19" s="35" t="s">
        <v>93</v>
      </c>
      <c r="H19" s="35"/>
      <c r="I19" s="130"/>
      <c r="K19" s="120" t="s">
        <v>91</v>
      </c>
      <c r="L19" s="35" t="s">
        <v>104</v>
      </c>
      <c r="M19" s="35" t="s">
        <v>103</v>
      </c>
      <c r="N19" s="35"/>
      <c r="O19" s="6">
        <f t="shared" si="4"/>
        <v>2</v>
      </c>
    </row>
    <row r="20" spans="1:16" ht="37.5" x14ac:dyDescent="0.3">
      <c r="A20" s="176">
        <f>D20</f>
        <v>46267</v>
      </c>
      <c r="B20" s="178">
        <f t="shared" si="2"/>
        <v>10</v>
      </c>
      <c r="C20" s="177">
        <v>1</v>
      </c>
      <c r="D20" s="17">
        <f t="shared" si="3"/>
        <v>46267</v>
      </c>
      <c r="E20" s="18" t="str">
        <f t="shared" si="0"/>
        <v>수</v>
      </c>
      <c r="F20" s="35" t="s">
        <v>14</v>
      </c>
      <c r="G20" s="35" t="s">
        <v>85</v>
      </c>
      <c r="H20" s="35" t="s">
        <v>78</v>
      </c>
      <c r="I20" s="130" t="s">
        <v>94</v>
      </c>
      <c r="K20" s="120" t="s">
        <v>105</v>
      </c>
      <c r="L20" s="154" t="s">
        <v>106</v>
      </c>
      <c r="M20" s="35" t="str">
        <f>H20</f>
        <v>주주간계약서 협의 착수</v>
      </c>
      <c r="N20" s="35"/>
      <c r="O20" s="6">
        <f t="shared" si="4"/>
        <v>3</v>
      </c>
    </row>
    <row r="21" spans="1:16" x14ac:dyDescent="0.3">
      <c r="B21" s="89">
        <f t="shared" si="2"/>
        <v>11</v>
      </c>
      <c r="C21" s="72">
        <v>2</v>
      </c>
      <c r="D21" s="17">
        <f t="shared" si="3"/>
        <v>46274</v>
      </c>
      <c r="E21" s="18" t="str">
        <f t="shared" si="0"/>
        <v>수</v>
      </c>
      <c r="F21" s="35"/>
      <c r="G21" s="35"/>
      <c r="H21" s="35"/>
      <c r="I21" s="130"/>
      <c r="K21" s="120"/>
      <c r="L21" s="154"/>
      <c r="M21" s="35"/>
      <c r="N21" s="35"/>
      <c r="O21" s="6">
        <f t="shared" si="4"/>
        <v>4</v>
      </c>
    </row>
    <row r="22" spans="1:16" ht="18.75" customHeight="1" x14ac:dyDescent="0.3">
      <c r="B22" s="89">
        <f t="shared" si="2"/>
        <v>12</v>
      </c>
      <c r="C22" s="72">
        <v>3</v>
      </c>
      <c r="D22" s="17">
        <f t="shared" si="3"/>
        <v>46281</v>
      </c>
      <c r="E22" s="18" t="str">
        <f t="shared" si="0"/>
        <v>수</v>
      </c>
      <c r="F22" s="35" t="s">
        <v>15</v>
      </c>
      <c r="G22" s="35"/>
      <c r="H22" s="35"/>
      <c r="I22" s="130"/>
      <c r="K22" s="120"/>
      <c r="L22" s="154"/>
      <c r="M22" s="35"/>
      <c r="N22" s="35"/>
      <c r="O22" s="6">
        <f t="shared" si="4"/>
        <v>5</v>
      </c>
    </row>
    <row r="23" spans="1:16" ht="37.5" x14ac:dyDescent="0.3">
      <c r="B23" s="89">
        <f t="shared" si="2"/>
        <v>13</v>
      </c>
      <c r="C23" s="72">
        <v>4</v>
      </c>
      <c r="D23" s="17">
        <f t="shared" si="3"/>
        <v>46288</v>
      </c>
      <c r="E23" s="18" t="str">
        <f t="shared" si="0"/>
        <v>수</v>
      </c>
      <c r="F23" s="35" t="s">
        <v>16</v>
      </c>
      <c r="G23" s="35"/>
      <c r="H23" s="35"/>
      <c r="I23" s="130"/>
      <c r="K23" s="120"/>
      <c r="L23" s="35" t="s">
        <v>71</v>
      </c>
      <c r="M23" s="35"/>
      <c r="N23" s="35" t="s">
        <v>97</v>
      </c>
      <c r="O23" s="6">
        <f t="shared" si="4"/>
        <v>6</v>
      </c>
    </row>
    <row r="24" spans="1:16" ht="75" x14ac:dyDescent="0.3">
      <c r="A24" s="47"/>
      <c r="B24" s="89">
        <f t="shared" si="2"/>
        <v>14</v>
      </c>
      <c r="C24" s="72">
        <v>5</v>
      </c>
      <c r="D24" s="192">
        <f t="shared" si="3"/>
        <v>46295</v>
      </c>
      <c r="E24" s="193" t="str">
        <f t="shared" si="0"/>
        <v>수</v>
      </c>
      <c r="F24" s="181"/>
      <c r="G24" s="181" t="s">
        <v>83</v>
      </c>
      <c r="H24" s="181"/>
      <c r="I24" s="182" t="s">
        <v>81</v>
      </c>
      <c r="J24" s="183"/>
      <c r="K24" s="184" t="s">
        <v>88</v>
      </c>
      <c r="L24" s="181" t="s">
        <v>87</v>
      </c>
      <c r="M24" s="181" t="s">
        <v>44</v>
      </c>
      <c r="N24" s="181" t="s">
        <v>84</v>
      </c>
      <c r="O24" s="6">
        <f t="shared" si="4"/>
        <v>7</v>
      </c>
    </row>
    <row r="25" spans="1:16" ht="37.5" x14ac:dyDescent="0.3">
      <c r="A25" s="47">
        <f>D25</f>
        <v>46302</v>
      </c>
      <c r="B25" s="89">
        <f t="shared" si="2"/>
        <v>15</v>
      </c>
      <c r="C25" s="72">
        <v>1</v>
      </c>
      <c r="D25" s="17">
        <f t="shared" si="3"/>
        <v>46302</v>
      </c>
      <c r="E25" s="18" t="str">
        <f t="shared" si="0"/>
        <v>수</v>
      </c>
      <c r="F25" s="35" t="s">
        <v>17</v>
      </c>
      <c r="G25" s="35"/>
      <c r="H25" s="35" t="s">
        <v>95</v>
      </c>
      <c r="K25" s="120"/>
      <c r="L25" s="35"/>
      <c r="M25" s="35" t="s">
        <v>102</v>
      </c>
      <c r="N25" s="35"/>
      <c r="O25" s="6">
        <f t="shared" si="4"/>
        <v>8</v>
      </c>
    </row>
    <row r="26" spans="1:16" ht="75" x14ac:dyDescent="0.3">
      <c r="B26" s="89">
        <f t="shared" si="2"/>
        <v>16</v>
      </c>
      <c r="C26" s="72">
        <f t="shared" si="2"/>
        <v>2</v>
      </c>
      <c r="D26" s="17">
        <f t="shared" si="3"/>
        <v>46309</v>
      </c>
      <c r="E26" s="18" t="str">
        <f t="shared" si="0"/>
        <v>수</v>
      </c>
      <c r="F26" s="35" t="s">
        <v>18</v>
      </c>
      <c r="G26" s="35" t="s">
        <v>82</v>
      </c>
      <c r="H26" s="35" t="s">
        <v>46</v>
      </c>
      <c r="I26" s="130" t="s">
        <v>45</v>
      </c>
      <c r="K26" s="120" t="s">
        <v>79</v>
      </c>
      <c r="L26" s="154" t="s">
        <v>96</v>
      </c>
      <c r="M26" s="35" t="s">
        <v>46</v>
      </c>
      <c r="N26" s="35"/>
      <c r="O26" s="6">
        <f t="shared" si="4"/>
        <v>9</v>
      </c>
    </row>
    <row r="27" spans="1:16" x14ac:dyDescent="0.3">
      <c r="B27" s="89">
        <f t="shared" si="2"/>
        <v>17</v>
      </c>
      <c r="C27" s="72">
        <f t="shared" si="2"/>
        <v>3</v>
      </c>
      <c r="D27" s="192">
        <f t="shared" si="3"/>
        <v>46316</v>
      </c>
      <c r="E27" s="193" t="str">
        <f t="shared" si="0"/>
        <v>수</v>
      </c>
      <c r="F27" s="181"/>
      <c r="G27" s="181" t="s">
        <v>99</v>
      </c>
      <c r="H27" s="181" t="s">
        <v>100</v>
      </c>
      <c r="I27" s="182" t="s">
        <v>101</v>
      </c>
      <c r="J27" s="183"/>
      <c r="K27" s="184" t="str">
        <f>G27</f>
        <v>거래종결(10/22)</v>
      </c>
      <c r="L27" s="181" t="str">
        <f>K27</f>
        <v>거래종결(10/22)</v>
      </c>
      <c r="M27" s="181" t="str">
        <f>H27</f>
        <v>출자금 납입(10/21)</v>
      </c>
      <c r="N27" s="181"/>
      <c r="O27" s="6">
        <f t="shared" si="4"/>
        <v>10</v>
      </c>
    </row>
    <row r="28" spans="1:16" x14ac:dyDescent="0.3">
      <c r="B28" s="89">
        <f t="shared" si="2"/>
        <v>18</v>
      </c>
      <c r="C28" s="72">
        <f t="shared" si="2"/>
        <v>4</v>
      </c>
      <c r="D28" s="17">
        <f t="shared" si="3"/>
        <v>46323</v>
      </c>
      <c r="E28" s="18" t="str">
        <f t="shared" si="0"/>
        <v>수</v>
      </c>
      <c r="F28" s="35"/>
      <c r="G28" s="24"/>
      <c r="H28" s="24"/>
      <c r="I28" s="131"/>
      <c r="J28" s="96"/>
      <c r="K28" s="121"/>
      <c r="L28" s="24"/>
      <c r="M28" s="24"/>
      <c r="N28" s="24"/>
    </row>
    <row r="29" spans="1:16" x14ac:dyDescent="0.3">
      <c r="A29" s="47">
        <f>D29</f>
        <v>46330</v>
      </c>
      <c r="B29" s="89">
        <f t="shared" ref="B29:C44" si="5">B28+1</f>
        <v>19</v>
      </c>
      <c r="C29" s="72">
        <v>1</v>
      </c>
      <c r="D29" s="17">
        <f t="shared" si="3"/>
        <v>46330</v>
      </c>
      <c r="E29" s="18" t="str">
        <f t="shared" si="0"/>
        <v>수</v>
      </c>
      <c r="F29" s="35"/>
      <c r="G29" s="35"/>
      <c r="H29" s="138"/>
      <c r="I29" s="130"/>
      <c r="K29" s="120"/>
      <c r="L29" s="35"/>
      <c r="M29" s="35"/>
      <c r="N29" s="35"/>
    </row>
    <row r="30" spans="1:16" x14ac:dyDescent="0.3">
      <c r="B30" s="89">
        <f t="shared" si="5"/>
        <v>20</v>
      </c>
      <c r="C30" s="72">
        <v>2</v>
      </c>
      <c r="D30" s="17">
        <f t="shared" si="3"/>
        <v>46337</v>
      </c>
      <c r="E30" s="18" t="str">
        <f t="shared" si="0"/>
        <v>수</v>
      </c>
      <c r="F30" s="35"/>
      <c r="G30" s="35"/>
      <c r="H30" s="138"/>
      <c r="I30" s="130"/>
      <c r="K30" s="120"/>
      <c r="L30" s="35"/>
      <c r="M30" s="35"/>
      <c r="N30" s="35"/>
    </row>
    <row r="31" spans="1:16" x14ac:dyDescent="0.3">
      <c r="B31" s="89">
        <f t="shared" si="5"/>
        <v>21</v>
      </c>
      <c r="C31" s="72">
        <v>3</v>
      </c>
      <c r="D31" s="17">
        <f t="shared" si="3"/>
        <v>46344</v>
      </c>
      <c r="E31" s="18" t="str">
        <f t="shared" si="0"/>
        <v>수</v>
      </c>
      <c r="F31" s="35"/>
      <c r="G31" s="35"/>
      <c r="H31" s="138"/>
      <c r="I31" s="130"/>
      <c r="K31" s="120"/>
      <c r="L31" s="35"/>
      <c r="M31" s="35"/>
      <c r="N31" s="35"/>
    </row>
    <row r="32" spans="1:16" x14ac:dyDescent="0.3">
      <c r="A32" s="47"/>
      <c r="B32" s="89">
        <f t="shared" si="5"/>
        <v>22</v>
      </c>
      <c r="C32" s="72">
        <v>4</v>
      </c>
      <c r="D32" s="17">
        <f t="shared" si="3"/>
        <v>46351</v>
      </c>
      <c r="E32" s="18" t="str">
        <f t="shared" si="0"/>
        <v>수</v>
      </c>
      <c r="F32" s="35"/>
      <c r="G32" s="35"/>
      <c r="H32" s="138"/>
      <c r="I32" s="130"/>
      <c r="K32" s="120"/>
      <c r="L32" s="35"/>
      <c r="M32" s="35"/>
      <c r="N32" s="35"/>
    </row>
    <row r="33" spans="1:15" x14ac:dyDescent="0.3">
      <c r="A33" s="47">
        <f>D33</f>
        <v>46358</v>
      </c>
      <c r="B33" s="89">
        <f t="shared" si="5"/>
        <v>23</v>
      </c>
      <c r="C33" s="72">
        <v>1</v>
      </c>
      <c r="D33" s="17">
        <f t="shared" si="3"/>
        <v>46358</v>
      </c>
      <c r="E33" s="18" t="str">
        <f t="shared" si="0"/>
        <v>수</v>
      </c>
      <c r="F33" s="35"/>
      <c r="G33" s="35"/>
      <c r="H33" s="138"/>
      <c r="I33" s="130"/>
      <c r="K33" s="120"/>
      <c r="L33" s="35"/>
      <c r="M33" s="35"/>
      <c r="N33" s="35"/>
    </row>
    <row r="34" spans="1:15" x14ac:dyDescent="0.3">
      <c r="B34" s="89">
        <f t="shared" si="5"/>
        <v>24</v>
      </c>
      <c r="C34" s="72">
        <f t="shared" si="5"/>
        <v>2</v>
      </c>
      <c r="D34" s="17">
        <f t="shared" si="3"/>
        <v>46365</v>
      </c>
      <c r="E34" s="18" t="str">
        <f t="shared" si="0"/>
        <v>수</v>
      </c>
      <c r="F34" s="35"/>
      <c r="G34" s="35"/>
      <c r="H34" s="138"/>
      <c r="I34" s="130"/>
      <c r="K34" s="120"/>
      <c r="L34" s="35"/>
      <c r="M34" s="35"/>
      <c r="N34" s="35"/>
    </row>
    <row r="35" spans="1:15" x14ac:dyDescent="0.3">
      <c r="B35" s="89">
        <f t="shared" si="5"/>
        <v>25</v>
      </c>
      <c r="C35" s="72">
        <f t="shared" si="5"/>
        <v>3</v>
      </c>
      <c r="D35" s="17">
        <f t="shared" si="3"/>
        <v>46372</v>
      </c>
      <c r="E35" s="18" t="str">
        <f t="shared" si="0"/>
        <v>수</v>
      </c>
      <c r="F35" s="35"/>
      <c r="G35" s="35"/>
      <c r="H35" s="24"/>
      <c r="I35" s="130"/>
      <c r="K35" s="120"/>
      <c r="L35" s="35"/>
      <c r="M35" s="35"/>
      <c r="N35" s="35"/>
    </row>
    <row r="36" spans="1:15" x14ac:dyDescent="0.3">
      <c r="B36" s="89">
        <f t="shared" si="5"/>
        <v>26</v>
      </c>
      <c r="C36" s="72">
        <f t="shared" si="5"/>
        <v>4</v>
      </c>
      <c r="D36" s="17">
        <f t="shared" si="3"/>
        <v>46379</v>
      </c>
      <c r="E36" s="18" t="str">
        <f t="shared" si="0"/>
        <v>수</v>
      </c>
      <c r="F36" s="35"/>
      <c r="G36" s="35"/>
      <c r="H36" s="35"/>
      <c r="I36" s="130"/>
      <c r="K36" s="120"/>
      <c r="L36" s="35"/>
      <c r="M36" s="35"/>
      <c r="N36" s="35"/>
    </row>
    <row r="37" spans="1:15" s="88" customFormat="1" x14ac:dyDescent="0.3">
      <c r="A37" s="47"/>
      <c r="B37" s="89">
        <f t="shared" si="5"/>
        <v>27</v>
      </c>
      <c r="C37" s="72">
        <v>1</v>
      </c>
      <c r="D37" s="17">
        <f t="shared" si="3"/>
        <v>46386</v>
      </c>
      <c r="E37" s="18" t="str">
        <f t="shared" si="0"/>
        <v>수</v>
      </c>
      <c r="F37" s="35"/>
      <c r="G37" s="35"/>
      <c r="H37" s="35"/>
      <c r="I37" s="130"/>
      <c r="J37" s="87"/>
      <c r="K37" s="120"/>
      <c r="L37" s="35"/>
      <c r="M37" s="35"/>
      <c r="N37" s="35"/>
      <c r="O37" s="6"/>
    </row>
    <row r="38" spans="1:15" x14ac:dyDescent="0.3">
      <c r="B38" s="89">
        <f t="shared" si="5"/>
        <v>28</v>
      </c>
      <c r="C38" s="72">
        <f>C37+1</f>
        <v>2</v>
      </c>
      <c r="D38" s="17">
        <f t="shared" si="3"/>
        <v>46393</v>
      </c>
      <c r="E38" s="18" t="str">
        <f t="shared" si="0"/>
        <v>수</v>
      </c>
      <c r="F38" s="35"/>
      <c r="G38" s="35"/>
      <c r="H38" s="35"/>
      <c r="I38" s="130"/>
      <c r="K38" s="120"/>
      <c r="L38" s="35"/>
      <c r="M38" s="35"/>
      <c r="N38" s="35"/>
    </row>
    <row r="39" spans="1:15" x14ac:dyDescent="0.3">
      <c r="B39" s="89">
        <f t="shared" si="5"/>
        <v>29</v>
      </c>
      <c r="C39" s="72">
        <f t="shared" si="5"/>
        <v>3</v>
      </c>
      <c r="D39" s="17">
        <f t="shared" si="3"/>
        <v>46400</v>
      </c>
      <c r="E39" s="18" t="str">
        <f t="shared" si="0"/>
        <v>수</v>
      </c>
      <c r="F39" s="35"/>
      <c r="G39" s="35"/>
      <c r="H39" s="35"/>
      <c r="I39" s="130"/>
      <c r="K39" s="120"/>
      <c r="L39" s="35"/>
      <c r="M39" s="35"/>
      <c r="N39" s="35"/>
    </row>
    <row r="40" spans="1:15" x14ac:dyDescent="0.3">
      <c r="B40" s="89">
        <f t="shared" si="5"/>
        <v>30</v>
      </c>
      <c r="C40" s="72">
        <f t="shared" si="5"/>
        <v>4</v>
      </c>
      <c r="D40" s="17">
        <f t="shared" si="3"/>
        <v>46407</v>
      </c>
      <c r="E40" s="18" t="str">
        <f t="shared" si="0"/>
        <v>수</v>
      </c>
      <c r="F40" s="35"/>
      <c r="G40" s="35"/>
      <c r="H40" s="35"/>
      <c r="I40" s="130"/>
      <c r="K40" s="120"/>
      <c r="L40" s="35"/>
      <c r="M40" s="35"/>
      <c r="N40" s="35"/>
    </row>
    <row r="41" spans="1:15" x14ac:dyDescent="0.3">
      <c r="A41" s="47">
        <f>D41</f>
        <v>46414</v>
      </c>
      <c r="B41" s="89">
        <f t="shared" si="5"/>
        <v>31</v>
      </c>
      <c r="C41" s="72">
        <v>1</v>
      </c>
      <c r="D41" s="17">
        <f t="shared" si="3"/>
        <v>46414</v>
      </c>
      <c r="E41" s="18" t="str">
        <f t="shared" si="0"/>
        <v>수</v>
      </c>
      <c r="F41" s="35"/>
      <c r="G41" s="35"/>
      <c r="H41" s="35"/>
      <c r="I41" s="130"/>
      <c r="K41" s="120"/>
      <c r="L41" s="35"/>
      <c r="M41" s="35"/>
      <c r="N41" s="35"/>
    </row>
    <row r="42" spans="1:15" x14ac:dyDescent="0.3">
      <c r="B42" s="89">
        <f t="shared" si="5"/>
        <v>32</v>
      </c>
      <c r="C42" s="72">
        <v>2</v>
      </c>
      <c r="D42" s="17">
        <f t="shared" si="3"/>
        <v>46421</v>
      </c>
      <c r="E42" s="18" t="str">
        <f t="shared" si="0"/>
        <v>수</v>
      </c>
      <c r="F42" s="35"/>
      <c r="G42" s="35"/>
      <c r="H42" s="35"/>
      <c r="I42" s="130"/>
      <c r="K42" s="120"/>
      <c r="L42" s="35"/>
      <c r="M42" s="35"/>
      <c r="N42" s="35"/>
    </row>
    <row r="43" spans="1:15" x14ac:dyDescent="0.3">
      <c r="B43" s="89">
        <f t="shared" si="5"/>
        <v>33</v>
      </c>
      <c r="C43" s="72">
        <v>3</v>
      </c>
      <c r="D43" s="17">
        <f t="shared" si="3"/>
        <v>46428</v>
      </c>
      <c r="E43" s="18" t="str">
        <f t="shared" si="0"/>
        <v>수</v>
      </c>
      <c r="F43" s="35"/>
      <c r="G43" s="35"/>
      <c r="H43" s="35"/>
      <c r="I43" s="130"/>
      <c r="K43" s="120"/>
      <c r="L43" s="35"/>
      <c r="M43" s="35"/>
      <c r="N43" s="35"/>
    </row>
    <row r="44" spans="1:15" x14ac:dyDescent="0.3">
      <c r="B44" s="89">
        <f t="shared" si="5"/>
        <v>34</v>
      </c>
      <c r="C44" s="72">
        <v>4</v>
      </c>
      <c r="D44" s="17">
        <f t="shared" si="3"/>
        <v>46435</v>
      </c>
      <c r="E44" s="18" t="str">
        <f t="shared" si="0"/>
        <v>수</v>
      </c>
      <c r="F44" s="35"/>
      <c r="G44" s="35" t="s">
        <v>20</v>
      </c>
      <c r="H44" s="35"/>
      <c r="I44" s="130"/>
      <c r="K44" s="120"/>
      <c r="L44" s="35"/>
      <c r="M44" s="35"/>
      <c r="N44" s="35"/>
    </row>
    <row r="45" spans="1:15" x14ac:dyDescent="0.3">
      <c r="A45" s="47">
        <f>D45</f>
        <v>46442</v>
      </c>
      <c r="C45" s="72">
        <v>5</v>
      </c>
      <c r="D45" s="17">
        <f t="shared" si="3"/>
        <v>46442</v>
      </c>
      <c r="E45" s="18" t="str">
        <f t="shared" si="0"/>
        <v>수</v>
      </c>
      <c r="F45" s="35"/>
      <c r="G45" s="35"/>
      <c r="H45" s="35"/>
      <c r="I45" s="130"/>
      <c r="K45" s="120"/>
      <c r="L45" s="35"/>
      <c r="M45" s="35"/>
      <c r="N45" s="35"/>
    </row>
    <row r="46" spans="1:15" x14ac:dyDescent="0.3">
      <c r="C46" s="72">
        <v>1</v>
      </c>
      <c r="D46" s="17">
        <f t="shared" si="3"/>
        <v>46449</v>
      </c>
      <c r="E46" s="18" t="str">
        <f t="shared" si="0"/>
        <v>수</v>
      </c>
      <c r="F46" s="35"/>
      <c r="G46" s="35"/>
      <c r="H46" s="35"/>
      <c r="I46" s="130"/>
      <c r="K46" s="120"/>
      <c r="L46" s="35"/>
      <c r="M46" s="35"/>
      <c r="N46" s="35"/>
    </row>
    <row r="47" spans="1:15" x14ac:dyDescent="0.3">
      <c r="C47" s="72">
        <v>2</v>
      </c>
      <c r="D47" s="17">
        <f t="shared" si="3"/>
        <v>46456</v>
      </c>
      <c r="E47" s="18" t="str">
        <f t="shared" si="0"/>
        <v>수</v>
      </c>
      <c r="F47" s="35"/>
      <c r="G47" s="35"/>
      <c r="H47" s="35"/>
      <c r="I47" s="130"/>
      <c r="K47" s="120"/>
      <c r="L47" s="35"/>
      <c r="M47" s="35"/>
      <c r="N47" s="35"/>
    </row>
    <row r="48" spans="1:15" x14ac:dyDescent="0.3">
      <c r="C48" s="72">
        <v>3</v>
      </c>
      <c r="D48" s="17">
        <f t="shared" si="3"/>
        <v>46463</v>
      </c>
      <c r="E48" s="18" t="str">
        <f t="shared" si="0"/>
        <v>수</v>
      </c>
      <c r="F48" s="35"/>
      <c r="G48" s="35"/>
      <c r="H48" s="35"/>
      <c r="I48" s="130"/>
      <c r="K48" s="120"/>
      <c r="L48" s="35"/>
      <c r="M48" s="35"/>
      <c r="N48" s="35"/>
    </row>
    <row r="49" spans="1:14" x14ac:dyDescent="0.3">
      <c r="C49" s="72">
        <v>4</v>
      </c>
      <c r="D49" s="17">
        <f t="shared" si="3"/>
        <v>46470</v>
      </c>
      <c r="E49" s="18" t="str">
        <f t="shared" si="0"/>
        <v>수</v>
      </c>
      <c r="F49" s="35"/>
      <c r="G49" s="35"/>
      <c r="H49" s="35"/>
      <c r="I49" s="130"/>
      <c r="K49" s="120"/>
      <c r="L49" s="35"/>
      <c r="M49" s="35"/>
      <c r="N49" s="35"/>
    </row>
    <row r="50" spans="1:14" x14ac:dyDescent="0.3">
      <c r="A50" s="47">
        <f>D50</f>
        <v>46508</v>
      </c>
      <c r="C50" s="72"/>
      <c r="D50" s="17">
        <f>D49+38</f>
        <v>46508</v>
      </c>
      <c r="E50" s="18" t="str">
        <f t="shared" si="0"/>
        <v>토</v>
      </c>
      <c r="F50" s="35"/>
      <c r="G50" s="35"/>
      <c r="H50" s="35"/>
      <c r="I50" s="130"/>
      <c r="K50" s="120"/>
      <c r="L50" s="35"/>
      <c r="M50" s="35"/>
      <c r="N50" s="35"/>
    </row>
    <row r="51" spans="1:14" x14ac:dyDescent="0.3">
      <c r="C51" s="72"/>
      <c r="D51" s="17"/>
      <c r="E51" s="18"/>
      <c r="F51" s="35"/>
      <c r="G51" s="35"/>
      <c r="H51" s="35"/>
      <c r="I51" s="130"/>
      <c r="K51" s="120"/>
      <c r="L51" s="35"/>
      <c r="M51" s="35"/>
      <c r="N51" s="35"/>
    </row>
    <row r="52" spans="1:14" x14ac:dyDescent="0.3">
      <c r="C52" s="72"/>
      <c r="D52" s="17"/>
      <c r="E52" s="18"/>
      <c r="F52" s="35"/>
      <c r="G52" s="35"/>
      <c r="H52" s="35"/>
      <c r="I52" s="130"/>
      <c r="K52" s="120"/>
      <c r="L52" s="35"/>
      <c r="M52" s="35"/>
      <c r="N52" s="35"/>
    </row>
    <row r="53" spans="1:14" x14ac:dyDescent="0.3">
      <c r="C53" s="72"/>
      <c r="D53" s="17"/>
      <c r="E53" s="18"/>
      <c r="F53" s="35"/>
      <c r="G53" s="35"/>
      <c r="H53" s="35"/>
      <c r="I53" s="130"/>
      <c r="K53" s="120"/>
      <c r="L53" s="35"/>
      <c r="M53" s="35"/>
      <c r="N53" s="35"/>
    </row>
    <row r="54" spans="1:14" x14ac:dyDescent="0.3">
      <c r="C54" s="72"/>
      <c r="D54" s="17"/>
      <c r="E54" s="18"/>
      <c r="F54" s="35"/>
      <c r="G54" s="35"/>
      <c r="H54" s="35"/>
      <c r="I54" s="130"/>
      <c r="K54" s="120"/>
      <c r="L54" s="35"/>
      <c r="M54" s="35"/>
      <c r="N54" s="35"/>
    </row>
    <row r="55" spans="1:14" x14ac:dyDescent="0.3">
      <c r="C55" s="72"/>
      <c r="D55" s="17"/>
      <c r="E55" s="18"/>
      <c r="F55" s="35"/>
      <c r="G55" s="35"/>
      <c r="H55" s="35"/>
      <c r="I55" s="130"/>
      <c r="K55" s="120"/>
      <c r="L55" s="35"/>
      <c r="M55" s="35"/>
      <c r="N55" s="35"/>
    </row>
    <row r="56" spans="1:14" x14ac:dyDescent="0.3">
      <c r="C56" s="72"/>
      <c r="D56" s="17"/>
      <c r="E56" s="18"/>
      <c r="F56" s="35"/>
      <c r="G56" s="35"/>
      <c r="H56" s="35"/>
      <c r="I56" s="130"/>
      <c r="K56" s="120"/>
      <c r="L56" s="35"/>
      <c r="M56" s="35"/>
      <c r="N56" s="35"/>
    </row>
    <row r="57" spans="1:14" x14ac:dyDescent="0.3">
      <c r="C57" s="73"/>
      <c r="D57" s="92"/>
      <c r="E57" s="93"/>
      <c r="F57" s="94"/>
      <c r="G57" s="94"/>
      <c r="H57" s="94"/>
      <c r="I57" s="132"/>
      <c r="K57" s="133"/>
      <c r="L57" s="94"/>
      <c r="M57" s="94"/>
      <c r="N57" s="94"/>
    </row>
    <row r="59" spans="1:14" x14ac:dyDescent="0.3">
      <c r="A59" s="47"/>
      <c r="B59" s="47"/>
      <c r="C59" s="95"/>
      <c r="F59" s="96"/>
      <c r="G59" s="96"/>
      <c r="H59" s="96"/>
      <c r="I59" s="96"/>
      <c r="J59" s="96"/>
      <c r="K59" s="96"/>
      <c r="L59" s="96"/>
      <c r="M59" s="96"/>
      <c r="N59" s="96"/>
    </row>
    <row r="60" spans="1:14" x14ac:dyDescent="0.3">
      <c r="F60" s="96"/>
      <c r="G60" s="96"/>
      <c r="H60" s="96"/>
      <c r="I60" s="96"/>
      <c r="J60" s="96"/>
      <c r="K60" s="96"/>
      <c r="L60" s="96"/>
      <c r="M60" s="96"/>
      <c r="N60" s="96"/>
    </row>
    <row r="61" spans="1:14" x14ac:dyDescent="0.3">
      <c r="C61" s="1"/>
      <c r="F61" s="96"/>
      <c r="G61" s="96"/>
      <c r="H61" s="96"/>
      <c r="I61" s="96"/>
      <c r="J61" s="96"/>
      <c r="K61" s="96"/>
      <c r="L61" s="96"/>
      <c r="M61" s="96"/>
      <c r="N61" s="96"/>
    </row>
    <row r="62" spans="1:14" x14ac:dyDescent="0.3">
      <c r="F62" s="96"/>
      <c r="G62" s="96"/>
      <c r="H62" s="96"/>
      <c r="I62" s="96"/>
      <c r="J62" s="96"/>
      <c r="K62" s="96"/>
      <c r="L62" s="96"/>
      <c r="M62" s="96"/>
      <c r="N62" s="96"/>
    </row>
    <row r="64" spans="1:14" x14ac:dyDescent="0.3">
      <c r="F64" s="96"/>
      <c r="G64" s="96"/>
      <c r="H64" s="96"/>
      <c r="I64" s="96"/>
      <c r="J64" s="96"/>
      <c r="K64" s="96"/>
      <c r="L64" s="96"/>
      <c r="M64" s="96"/>
      <c r="N64" s="96"/>
    </row>
    <row r="65" spans="1:15" x14ac:dyDescent="0.3">
      <c r="O65" s="196"/>
    </row>
    <row r="66" spans="1:15" x14ac:dyDescent="0.3">
      <c r="A66" s="47"/>
      <c r="B66" s="47"/>
      <c r="C66" s="95"/>
      <c r="F66" s="96"/>
      <c r="G66" s="96"/>
      <c r="H66" s="96"/>
      <c r="I66" s="96"/>
      <c r="J66" s="96"/>
      <c r="K66" s="96"/>
      <c r="L66" s="96"/>
      <c r="M66" s="96"/>
      <c r="N66" s="96"/>
    </row>
    <row r="67" spans="1:15" x14ac:dyDescent="0.3">
      <c r="F67" s="96"/>
      <c r="G67" s="96"/>
      <c r="H67" s="96"/>
      <c r="I67" s="96"/>
      <c r="J67" s="96"/>
      <c r="K67" s="96"/>
      <c r="L67" s="96"/>
      <c r="M67" s="96"/>
      <c r="N67" s="96"/>
    </row>
    <row r="68" spans="1:15" x14ac:dyDescent="0.3">
      <c r="F68" s="96"/>
      <c r="G68" s="96"/>
      <c r="H68" s="96"/>
      <c r="I68" s="96"/>
      <c r="J68" s="96"/>
      <c r="K68" s="96"/>
      <c r="L68" s="96"/>
      <c r="M68" s="96"/>
      <c r="N68" s="96"/>
    </row>
    <row r="69" spans="1:15" x14ac:dyDescent="0.3">
      <c r="F69" s="96"/>
      <c r="G69" s="96"/>
      <c r="H69" s="96"/>
      <c r="I69" s="96"/>
      <c r="J69" s="96"/>
      <c r="K69" s="96"/>
      <c r="L69" s="96"/>
      <c r="M69" s="96"/>
      <c r="N69" s="96"/>
    </row>
    <row r="70" spans="1:15" x14ac:dyDescent="0.3">
      <c r="F70" s="96"/>
      <c r="G70" s="96"/>
      <c r="H70" s="96"/>
      <c r="I70" s="96"/>
      <c r="J70" s="96"/>
      <c r="K70" s="96"/>
      <c r="L70" s="96"/>
      <c r="M70" s="96"/>
      <c r="N70" s="96"/>
    </row>
    <row r="71" spans="1:15" x14ac:dyDescent="0.3">
      <c r="F71" s="96"/>
      <c r="G71" s="96"/>
      <c r="H71" s="96"/>
      <c r="I71" s="96"/>
      <c r="J71" s="96"/>
      <c r="K71" s="96"/>
      <c r="L71" s="96"/>
      <c r="M71" s="96"/>
      <c r="N71" s="96"/>
    </row>
    <row r="72" spans="1:15" s="9" customFormat="1" x14ac:dyDescent="0.3">
      <c r="A72" s="1"/>
      <c r="B72" s="1"/>
      <c r="C72" s="13"/>
      <c r="D72" s="5"/>
      <c r="E72" s="6"/>
      <c r="F72" s="96"/>
      <c r="G72" s="96"/>
      <c r="H72" s="96"/>
      <c r="I72" s="96"/>
      <c r="J72" s="96"/>
      <c r="K72" s="96"/>
      <c r="L72" s="96"/>
      <c r="M72" s="96"/>
      <c r="N72" s="96"/>
      <c r="O72" s="6"/>
    </row>
    <row r="73" spans="1:15" x14ac:dyDescent="0.3">
      <c r="A73" s="47"/>
      <c r="B73" s="47"/>
      <c r="C73" s="95"/>
      <c r="F73" s="96"/>
      <c r="G73" s="96"/>
      <c r="H73" s="96"/>
      <c r="I73" s="96"/>
      <c r="J73" s="96"/>
      <c r="K73" s="96"/>
      <c r="L73" s="96"/>
      <c r="M73" s="96"/>
      <c r="N73" s="96"/>
    </row>
    <row r="74" spans="1:15" x14ac:dyDescent="0.3">
      <c r="F74" s="96"/>
      <c r="G74" s="96"/>
      <c r="H74" s="96"/>
      <c r="I74" s="96"/>
      <c r="J74" s="96"/>
      <c r="K74" s="96"/>
      <c r="L74" s="96"/>
      <c r="M74" s="96"/>
      <c r="N74" s="96"/>
    </row>
    <row r="75" spans="1:15" x14ac:dyDescent="0.3">
      <c r="F75" s="96"/>
      <c r="G75" s="96"/>
      <c r="H75" s="96"/>
      <c r="I75" s="96"/>
      <c r="J75" s="96"/>
      <c r="K75" s="96"/>
      <c r="L75" s="96"/>
      <c r="M75" s="96"/>
      <c r="N75" s="96"/>
    </row>
    <row r="76" spans="1:15" x14ac:dyDescent="0.3">
      <c r="F76" s="96"/>
      <c r="G76" s="96"/>
      <c r="H76" s="96"/>
      <c r="I76" s="96"/>
      <c r="J76" s="96"/>
      <c r="K76" s="96"/>
      <c r="L76" s="96"/>
      <c r="M76" s="96"/>
      <c r="N76" s="96"/>
    </row>
    <row r="78" spans="1:15" x14ac:dyDescent="0.3">
      <c r="F78" s="96"/>
      <c r="G78" s="96"/>
      <c r="H78" s="96"/>
      <c r="I78" s="96"/>
      <c r="J78" s="96"/>
      <c r="K78" s="96"/>
      <c r="L78" s="96"/>
      <c r="M78" s="96"/>
      <c r="N78" s="96"/>
    </row>
    <row r="79" spans="1:15" x14ac:dyDescent="0.3">
      <c r="F79" s="96"/>
      <c r="G79" s="96"/>
      <c r="H79" s="96"/>
      <c r="I79" s="96"/>
      <c r="J79" s="96"/>
      <c r="K79" s="96"/>
      <c r="L79" s="96"/>
      <c r="M79" s="96"/>
      <c r="N79" s="96"/>
    </row>
    <row r="80" spans="1:15" x14ac:dyDescent="0.3">
      <c r="A80" s="47"/>
      <c r="B80" s="47"/>
      <c r="C80" s="95"/>
      <c r="F80" s="96"/>
      <c r="G80" s="96"/>
      <c r="H80" s="96"/>
      <c r="I80" s="96"/>
      <c r="J80" s="96"/>
      <c r="K80" s="96"/>
      <c r="L80" s="96"/>
      <c r="M80" s="96"/>
      <c r="N80" s="96"/>
    </row>
    <row r="81" spans="1:15" x14ac:dyDescent="0.3">
      <c r="F81" s="96"/>
      <c r="G81" s="96"/>
      <c r="H81" s="96"/>
      <c r="I81" s="96"/>
      <c r="J81" s="96"/>
      <c r="K81" s="96"/>
      <c r="L81" s="96"/>
      <c r="M81" s="96"/>
      <c r="N81" s="96"/>
    </row>
    <row r="82" spans="1:15" x14ac:dyDescent="0.3">
      <c r="F82" s="96"/>
      <c r="G82" s="96"/>
      <c r="H82" s="96"/>
      <c r="I82" s="96"/>
      <c r="J82" s="96"/>
      <c r="K82" s="96"/>
      <c r="L82" s="96"/>
      <c r="M82" s="96"/>
      <c r="N82" s="96"/>
    </row>
    <row r="83" spans="1:15" x14ac:dyDescent="0.3">
      <c r="F83" s="96"/>
      <c r="G83" s="96"/>
      <c r="H83" s="96"/>
      <c r="I83" s="96"/>
      <c r="J83" s="96"/>
      <c r="K83" s="96"/>
      <c r="L83" s="96"/>
      <c r="M83" s="96"/>
      <c r="N83" s="96"/>
    </row>
    <row r="84" spans="1:15" x14ac:dyDescent="0.3">
      <c r="F84" s="96"/>
      <c r="G84" s="96"/>
      <c r="H84" s="96"/>
      <c r="I84" s="96"/>
      <c r="J84" s="96"/>
      <c r="K84" s="96"/>
      <c r="L84" s="96"/>
      <c r="M84" s="96"/>
      <c r="N84" s="96"/>
    </row>
    <row r="85" spans="1:15" x14ac:dyDescent="0.3">
      <c r="F85" s="96"/>
      <c r="G85" s="96"/>
      <c r="H85" s="96"/>
      <c r="I85" s="96"/>
      <c r="J85" s="96"/>
      <c r="K85" s="96"/>
      <c r="L85" s="96"/>
      <c r="M85" s="96"/>
      <c r="N85" s="96"/>
      <c r="O85" s="197"/>
    </row>
    <row r="86" spans="1:15" x14ac:dyDescent="0.3">
      <c r="F86" s="96"/>
      <c r="G86" s="96"/>
      <c r="H86" s="96"/>
      <c r="I86" s="96"/>
      <c r="J86" s="96"/>
      <c r="K86" s="96"/>
      <c r="L86" s="96"/>
      <c r="M86" s="96"/>
      <c r="N86" s="96"/>
    </row>
    <row r="87" spans="1:15" x14ac:dyDescent="0.3">
      <c r="A87" s="47"/>
      <c r="B87" s="47"/>
      <c r="C87" s="95"/>
      <c r="F87" s="99"/>
      <c r="G87" s="99"/>
      <c r="H87" s="99"/>
      <c r="I87" s="99"/>
      <c r="J87" s="99"/>
      <c r="K87" s="99"/>
      <c r="L87" s="99"/>
      <c r="M87" s="99"/>
      <c r="N87" s="99"/>
    </row>
    <row r="88" spans="1:15" x14ac:dyDescent="0.3">
      <c r="F88" s="96"/>
      <c r="G88" s="96"/>
      <c r="H88" s="96"/>
      <c r="I88" s="96"/>
      <c r="J88" s="96"/>
      <c r="K88" s="96"/>
      <c r="L88" s="96"/>
      <c r="M88" s="96"/>
      <c r="N88" s="96"/>
    </row>
    <row r="89" spans="1:15" x14ac:dyDescent="0.3">
      <c r="F89" s="100"/>
      <c r="G89" s="100"/>
      <c r="H89" s="100"/>
      <c r="I89" s="100"/>
      <c r="J89" s="100"/>
      <c r="K89" s="100"/>
      <c r="L89" s="100"/>
      <c r="M89" s="100"/>
      <c r="N89" s="100"/>
    </row>
    <row r="90" spans="1:15" x14ac:dyDescent="0.3">
      <c r="F90" s="96"/>
      <c r="G90" s="96"/>
      <c r="H90" s="96"/>
      <c r="I90" s="96"/>
      <c r="J90" s="96"/>
      <c r="K90" s="96"/>
      <c r="L90" s="96"/>
      <c r="M90" s="96"/>
      <c r="N90" s="96"/>
    </row>
    <row r="91" spans="1:15" x14ac:dyDescent="0.3">
      <c r="O91" s="198"/>
    </row>
    <row r="92" spans="1:15" x14ac:dyDescent="0.3">
      <c r="F92" s="96"/>
      <c r="G92" s="96"/>
      <c r="H92" s="96"/>
      <c r="I92" s="96"/>
      <c r="J92" s="96"/>
      <c r="K92" s="96"/>
      <c r="L92" s="96"/>
      <c r="M92" s="96"/>
      <c r="N92" s="96"/>
    </row>
    <row r="93" spans="1:15" x14ac:dyDescent="0.3">
      <c r="F93" s="96"/>
      <c r="G93" s="96"/>
      <c r="H93" s="96"/>
      <c r="I93" s="96"/>
      <c r="J93" s="96"/>
      <c r="K93" s="96"/>
      <c r="L93" s="96"/>
      <c r="M93" s="96"/>
      <c r="N93" s="96"/>
    </row>
    <row r="94" spans="1:15" x14ac:dyDescent="0.3">
      <c r="C94" s="95"/>
      <c r="F94" s="99"/>
      <c r="G94" s="99"/>
      <c r="H94" s="99"/>
      <c r="I94" s="99"/>
      <c r="J94" s="99"/>
      <c r="K94" s="99"/>
      <c r="L94" s="99"/>
      <c r="M94" s="99"/>
      <c r="N94" s="99"/>
    </row>
    <row r="95" spans="1:15" x14ac:dyDescent="0.3">
      <c r="F95" s="96"/>
      <c r="G95" s="96"/>
      <c r="H95" s="96"/>
      <c r="I95" s="96"/>
      <c r="J95" s="96"/>
      <c r="K95" s="96"/>
      <c r="L95" s="96"/>
      <c r="M95" s="96"/>
      <c r="N95" s="96"/>
    </row>
    <row r="96" spans="1:15" x14ac:dyDescent="0.3">
      <c r="A96" s="47"/>
      <c r="B96" s="47"/>
      <c r="C96" s="102"/>
      <c r="F96" s="99"/>
      <c r="G96" s="99"/>
      <c r="H96" s="99"/>
      <c r="I96" s="99"/>
      <c r="J96" s="99"/>
      <c r="K96" s="99"/>
      <c r="L96" s="99"/>
      <c r="M96" s="99"/>
      <c r="N96" s="99"/>
    </row>
    <row r="97" spans="1:15" x14ac:dyDescent="0.3">
      <c r="F97" s="99"/>
      <c r="G97" s="99"/>
      <c r="H97" s="99"/>
      <c r="I97" s="99"/>
      <c r="J97" s="99"/>
      <c r="K97" s="99"/>
      <c r="L97" s="99"/>
      <c r="M97" s="99"/>
      <c r="N97" s="99"/>
    </row>
    <row r="98" spans="1:15" x14ac:dyDescent="0.3">
      <c r="A98" s="48"/>
      <c r="B98" s="48"/>
      <c r="D98" s="103"/>
      <c r="E98" s="104"/>
      <c r="F98" s="99"/>
      <c r="G98" s="99"/>
      <c r="H98" s="99"/>
      <c r="I98" s="99"/>
      <c r="J98" s="99"/>
      <c r="K98" s="99"/>
      <c r="L98" s="99"/>
      <c r="M98" s="99"/>
      <c r="N98" s="99"/>
      <c r="O98" s="197"/>
    </row>
    <row r="99" spans="1:15" x14ac:dyDescent="0.3">
      <c r="F99" s="96"/>
      <c r="G99" s="96"/>
      <c r="H99" s="96"/>
      <c r="I99" s="96"/>
      <c r="J99" s="96"/>
      <c r="K99" s="96"/>
      <c r="L99" s="96"/>
      <c r="M99" s="96"/>
      <c r="N99" s="96"/>
      <c r="O99" s="197"/>
    </row>
    <row r="100" spans="1:15" x14ac:dyDescent="0.3">
      <c r="F100" s="99"/>
      <c r="G100" s="99"/>
      <c r="H100" s="99"/>
      <c r="I100" s="99"/>
      <c r="J100" s="99"/>
      <c r="K100" s="99"/>
      <c r="L100" s="99"/>
      <c r="M100" s="99"/>
      <c r="N100" s="99"/>
    </row>
    <row r="101" spans="1:15" x14ac:dyDescent="0.3">
      <c r="C101" s="95"/>
      <c r="D101" s="105"/>
      <c r="E101" s="106"/>
      <c r="F101" s="107"/>
      <c r="G101" s="107"/>
      <c r="H101" s="107"/>
      <c r="I101" s="107"/>
      <c r="J101" s="99"/>
      <c r="K101" s="107"/>
      <c r="L101" s="107"/>
      <c r="M101" s="107"/>
      <c r="N101" s="107"/>
      <c r="O101" s="106"/>
    </row>
    <row r="102" spans="1:15" x14ac:dyDescent="0.3">
      <c r="F102" s="99"/>
      <c r="G102" s="99"/>
      <c r="H102" s="99"/>
      <c r="I102" s="99"/>
      <c r="J102" s="99"/>
      <c r="K102" s="99"/>
      <c r="L102" s="99"/>
      <c r="M102" s="99"/>
      <c r="N102" s="99"/>
    </row>
    <row r="103" spans="1:15" x14ac:dyDescent="0.3">
      <c r="F103" s="99"/>
      <c r="G103" s="99"/>
      <c r="H103" s="99"/>
      <c r="I103" s="99"/>
      <c r="J103" s="99"/>
      <c r="K103" s="99"/>
      <c r="L103" s="99"/>
      <c r="M103" s="99"/>
      <c r="N103" s="99"/>
    </row>
    <row r="104" spans="1:15" x14ac:dyDescent="0.3">
      <c r="F104" s="99"/>
      <c r="G104" s="99"/>
      <c r="H104" s="99"/>
      <c r="I104" s="99"/>
      <c r="J104" s="99"/>
      <c r="K104" s="99"/>
      <c r="L104" s="99"/>
      <c r="M104" s="99"/>
      <c r="N104" s="99"/>
    </row>
    <row r="106" spans="1:15" x14ac:dyDescent="0.3">
      <c r="F106" s="96"/>
      <c r="G106" s="96"/>
      <c r="H106" s="96"/>
      <c r="I106" s="96"/>
      <c r="J106" s="96"/>
      <c r="K106" s="96"/>
      <c r="L106" s="96"/>
      <c r="M106" s="96"/>
      <c r="N106" s="96"/>
    </row>
    <row r="107" spans="1:15" x14ac:dyDescent="0.3">
      <c r="F107" s="96"/>
      <c r="G107" s="96"/>
      <c r="H107" s="96"/>
      <c r="I107" s="96"/>
      <c r="J107" s="96"/>
      <c r="K107" s="96"/>
      <c r="L107" s="96"/>
      <c r="M107" s="96"/>
      <c r="N107" s="96"/>
    </row>
    <row r="108" spans="1:15" x14ac:dyDescent="0.3">
      <c r="C108" s="95"/>
      <c r="F108" s="96"/>
      <c r="G108" s="96"/>
      <c r="H108" s="96"/>
      <c r="I108" s="96"/>
      <c r="J108" s="96"/>
      <c r="K108" s="96"/>
      <c r="L108" s="96"/>
      <c r="M108" s="96"/>
      <c r="N108" s="96"/>
    </row>
    <row r="109" spans="1:15" x14ac:dyDescent="0.3">
      <c r="F109" s="96"/>
      <c r="G109" s="96"/>
      <c r="H109" s="96"/>
      <c r="I109" s="96"/>
      <c r="J109" s="96"/>
      <c r="K109" s="96"/>
      <c r="L109" s="96"/>
      <c r="M109" s="96"/>
      <c r="N109" s="96"/>
    </row>
    <row r="110" spans="1:15" x14ac:dyDescent="0.3">
      <c r="F110" s="108"/>
      <c r="G110" s="108"/>
      <c r="H110" s="108"/>
      <c r="I110" s="108"/>
      <c r="J110" s="96"/>
      <c r="K110" s="108"/>
      <c r="L110" s="108"/>
      <c r="M110" s="108"/>
      <c r="N110" s="108"/>
    </row>
    <row r="111" spans="1:15" x14ac:dyDescent="0.3">
      <c r="F111" s="96"/>
      <c r="G111" s="96"/>
      <c r="H111" s="96"/>
      <c r="I111" s="96"/>
      <c r="J111" s="96"/>
      <c r="K111" s="96"/>
      <c r="L111" s="96"/>
      <c r="M111" s="96"/>
      <c r="N111" s="96"/>
    </row>
    <row r="112" spans="1:15" x14ac:dyDescent="0.3">
      <c r="F112" s="96"/>
      <c r="G112" s="96"/>
      <c r="H112" s="96"/>
      <c r="I112" s="96"/>
      <c r="J112" s="96"/>
      <c r="K112" s="96"/>
      <c r="L112" s="96"/>
      <c r="M112" s="96"/>
      <c r="N112" s="96"/>
    </row>
    <row r="113" spans="3:14" x14ac:dyDescent="0.3">
      <c r="F113" s="96"/>
      <c r="G113" s="96"/>
      <c r="H113" s="96"/>
      <c r="I113" s="96"/>
      <c r="J113" s="96"/>
      <c r="K113" s="96"/>
      <c r="L113" s="96"/>
      <c r="M113" s="96"/>
      <c r="N113" s="96"/>
    </row>
    <row r="115" spans="3:14" x14ac:dyDescent="0.3">
      <c r="C115" s="95"/>
      <c r="F115" s="96"/>
      <c r="G115" s="96"/>
      <c r="H115" s="96"/>
      <c r="I115" s="96"/>
      <c r="J115" s="96"/>
      <c r="K115" s="96"/>
      <c r="L115" s="96"/>
      <c r="M115" s="96"/>
      <c r="N115" s="96"/>
    </row>
    <row r="116" spans="3:14" x14ac:dyDescent="0.3">
      <c r="F116" s="96"/>
      <c r="G116" s="96"/>
      <c r="H116" s="96"/>
      <c r="I116" s="96"/>
      <c r="J116" s="96"/>
      <c r="K116" s="96"/>
      <c r="L116" s="96"/>
      <c r="M116" s="96"/>
      <c r="N116" s="96"/>
    </row>
    <row r="117" spans="3:14" x14ac:dyDescent="0.3">
      <c r="F117" s="109"/>
      <c r="G117" s="109"/>
      <c r="H117" s="109"/>
      <c r="I117" s="109"/>
      <c r="K117" s="109"/>
      <c r="L117" s="109"/>
      <c r="M117" s="109"/>
      <c r="N117" s="109"/>
    </row>
    <row r="118" spans="3:14" x14ac:dyDescent="0.3">
      <c r="F118" s="96"/>
      <c r="G118" s="96"/>
      <c r="H118" s="96"/>
      <c r="I118" s="96"/>
      <c r="J118" s="96"/>
      <c r="K118" s="96"/>
      <c r="L118" s="96"/>
      <c r="M118" s="96"/>
      <c r="N118" s="96"/>
    </row>
    <row r="119" spans="3:14" x14ac:dyDescent="0.3">
      <c r="F119" s="96"/>
      <c r="G119" s="96"/>
      <c r="H119" s="96"/>
      <c r="I119" s="96"/>
      <c r="J119" s="96"/>
      <c r="K119" s="96"/>
      <c r="L119" s="96"/>
      <c r="M119" s="96"/>
      <c r="N119" s="96"/>
    </row>
    <row r="120" spans="3:14" x14ac:dyDescent="0.3">
      <c r="F120" s="96"/>
      <c r="G120" s="96"/>
      <c r="H120" s="96"/>
      <c r="I120" s="96"/>
      <c r="J120" s="96"/>
      <c r="K120" s="96"/>
      <c r="L120" s="96"/>
      <c r="M120" s="96"/>
      <c r="N120" s="96"/>
    </row>
    <row r="121" spans="3:14" x14ac:dyDescent="0.3">
      <c r="F121" s="96"/>
      <c r="G121" s="96"/>
      <c r="H121" s="96"/>
      <c r="I121" s="96"/>
      <c r="J121" s="96"/>
      <c r="K121" s="96"/>
      <c r="L121" s="96"/>
      <c r="M121" s="96"/>
      <c r="N121" s="96"/>
    </row>
    <row r="122" spans="3:14" x14ac:dyDescent="0.3">
      <c r="C122" s="95"/>
      <c r="F122" s="96"/>
      <c r="G122" s="96"/>
      <c r="H122" s="96"/>
      <c r="I122" s="96"/>
      <c r="J122" s="96"/>
      <c r="K122" s="96"/>
      <c r="L122" s="96"/>
      <c r="M122" s="96"/>
      <c r="N122" s="96"/>
    </row>
    <row r="123" spans="3:14" x14ac:dyDescent="0.3">
      <c r="F123" s="96"/>
      <c r="G123" s="96"/>
      <c r="H123" s="96"/>
      <c r="I123" s="96"/>
      <c r="J123" s="96"/>
      <c r="K123" s="96"/>
      <c r="L123" s="96"/>
      <c r="M123" s="96"/>
      <c r="N123" s="96"/>
    </row>
    <row r="124" spans="3:14" x14ac:dyDescent="0.3">
      <c r="F124" s="96"/>
      <c r="G124" s="96"/>
      <c r="H124" s="96"/>
      <c r="I124" s="96"/>
      <c r="J124" s="96"/>
      <c r="K124" s="96"/>
      <c r="L124" s="96"/>
      <c r="M124" s="96"/>
      <c r="N124" s="96"/>
    </row>
    <row r="125" spans="3:14" x14ac:dyDescent="0.3">
      <c r="F125" s="96"/>
      <c r="G125" s="96"/>
      <c r="H125" s="96"/>
      <c r="I125" s="96"/>
      <c r="J125" s="96"/>
      <c r="K125" s="96"/>
      <c r="L125" s="96"/>
      <c r="M125" s="96"/>
      <c r="N125" s="96"/>
    </row>
    <row r="126" spans="3:14" x14ac:dyDescent="0.3">
      <c r="F126" s="96"/>
      <c r="G126" s="96"/>
      <c r="H126" s="96"/>
      <c r="I126" s="96"/>
      <c r="J126" s="96"/>
      <c r="K126" s="96"/>
      <c r="L126" s="96"/>
      <c r="M126" s="96"/>
      <c r="N126" s="96"/>
    </row>
    <row r="127" spans="3:14" x14ac:dyDescent="0.3">
      <c r="C127" s="102"/>
      <c r="F127" s="96"/>
      <c r="G127" s="96"/>
      <c r="H127" s="96"/>
      <c r="I127" s="96"/>
      <c r="J127" s="96"/>
      <c r="K127" s="96"/>
      <c r="L127" s="96"/>
      <c r="M127" s="96"/>
      <c r="N127" s="96"/>
    </row>
    <row r="129" spans="1:15" x14ac:dyDescent="0.3">
      <c r="A129" s="47"/>
      <c r="B129" s="47"/>
      <c r="C129" s="95"/>
      <c r="F129" s="96"/>
      <c r="G129" s="96"/>
      <c r="H129" s="96"/>
      <c r="I129" s="96"/>
      <c r="J129" s="96"/>
      <c r="K129" s="96"/>
      <c r="L129" s="96"/>
      <c r="M129" s="96"/>
      <c r="N129" s="96"/>
    </row>
    <row r="130" spans="1:15" x14ac:dyDescent="0.3">
      <c r="F130" s="96"/>
      <c r="G130" s="96"/>
      <c r="H130" s="96"/>
      <c r="I130" s="96"/>
      <c r="J130" s="96"/>
      <c r="K130" s="96"/>
      <c r="L130" s="96"/>
      <c r="M130" s="96"/>
      <c r="N130" s="96"/>
    </row>
    <row r="131" spans="1:15" x14ac:dyDescent="0.3">
      <c r="A131" s="47"/>
      <c r="B131" s="47"/>
      <c r="F131" s="96"/>
      <c r="G131" s="96"/>
      <c r="H131" s="96"/>
      <c r="I131" s="96"/>
      <c r="J131" s="96"/>
      <c r="K131" s="96"/>
      <c r="L131" s="96"/>
      <c r="M131" s="96"/>
      <c r="N131" s="96"/>
    </row>
    <row r="133" spans="1:15" x14ac:dyDescent="0.3">
      <c r="F133" s="96"/>
      <c r="G133" s="96"/>
      <c r="H133" s="96"/>
      <c r="I133" s="96"/>
      <c r="J133" s="96"/>
      <c r="K133" s="96"/>
      <c r="L133" s="96"/>
      <c r="M133" s="96"/>
      <c r="N133" s="96"/>
    </row>
    <row r="134" spans="1:15" x14ac:dyDescent="0.3">
      <c r="F134" s="110"/>
      <c r="G134" s="110"/>
      <c r="H134" s="110"/>
      <c r="I134" s="110"/>
      <c r="J134" s="96"/>
      <c r="K134" s="110"/>
      <c r="L134" s="110"/>
      <c r="M134" s="110"/>
      <c r="N134" s="110"/>
    </row>
    <row r="136" spans="1:15" x14ac:dyDescent="0.3">
      <c r="C136" s="95"/>
      <c r="F136" s="96"/>
      <c r="G136" s="96"/>
      <c r="H136" s="96"/>
      <c r="I136" s="96"/>
      <c r="J136" s="96"/>
      <c r="K136" s="96"/>
      <c r="L136" s="96"/>
      <c r="M136" s="96"/>
      <c r="N136" s="96"/>
    </row>
    <row r="137" spans="1:15" x14ac:dyDescent="0.3">
      <c r="F137" s="96"/>
      <c r="G137" s="96"/>
      <c r="H137" s="96"/>
      <c r="I137" s="96"/>
      <c r="J137" s="96"/>
      <c r="K137" s="96"/>
      <c r="L137" s="96"/>
      <c r="M137" s="96"/>
      <c r="N137" s="96"/>
    </row>
    <row r="138" spans="1:15" x14ac:dyDescent="0.3">
      <c r="F138" s="96"/>
      <c r="G138" s="96"/>
      <c r="H138" s="96"/>
      <c r="I138" s="96"/>
      <c r="J138" s="96"/>
      <c r="K138" s="96"/>
      <c r="L138" s="96"/>
      <c r="M138" s="96"/>
      <c r="N138" s="96"/>
    </row>
    <row r="139" spans="1:15" x14ac:dyDescent="0.3">
      <c r="F139" s="99"/>
      <c r="G139" s="99"/>
      <c r="H139" s="99"/>
      <c r="I139" s="99"/>
      <c r="J139" s="99"/>
      <c r="K139" s="99"/>
      <c r="L139" s="99"/>
      <c r="M139" s="99"/>
      <c r="N139" s="99"/>
      <c r="O139" s="197"/>
    </row>
    <row r="140" spans="1:15" x14ac:dyDescent="0.3">
      <c r="F140" s="96"/>
      <c r="G140" s="96"/>
      <c r="H140" s="96"/>
      <c r="I140" s="96"/>
      <c r="J140" s="96"/>
      <c r="K140" s="96"/>
      <c r="L140" s="96"/>
      <c r="M140" s="96"/>
      <c r="N140" s="96"/>
    </row>
    <row r="141" spans="1:15" x14ac:dyDescent="0.3">
      <c r="F141" s="96"/>
      <c r="G141" s="96"/>
      <c r="H141" s="96"/>
      <c r="I141" s="96"/>
      <c r="J141" s="96"/>
      <c r="K141" s="96"/>
      <c r="L141" s="96"/>
      <c r="M141" s="96"/>
      <c r="N141" s="96"/>
    </row>
    <row r="142" spans="1:15" x14ac:dyDescent="0.3">
      <c r="F142" s="111"/>
      <c r="G142" s="111"/>
      <c r="H142" s="111"/>
      <c r="I142" s="111"/>
      <c r="J142" s="100"/>
      <c r="K142" s="111"/>
      <c r="L142" s="111"/>
      <c r="M142" s="111"/>
      <c r="N142" s="111"/>
    </row>
    <row r="143" spans="1:15" x14ac:dyDescent="0.3">
      <c r="C143" s="95"/>
      <c r="F143" s="108"/>
      <c r="G143" s="108"/>
      <c r="H143" s="108"/>
      <c r="I143" s="108"/>
      <c r="J143" s="96"/>
      <c r="K143" s="108"/>
      <c r="L143" s="108"/>
      <c r="M143" s="108"/>
      <c r="N143" s="108"/>
    </row>
    <row r="144" spans="1:15" ht="18.75" customHeight="1" x14ac:dyDescent="0.3">
      <c r="F144" s="109"/>
      <c r="G144" s="109"/>
      <c r="H144" s="109"/>
      <c r="I144" s="109"/>
      <c r="K144" s="109"/>
      <c r="L144" s="109"/>
      <c r="M144" s="109"/>
      <c r="N144" s="109"/>
    </row>
    <row r="145" spans="1:18" x14ac:dyDescent="0.3">
      <c r="F145" s="108"/>
      <c r="G145" s="108"/>
      <c r="H145" s="108"/>
      <c r="I145" s="108"/>
      <c r="J145" s="96"/>
      <c r="K145" s="108"/>
      <c r="L145" s="108"/>
      <c r="M145" s="108"/>
      <c r="N145" s="108"/>
    </row>
    <row r="146" spans="1:18" ht="18.75" customHeight="1" x14ac:dyDescent="0.3">
      <c r="F146" s="109"/>
      <c r="G146" s="109"/>
      <c r="H146" s="109"/>
      <c r="I146" s="109"/>
      <c r="K146" s="109"/>
      <c r="L146" s="109"/>
      <c r="M146" s="109"/>
      <c r="N146" s="109"/>
      <c r="O146" s="196"/>
    </row>
    <row r="148" spans="1:18" x14ac:dyDescent="0.3">
      <c r="F148" s="96"/>
      <c r="G148" s="96"/>
      <c r="H148" s="96"/>
      <c r="I148" s="96"/>
      <c r="J148" s="96"/>
      <c r="K148" s="96"/>
      <c r="L148" s="96"/>
      <c r="M148" s="96"/>
      <c r="N148" s="96"/>
    </row>
    <row r="149" spans="1:18" x14ac:dyDescent="0.3">
      <c r="F149" s="99"/>
      <c r="G149" s="99"/>
      <c r="H149" s="99"/>
      <c r="I149" s="99"/>
      <c r="J149" s="99"/>
      <c r="K149" s="99"/>
      <c r="L149" s="99"/>
      <c r="M149" s="99"/>
      <c r="N149" s="99"/>
      <c r="O149" s="197"/>
    </row>
    <row r="150" spans="1:18" x14ac:dyDescent="0.3">
      <c r="C150" s="95"/>
    </row>
    <row r="153" spans="1:18" x14ac:dyDescent="0.3">
      <c r="F153" s="96"/>
      <c r="G153" s="96"/>
      <c r="H153" s="96"/>
      <c r="I153" s="96"/>
      <c r="J153" s="96"/>
      <c r="K153" s="96"/>
      <c r="L153" s="96"/>
      <c r="M153" s="96"/>
      <c r="N153" s="96"/>
    </row>
    <row r="154" spans="1:18" x14ac:dyDescent="0.3">
      <c r="O154" s="196"/>
    </row>
    <row r="156" spans="1:18" x14ac:dyDescent="0.3">
      <c r="F156" s="100"/>
      <c r="G156" s="100"/>
      <c r="H156" s="100"/>
      <c r="I156" s="100"/>
      <c r="J156" s="100"/>
      <c r="K156" s="100"/>
      <c r="L156" s="100"/>
      <c r="M156" s="100"/>
      <c r="N156" s="100"/>
    </row>
    <row r="157" spans="1:18" x14ac:dyDescent="0.3">
      <c r="C157" s="95"/>
      <c r="F157" s="96"/>
      <c r="G157" s="96"/>
      <c r="H157" s="96"/>
      <c r="I157" s="96"/>
      <c r="J157" s="96"/>
      <c r="K157" s="96"/>
      <c r="L157" s="96"/>
      <c r="M157" s="96"/>
      <c r="N157" s="96"/>
    </row>
    <row r="158" spans="1:18" x14ac:dyDescent="0.3">
      <c r="F158" s="96"/>
      <c r="G158" s="96"/>
      <c r="H158" s="96"/>
      <c r="I158" s="96"/>
      <c r="J158" s="96"/>
      <c r="K158" s="96"/>
      <c r="L158" s="96"/>
      <c r="M158" s="96"/>
      <c r="N158" s="96"/>
    </row>
    <row r="159" spans="1:18" s="7" customFormat="1" x14ac:dyDescent="0.3">
      <c r="A159" s="47"/>
      <c r="B159" s="47"/>
      <c r="C159" s="13"/>
      <c r="D159" s="5"/>
      <c r="E159" s="6"/>
      <c r="F159" s="96"/>
      <c r="G159" s="96"/>
      <c r="H159" s="96"/>
      <c r="I159" s="96"/>
      <c r="J159" s="96"/>
      <c r="K159" s="96"/>
      <c r="L159" s="96"/>
      <c r="M159" s="96"/>
      <c r="N159" s="96"/>
      <c r="O159" s="6"/>
      <c r="P159" s="1"/>
      <c r="Q159" s="1"/>
      <c r="R159" s="1"/>
    </row>
    <row r="160" spans="1:18" s="7" customFormat="1" x14ac:dyDescent="0.3">
      <c r="A160" s="1"/>
      <c r="B160" s="1"/>
      <c r="C160" s="13"/>
      <c r="D160" s="5"/>
      <c r="E160" s="6"/>
      <c r="F160" s="96"/>
      <c r="G160" s="96"/>
      <c r="H160" s="96"/>
      <c r="I160" s="96"/>
      <c r="J160" s="96"/>
      <c r="K160" s="96"/>
      <c r="L160" s="96"/>
      <c r="M160" s="96"/>
      <c r="N160" s="96"/>
      <c r="O160" s="6"/>
      <c r="P160" s="1"/>
      <c r="Q160" s="1"/>
      <c r="R160" s="1"/>
    </row>
    <row r="161" spans="1:18" s="7" customFormat="1" x14ac:dyDescent="0.3">
      <c r="A161" s="1"/>
      <c r="B161" s="1"/>
      <c r="C161" s="13"/>
      <c r="D161" s="5"/>
      <c r="E161" s="6"/>
      <c r="F161" s="96"/>
      <c r="G161" s="96"/>
      <c r="H161" s="96"/>
      <c r="I161" s="96"/>
      <c r="J161" s="96"/>
      <c r="K161" s="96"/>
      <c r="L161" s="96"/>
      <c r="M161" s="96"/>
      <c r="N161" s="96"/>
      <c r="O161" s="6"/>
      <c r="P161" s="1"/>
      <c r="Q161" s="1"/>
      <c r="R161" s="1"/>
    </row>
    <row r="162" spans="1:18" s="7" customFormat="1" x14ac:dyDescent="0.3">
      <c r="A162" s="1"/>
      <c r="B162" s="1"/>
      <c r="C162" s="13"/>
      <c r="D162" s="5"/>
      <c r="E162" s="6"/>
      <c r="F162" s="96"/>
      <c r="G162" s="96"/>
      <c r="H162" s="96"/>
      <c r="I162" s="96"/>
      <c r="J162" s="96"/>
      <c r="K162" s="96"/>
      <c r="L162" s="96"/>
      <c r="M162" s="96"/>
      <c r="N162" s="96"/>
      <c r="O162" s="6"/>
      <c r="P162" s="1"/>
      <c r="Q162" s="1"/>
      <c r="R162" s="1"/>
    </row>
    <row r="163" spans="1:18" s="7" customFormat="1" x14ac:dyDescent="0.3">
      <c r="A163" s="1"/>
      <c r="B163" s="1"/>
      <c r="C163" s="13"/>
      <c r="D163" s="5"/>
      <c r="E163" s="6"/>
      <c r="F163" s="96"/>
      <c r="G163" s="96"/>
      <c r="H163" s="96"/>
      <c r="I163" s="96"/>
      <c r="J163" s="96"/>
      <c r="K163" s="96"/>
      <c r="L163" s="96"/>
      <c r="M163" s="96"/>
      <c r="N163" s="96"/>
      <c r="O163" s="6"/>
      <c r="P163" s="1"/>
      <c r="Q163" s="1"/>
      <c r="R163" s="1"/>
    </row>
    <row r="164" spans="1:18" s="7" customFormat="1" x14ac:dyDescent="0.3">
      <c r="A164" s="1"/>
      <c r="B164" s="1"/>
      <c r="C164" s="95"/>
      <c r="D164" s="5"/>
      <c r="E164" s="6"/>
      <c r="F164" s="96"/>
      <c r="G164" s="96"/>
      <c r="H164" s="96"/>
      <c r="I164" s="96"/>
      <c r="J164" s="96"/>
      <c r="K164" s="96"/>
      <c r="L164" s="96"/>
      <c r="M164" s="96"/>
      <c r="N164" s="96"/>
      <c r="O164" s="6"/>
      <c r="P164" s="1"/>
      <c r="Q164" s="1"/>
      <c r="R164" s="1"/>
    </row>
    <row r="165" spans="1:18" s="7" customFormat="1" x14ac:dyDescent="0.3">
      <c r="A165" s="1"/>
      <c r="B165" s="1"/>
      <c r="C165" s="13"/>
      <c r="D165" s="5"/>
      <c r="E165" s="6"/>
      <c r="F165" s="96"/>
      <c r="G165" s="96"/>
      <c r="H165" s="96"/>
      <c r="I165" s="96"/>
      <c r="J165" s="96"/>
      <c r="K165" s="96"/>
      <c r="L165" s="96"/>
      <c r="M165" s="96"/>
      <c r="N165" s="96"/>
      <c r="O165" s="6"/>
      <c r="P165" s="1"/>
      <c r="Q165" s="1"/>
      <c r="R165" s="1"/>
    </row>
    <row r="166" spans="1:18" s="7" customFormat="1" ht="18.75" customHeight="1" x14ac:dyDescent="0.3">
      <c r="A166" s="1"/>
      <c r="B166" s="1"/>
      <c r="C166" s="13"/>
      <c r="D166" s="5"/>
      <c r="E166" s="6"/>
      <c r="F166" s="87"/>
      <c r="G166" s="87"/>
      <c r="H166" s="87"/>
      <c r="I166" s="87"/>
      <c r="J166" s="87"/>
      <c r="K166" s="87"/>
      <c r="L166" s="87"/>
      <c r="M166" s="87"/>
      <c r="N166" s="87"/>
      <c r="O166" s="6"/>
      <c r="P166" s="1"/>
      <c r="Q166" s="1"/>
      <c r="R166" s="1"/>
    </row>
    <row r="167" spans="1:18" s="7" customFormat="1" ht="20.100000000000001" customHeight="1" x14ac:dyDescent="0.3">
      <c r="A167" s="1"/>
      <c r="B167" s="1"/>
      <c r="C167" s="13"/>
      <c r="D167" s="112"/>
      <c r="E167" s="6"/>
      <c r="F167" s="96"/>
      <c r="G167" s="96"/>
      <c r="H167" s="96"/>
      <c r="I167" s="96"/>
      <c r="J167" s="96"/>
      <c r="K167" s="96"/>
      <c r="L167" s="96"/>
      <c r="M167" s="96"/>
      <c r="N167" s="96"/>
      <c r="O167" s="6"/>
      <c r="P167" s="1"/>
      <c r="Q167" s="1"/>
      <c r="R167" s="1"/>
    </row>
    <row r="168" spans="1:18" s="7" customFormat="1" x14ac:dyDescent="0.3">
      <c r="A168" s="1"/>
      <c r="B168" s="1"/>
      <c r="C168" s="13"/>
      <c r="D168" s="5"/>
      <c r="E168" s="6"/>
      <c r="F168" s="87"/>
      <c r="G168" s="87"/>
      <c r="H168" s="87"/>
      <c r="I168" s="87"/>
      <c r="J168" s="87"/>
      <c r="K168" s="87"/>
      <c r="L168" s="87"/>
      <c r="M168" s="87"/>
      <c r="N168" s="87"/>
      <c r="O168" s="6"/>
      <c r="P168" s="1"/>
      <c r="Q168" s="1"/>
      <c r="R168" s="1"/>
    </row>
    <row r="169" spans="1:18" s="7" customFormat="1" x14ac:dyDescent="0.3">
      <c r="A169" s="1"/>
      <c r="B169" s="1"/>
      <c r="C169" s="13"/>
      <c r="D169" s="5"/>
      <c r="E169" s="6"/>
      <c r="F169" s="96"/>
      <c r="G169" s="96"/>
      <c r="H169" s="96"/>
      <c r="I169" s="96"/>
      <c r="J169" s="96"/>
      <c r="K169" s="96"/>
      <c r="L169" s="96"/>
      <c r="M169" s="96"/>
      <c r="N169" s="96"/>
      <c r="O169" s="6"/>
      <c r="P169" s="1"/>
      <c r="Q169" s="1"/>
      <c r="R169" s="1"/>
    </row>
    <row r="170" spans="1:18" s="7" customFormat="1" x14ac:dyDescent="0.3">
      <c r="A170" s="1"/>
      <c r="B170" s="1"/>
      <c r="C170" s="13"/>
      <c r="D170" s="5"/>
      <c r="E170" s="6"/>
      <c r="F170" s="96"/>
      <c r="G170" s="96"/>
      <c r="H170" s="96"/>
      <c r="I170" s="96"/>
      <c r="J170" s="96"/>
      <c r="K170" s="96"/>
      <c r="L170" s="96"/>
      <c r="M170" s="96"/>
      <c r="N170" s="96"/>
      <c r="O170" s="6"/>
      <c r="P170" s="1"/>
      <c r="Q170" s="1"/>
      <c r="R170" s="1"/>
    </row>
    <row r="171" spans="1:18" s="7" customFormat="1" x14ac:dyDescent="0.3">
      <c r="A171" s="1"/>
      <c r="B171" s="1"/>
      <c r="C171" s="95"/>
      <c r="D171" s="5"/>
      <c r="E171" s="6"/>
      <c r="F171" s="87"/>
      <c r="G171" s="87"/>
      <c r="H171" s="87"/>
      <c r="I171" s="87"/>
      <c r="J171" s="87"/>
      <c r="K171" s="87"/>
      <c r="L171" s="87"/>
      <c r="M171" s="87"/>
      <c r="N171" s="87"/>
      <c r="O171" s="6"/>
      <c r="P171" s="1"/>
      <c r="Q171" s="1"/>
      <c r="R171" s="1"/>
    </row>
    <row r="172" spans="1:18" s="7" customFormat="1" x14ac:dyDescent="0.3">
      <c r="A172" s="1"/>
      <c r="B172" s="1"/>
      <c r="C172" s="13"/>
      <c r="D172" s="5"/>
      <c r="E172" s="6"/>
      <c r="F172" s="96"/>
      <c r="G172" s="96"/>
      <c r="H172" s="96"/>
      <c r="I172" s="96"/>
      <c r="J172" s="96"/>
      <c r="K172" s="96"/>
      <c r="L172" s="96"/>
      <c r="M172" s="96"/>
      <c r="N172" s="96"/>
      <c r="O172" s="6"/>
      <c r="P172" s="1"/>
      <c r="Q172" s="1"/>
      <c r="R172" s="1"/>
    </row>
    <row r="173" spans="1:18" s="7" customFormat="1" x14ac:dyDescent="0.3">
      <c r="A173" s="1"/>
      <c r="B173" s="1"/>
      <c r="C173" s="13"/>
      <c r="D173" s="5"/>
      <c r="E173" s="6"/>
      <c r="F173" s="96"/>
      <c r="G173" s="96"/>
      <c r="H173" s="96"/>
      <c r="I173" s="96"/>
      <c r="J173" s="96"/>
      <c r="K173" s="96"/>
      <c r="L173" s="96"/>
      <c r="M173" s="96"/>
      <c r="N173" s="96"/>
      <c r="O173" s="6"/>
      <c r="P173" s="1"/>
      <c r="Q173" s="1"/>
      <c r="R173" s="1"/>
    </row>
    <row r="174" spans="1:18" s="7" customFormat="1" x14ac:dyDescent="0.3">
      <c r="A174" s="1"/>
      <c r="B174" s="1"/>
      <c r="C174" s="13"/>
      <c r="D174" s="5"/>
      <c r="E174" s="6"/>
      <c r="F174" s="87"/>
      <c r="G174" s="87"/>
      <c r="H174" s="87"/>
      <c r="I174" s="87"/>
      <c r="J174" s="87"/>
      <c r="K174" s="87"/>
      <c r="L174" s="87"/>
      <c r="M174" s="87"/>
      <c r="N174" s="87"/>
      <c r="O174" s="6"/>
      <c r="P174" s="1"/>
      <c r="Q174" s="1"/>
      <c r="R174" s="1"/>
    </row>
    <row r="175" spans="1:18" s="7" customFormat="1" x14ac:dyDescent="0.3">
      <c r="A175" s="1"/>
      <c r="B175" s="1"/>
      <c r="C175" s="13"/>
      <c r="D175" s="5"/>
      <c r="E175" s="6"/>
      <c r="F175" s="96"/>
      <c r="G175" s="96"/>
      <c r="H175" s="96"/>
      <c r="I175" s="96"/>
      <c r="J175" s="96"/>
      <c r="K175" s="96"/>
      <c r="L175" s="96"/>
      <c r="M175" s="96"/>
      <c r="N175" s="96"/>
      <c r="O175" s="6"/>
      <c r="P175" s="1"/>
      <c r="Q175" s="1"/>
      <c r="R175" s="1"/>
    </row>
    <row r="176" spans="1:18" s="7" customFormat="1" x14ac:dyDescent="0.3">
      <c r="A176" s="1"/>
      <c r="B176" s="1"/>
      <c r="C176" s="13"/>
      <c r="D176" s="5"/>
      <c r="E176" s="6"/>
      <c r="F176" s="96"/>
      <c r="G176" s="96"/>
      <c r="H176" s="96"/>
      <c r="I176" s="96"/>
      <c r="J176" s="96"/>
      <c r="K176" s="96"/>
      <c r="L176" s="96"/>
      <c r="M176" s="96"/>
      <c r="N176" s="96"/>
      <c r="O176" s="6"/>
      <c r="P176" s="1"/>
      <c r="Q176" s="1"/>
      <c r="R176" s="1"/>
    </row>
    <row r="177" spans="1:18" s="7" customFormat="1" x14ac:dyDescent="0.3">
      <c r="A177" s="1"/>
      <c r="B177" s="1"/>
      <c r="C177" s="13"/>
      <c r="D177" s="5"/>
      <c r="E177" s="6"/>
      <c r="F177" s="96"/>
      <c r="G177" s="96"/>
      <c r="H177" s="96"/>
      <c r="I177" s="96"/>
      <c r="J177" s="96"/>
      <c r="K177" s="96"/>
      <c r="L177" s="96"/>
      <c r="M177" s="96"/>
      <c r="N177" s="96"/>
      <c r="O177" s="6"/>
      <c r="P177" s="1"/>
      <c r="Q177" s="1"/>
      <c r="R177" s="1"/>
    </row>
    <row r="178" spans="1:18" s="7" customFormat="1" x14ac:dyDescent="0.3">
      <c r="A178" s="1"/>
      <c r="B178" s="1"/>
      <c r="C178" s="95"/>
      <c r="D178" s="5"/>
      <c r="E178" s="6"/>
      <c r="F178" s="96"/>
      <c r="G178" s="96"/>
      <c r="H178" s="96"/>
      <c r="I178" s="96"/>
      <c r="J178" s="96"/>
      <c r="K178" s="96"/>
      <c r="L178" s="96"/>
      <c r="M178" s="96"/>
      <c r="N178" s="96"/>
      <c r="O178" s="6"/>
      <c r="P178" s="1"/>
      <c r="Q178" s="1"/>
      <c r="R178" s="1"/>
    </row>
    <row r="179" spans="1:18" s="7" customFormat="1" x14ac:dyDescent="0.3">
      <c r="A179" s="1"/>
      <c r="B179" s="1"/>
      <c r="C179" s="13"/>
      <c r="D179" s="5"/>
      <c r="E179" s="6"/>
      <c r="F179" s="96"/>
      <c r="G179" s="96"/>
      <c r="H179" s="96"/>
      <c r="I179" s="96"/>
      <c r="J179" s="96"/>
      <c r="K179" s="96"/>
      <c r="L179" s="96"/>
      <c r="M179" s="96"/>
      <c r="N179" s="96"/>
      <c r="O179" s="6"/>
      <c r="P179" s="1"/>
      <c r="Q179" s="1"/>
      <c r="R179" s="1"/>
    </row>
    <row r="180" spans="1:18" s="7" customFormat="1" x14ac:dyDescent="0.3">
      <c r="A180" s="1"/>
      <c r="B180" s="1"/>
      <c r="C180" s="13"/>
      <c r="D180" s="5"/>
      <c r="E180" s="6"/>
      <c r="F180" s="96"/>
      <c r="G180" s="96"/>
      <c r="H180" s="96"/>
      <c r="I180" s="96"/>
      <c r="J180" s="96"/>
      <c r="K180" s="96"/>
      <c r="L180" s="96"/>
      <c r="M180" s="96"/>
      <c r="N180" s="96"/>
      <c r="O180" s="6"/>
      <c r="P180" s="1"/>
      <c r="Q180" s="1"/>
      <c r="R180" s="1"/>
    </row>
    <row r="181" spans="1:18" s="7" customFormat="1" x14ac:dyDescent="0.3">
      <c r="A181" s="1"/>
      <c r="B181" s="1"/>
      <c r="C181" s="13"/>
      <c r="D181" s="5"/>
      <c r="E181" s="6"/>
      <c r="F181" s="96"/>
      <c r="G181" s="96"/>
      <c r="H181" s="96"/>
      <c r="I181" s="96"/>
      <c r="J181" s="96"/>
      <c r="K181" s="96"/>
      <c r="L181" s="96"/>
      <c r="M181" s="96"/>
      <c r="N181" s="96"/>
      <c r="O181" s="6"/>
      <c r="P181" s="1"/>
      <c r="Q181" s="1"/>
      <c r="R181" s="1"/>
    </row>
    <row r="182" spans="1:18" s="7" customFormat="1" x14ac:dyDescent="0.3">
      <c r="A182" s="1"/>
      <c r="B182" s="1"/>
      <c r="C182" s="13"/>
      <c r="D182" s="5"/>
      <c r="E182" s="6"/>
      <c r="F182" s="96"/>
      <c r="G182" s="96"/>
      <c r="H182" s="96"/>
      <c r="I182" s="96"/>
      <c r="J182" s="96"/>
      <c r="K182" s="96"/>
      <c r="L182" s="96"/>
      <c r="M182" s="96"/>
      <c r="N182" s="96"/>
      <c r="O182" s="6"/>
      <c r="P182" s="1"/>
      <c r="Q182" s="1"/>
      <c r="R182" s="1"/>
    </row>
    <row r="183" spans="1:18" s="7" customFormat="1" x14ac:dyDescent="0.3">
      <c r="A183" s="1"/>
      <c r="B183" s="1"/>
      <c r="C183" s="13"/>
      <c r="D183" s="5"/>
      <c r="E183" s="6"/>
      <c r="F183" s="96"/>
      <c r="G183" s="96"/>
      <c r="H183" s="96"/>
      <c r="I183" s="96"/>
      <c r="J183" s="96"/>
      <c r="K183" s="96"/>
      <c r="L183" s="96"/>
      <c r="M183" s="96"/>
      <c r="N183" s="96"/>
      <c r="O183" s="6"/>
      <c r="P183" s="1"/>
      <c r="Q183" s="1"/>
      <c r="R183" s="1"/>
    </row>
    <row r="184" spans="1:18" s="7" customFormat="1" x14ac:dyDescent="0.3">
      <c r="A184" s="1"/>
      <c r="B184" s="1"/>
      <c r="C184" s="13"/>
      <c r="D184" s="5"/>
      <c r="E184" s="6"/>
      <c r="F184" s="96"/>
      <c r="G184" s="96"/>
      <c r="H184" s="96"/>
      <c r="I184" s="96"/>
      <c r="J184" s="96"/>
      <c r="K184" s="96"/>
      <c r="L184" s="96"/>
      <c r="M184" s="96"/>
      <c r="N184" s="96"/>
      <c r="O184" s="6"/>
      <c r="P184" s="1"/>
      <c r="Q184" s="1"/>
      <c r="R184" s="1"/>
    </row>
    <row r="185" spans="1:18" s="7" customFormat="1" x14ac:dyDescent="0.3">
      <c r="A185" s="1"/>
      <c r="B185" s="1"/>
      <c r="C185" s="95"/>
      <c r="D185" s="5"/>
      <c r="E185" s="6"/>
      <c r="F185" s="96"/>
      <c r="G185" s="96"/>
      <c r="H185" s="96"/>
      <c r="I185" s="96"/>
      <c r="J185" s="96"/>
      <c r="K185" s="96"/>
      <c r="L185" s="96"/>
      <c r="M185" s="96"/>
      <c r="N185" s="96"/>
      <c r="O185" s="6"/>
      <c r="P185" s="1"/>
      <c r="Q185" s="1"/>
      <c r="R185" s="1"/>
    </row>
    <row r="186" spans="1:18" s="7" customFormat="1" x14ac:dyDescent="0.3">
      <c r="A186" s="1"/>
      <c r="B186" s="1"/>
      <c r="C186" s="13"/>
      <c r="D186" s="5"/>
      <c r="E186" s="6"/>
      <c r="F186" s="96"/>
      <c r="G186" s="96"/>
      <c r="H186" s="96"/>
      <c r="I186" s="96"/>
      <c r="J186" s="96"/>
      <c r="K186" s="96"/>
      <c r="L186" s="96"/>
      <c r="M186" s="96"/>
      <c r="N186" s="96"/>
      <c r="O186" s="6"/>
      <c r="P186" s="1"/>
      <c r="Q186" s="1"/>
      <c r="R186" s="1"/>
    </row>
    <row r="187" spans="1:18" s="7" customFormat="1" x14ac:dyDescent="0.3">
      <c r="A187" s="1"/>
      <c r="B187" s="1"/>
      <c r="C187" s="13"/>
      <c r="D187" s="5"/>
      <c r="E187" s="6"/>
      <c r="F187" s="96"/>
      <c r="G187" s="96"/>
      <c r="H187" s="96"/>
      <c r="I187" s="96"/>
      <c r="J187" s="96"/>
      <c r="K187" s="96"/>
      <c r="L187" s="96"/>
      <c r="M187" s="96"/>
      <c r="N187" s="96"/>
      <c r="O187" s="6"/>
      <c r="P187" s="1"/>
      <c r="Q187" s="1"/>
      <c r="R187" s="1"/>
    </row>
    <row r="188" spans="1:18" s="7" customFormat="1" x14ac:dyDescent="0.3">
      <c r="A188" s="1"/>
      <c r="B188" s="1"/>
      <c r="C188" s="13"/>
      <c r="D188" s="5"/>
      <c r="E188" s="6"/>
      <c r="F188" s="96"/>
      <c r="G188" s="96"/>
      <c r="H188" s="96"/>
      <c r="I188" s="96"/>
      <c r="J188" s="96"/>
      <c r="K188" s="96"/>
      <c r="L188" s="96"/>
      <c r="M188" s="96"/>
      <c r="N188" s="96"/>
      <c r="O188" s="6"/>
      <c r="P188" s="1"/>
      <c r="Q188" s="1"/>
      <c r="R188" s="1"/>
    </row>
    <row r="189" spans="1:18" s="7" customFormat="1" x14ac:dyDescent="0.3">
      <c r="A189" s="1"/>
      <c r="B189" s="1"/>
      <c r="C189" s="13"/>
      <c r="D189" s="5"/>
      <c r="E189" s="6"/>
      <c r="F189" s="96"/>
      <c r="G189" s="96"/>
      <c r="H189" s="96"/>
      <c r="I189" s="96"/>
      <c r="J189" s="96"/>
      <c r="K189" s="96"/>
      <c r="L189" s="96"/>
      <c r="M189" s="96"/>
      <c r="N189" s="96"/>
      <c r="O189" s="6"/>
      <c r="P189" s="1"/>
      <c r="Q189" s="1"/>
      <c r="R189" s="1"/>
    </row>
    <row r="190" spans="1:18" s="7" customFormat="1" x14ac:dyDescent="0.3">
      <c r="A190" s="47"/>
      <c r="B190" s="47"/>
      <c r="C190" s="13"/>
      <c r="D190" s="5"/>
      <c r="E190" s="6"/>
      <c r="F190" s="96"/>
      <c r="G190" s="96"/>
      <c r="H190" s="96"/>
      <c r="I190" s="96"/>
      <c r="J190" s="96"/>
      <c r="K190" s="96"/>
      <c r="L190" s="96"/>
      <c r="M190" s="96"/>
      <c r="N190" s="96"/>
      <c r="O190" s="6"/>
      <c r="P190" s="1"/>
      <c r="Q190" s="1"/>
      <c r="R190" s="1"/>
    </row>
    <row r="191" spans="1:18" s="7" customFormat="1" x14ac:dyDescent="0.3">
      <c r="A191" s="1"/>
      <c r="B191" s="1"/>
      <c r="C191" s="13"/>
      <c r="D191" s="5"/>
      <c r="E191" s="6"/>
      <c r="F191" s="96"/>
      <c r="G191" s="96"/>
      <c r="H191" s="96"/>
      <c r="I191" s="96"/>
      <c r="J191" s="96"/>
      <c r="K191" s="96"/>
      <c r="L191" s="96"/>
      <c r="M191" s="96"/>
      <c r="N191" s="96"/>
      <c r="O191" s="6"/>
      <c r="P191" s="1"/>
      <c r="Q191" s="1"/>
      <c r="R191" s="1"/>
    </row>
    <row r="192" spans="1:18" s="7" customFormat="1" x14ac:dyDescent="0.3">
      <c r="A192" s="1"/>
      <c r="B192" s="1"/>
      <c r="C192" s="95"/>
      <c r="D192" s="5"/>
      <c r="E192" s="6"/>
      <c r="F192" s="96"/>
      <c r="G192" s="96"/>
      <c r="H192" s="96"/>
      <c r="I192" s="96"/>
      <c r="J192" s="96"/>
      <c r="K192" s="96"/>
      <c r="L192" s="96"/>
      <c r="M192" s="96"/>
      <c r="N192" s="96"/>
      <c r="O192" s="6"/>
      <c r="P192" s="1"/>
      <c r="Q192" s="1"/>
      <c r="R192" s="1"/>
    </row>
    <row r="193" spans="1:18" s="7" customFormat="1" x14ac:dyDescent="0.3">
      <c r="A193" s="1"/>
      <c r="B193" s="1"/>
      <c r="C193" s="13"/>
      <c r="D193" s="5"/>
      <c r="E193" s="6"/>
      <c r="F193" s="96"/>
      <c r="G193" s="96"/>
      <c r="H193" s="96"/>
      <c r="I193" s="96"/>
      <c r="J193" s="96"/>
      <c r="K193" s="96"/>
      <c r="L193" s="96"/>
      <c r="M193" s="96"/>
      <c r="N193" s="96"/>
      <c r="O193" s="6"/>
      <c r="P193" s="1"/>
      <c r="Q193" s="1"/>
      <c r="R193" s="1"/>
    </row>
    <row r="194" spans="1:18" s="7" customFormat="1" x14ac:dyDescent="0.3">
      <c r="A194" s="47"/>
      <c r="B194" s="47"/>
      <c r="C194" s="13"/>
      <c r="D194" s="5"/>
      <c r="E194" s="6"/>
      <c r="F194" s="96"/>
      <c r="G194" s="96"/>
      <c r="H194" s="96"/>
      <c r="I194" s="96"/>
      <c r="J194" s="96"/>
      <c r="K194" s="96"/>
      <c r="L194" s="96"/>
      <c r="M194" s="96"/>
      <c r="N194" s="96"/>
      <c r="O194" s="6"/>
      <c r="P194" s="1"/>
      <c r="Q194" s="1"/>
      <c r="R194" s="1"/>
    </row>
    <row r="195" spans="1:18" s="7" customFormat="1" x14ac:dyDescent="0.3">
      <c r="A195" s="1"/>
      <c r="B195" s="1"/>
      <c r="C195" s="13"/>
      <c r="D195" s="5"/>
      <c r="E195" s="6"/>
      <c r="F195" s="96"/>
      <c r="G195" s="96"/>
      <c r="H195" s="96"/>
      <c r="I195" s="96"/>
      <c r="J195" s="96"/>
      <c r="K195" s="96"/>
      <c r="L195" s="96"/>
      <c r="M195" s="96"/>
      <c r="N195" s="96"/>
      <c r="O195" s="6"/>
      <c r="P195" s="1"/>
      <c r="Q195" s="1"/>
      <c r="R195" s="1"/>
    </row>
    <row r="196" spans="1:18" s="7" customFormat="1" x14ac:dyDescent="0.3">
      <c r="A196" s="1"/>
      <c r="B196" s="1"/>
      <c r="C196" s="13"/>
      <c r="D196" s="5"/>
      <c r="E196" s="6"/>
      <c r="F196" s="96"/>
      <c r="G196" s="96"/>
      <c r="H196" s="96"/>
      <c r="I196" s="96"/>
      <c r="J196" s="96"/>
      <c r="K196" s="96"/>
      <c r="L196" s="96"/>
      <c r="M196" s="96"/>
      <c r="N196" s="96"/>
      <c r="O196" s="6"/>
      <c r="P196" s="1"/>
      <c r="Q196" s="1"/>
      <c r="R196" s="1"/>
    </row>
    <row r="197" spans="1:18" s="7" customFormat="1" x14ac:dyDescent="0.3">
      <c r="A197" s="1"/>
      <c r="B197" s="1"/>
      <c r="C197" s="13"/>
      <c r="D197" s="5"/>
      <c r="E197" s="6"/>
      <c r="F197" s="96"/>
      <c r="G197" s="96"/>
      <c r="H197" s="96"/>
      <c r="I197" s="96"/>
      <c r="J197" s="96"/>
      <c r="K197" s="96"/>
      <c r="L197" s="96"/>
      <c r="M197" s="96"/>
      <c r="N197" s="96"/>
      <c r="O197" s="6"/>
      <c r="P197" s="1"/>
      <c r="Q197" s="1"/>
      <c r="R197" s="1"/>
    </row>
    <row r="198" spans="1:18" s="7" customFormat="1" x14ac:dyDescent="0.3">
      <c r="A198" s="1"/>
      <c r="B198" s="1"/>
      <c r="C198" s="13"/>
      <c r="D198" s="5"/>
      <c r="E198" s="6"/>
      <c r="F198" s="96"/>
      <c r="G198" s="96"/>
      <c r="H198" s="96"/>
      <c r="I198" s="96"/>
      <c r="J198" s="96"/>
      <c r="K198" s="96"/>
      <c r="L198" s="96"/>
      <c r="M198" s="96"/>
      <c r="N198" s="96"/>
      <c r="O198" s="6"/>
      <c r="P198" s="1"/>
      <c r="Q198" s="1"/>
      <c r="R198" s="1"/>
    </row>
    <row r="199" spans="1:18" s="7" customFormat="1" x14ac:dyDescent="0.3">
      <c r="A199" s="1"/>
      <c r="B199" s="1"/>
      <c r="C199" s="95"/>
      <c r="D199" s="5"/>
      <c r="E199" s="6"/>
      <c r="F199" s="96"/>
      <c r="G199" s="96"/>
      <c r="H199" s="96"/>
      <c r="I199" s="96"/>
      <c r="J199" s="96"/>
      <c r="K199" s="96"/>
      <c r="L199" s="96"/>
      <c r="M199" s="96"/>
      <c r="N199" s="96"/>
      <c r="O199" s="6"/>
      <c r="P199" s="1"/>
      <c r="Q199" s="1"/>
      <c r="R199" s="1"/>
    </row>
    <row r="200" spans="1:18" s="7" customFormat="1" x14ac:dyDescent="0.3">
      <c r="A200" s="1"/>
      <c r="B200" s="1"/>
      <c r="C200" s="13"/>
      <c r="D200" s="5"/>
      <c r="E200" s="6"/>
      <c r="F200" s="96"/>
      <c r="G200" s="96"/>
      <c r="H200" s="96"/>
      <c r="I200" s="96"/>
      <c r="J200" s="96"/>
      <c r="K200" s="96"/>
      <c r="L200" s="96"/>
      <c r="M200" s="96"/>
      <c r="N200" s="96"/>
      <c r="O200" s="6"/>
      <c r="P200" s="1"/>
      <c r="Q200" s="1"/>
      <c r="R200" s="1"/>
    </row>
    <row r="201" spans="1:18" s="7" customFormat="1" x14ac:dyDescent="0.3">
      <c r="A201" s="1"/>
      <c r="B201" s="1"/>
      <c r="C201" s="13"/>
      <c r="D201" s="5"/>
      <c r="E201" s="6"/>
      <c r="F201" s="96"/>
      <c r="G201" s="96"/>
      <c r="H201" s="96"/>
      <c r="I201" s="96"/>
      <c r="J201" s="96"/>
      <c r="K201" s="96"/>
      <c r="L201" s="96"/>
      <c r="M201" s="96"/>
      <c r="N201" s="96"/>
      <c r="O201" s="6"/>
      <c r="P201" s="1"/>
      <c r="Q201" s="1"/>
      <c r="R201" s="1"/>
    </row>
    <row r="202" spans="1:18" s="7" customFormat="1" x14ac:dyDescent="0.3">
      <c r="A202" s="1"/>
      <c r="B202" s="1"/>
      <c r="C202" s="13"/>
      <c r="D202" s="5"/>
      <c r="E202" s="6"/>
      <c r="F202" s="96"/>
      <c r="G202" s="96"/>
      <c r="H202" s="96"/>
      <c r="I202" s="96"/>
      <c r="J202" s="96"/>
      <c r="K202" s="96"/>
      <c r="L202" s="96"/>
      <c r="M202" s="96"/>
      <c r="N202" s="96"/>
      <c r="O202" s="6"/>
      <c r="P202" s="1"/>
      <c r="Q202" s="1"/>
      <c r="R202" s="1"/>
    </row>
    <row r="203" spans="1:18" s="7" customFormat="1" x14ac:dyDescent="0.3">
      <c r="A203" s="1"/>
      <c r="B203" s="1"/>
      <c r="C203" s="13"/>
      <c r="D203" s="5"/>
      <c r="E203" s="6"/>
      <c r="F203" s="96"/>
      <c r="G203" s="96"/>
      <c r="H203" s="96"/>
      <c r="I203" s="96"/>
      <c r="J203" s="96"/>
      <c r="K203" s="96"/>
      <c r="L203" s="96"/>
      <c r="M203" s="96"/>
      <c r="N203" s="96"/>
      <c r="O203" s="6"/>
      <c r="P203" s="1"/>
      <c r="Q203" s="1"/>
      <c r="R203" s="1"/>
    </row>
    <row r="204" spans="1:18" s="7" customFormat="1" x14ac:dyDescent="0.3">
      <c r="A204" s="1"/>
      <c r="B204" s="1"/>
      <c r="C204" s="13"/>
      <c r="D204" s="5"/>
      <c r="E204" s="6"/>
      <c r="F204" s="110"/>
      <c r="G204" s="110"/>
      <c r="H204" s="110"/>
      <c r="I204" s="110"/>
      <c r="J204" s="96"/>
      <c r="K204" s="110"/>
      <c r="L204" s="110"/>
      <c r="M204" s="110"/>
      <c r="N204" s="110"/>
      <c r="O204" s="6"/>
      <c r="P204" s="1"/>
      <c r="Q204" s="1"/>
      <c r="R204" s="1"/>
    </row>
    <row r="205" spans="1:18" s="7" customFormat="1" x14ac:dyDescent="0.3">
      <c r="A205" s="1"/>
      <c r="B205" s="1"/>
      <c r="C205" s="13"/>
      <c r="D205" s="5"/>
      <c r="E205" s="6"/>
      <c r="F205" s="96"/>
      <c r="G205" s="96"/>
      <c r="H205" s="96"/>
      <c r="I205" s="96"/>
      <c r="J205" s="96"/>
      <c r="K205" s="96"/>
      <c r="L205" s="96"/>
      <c r="M205" s="96"/>
      <c r="N205" s="96"/>
      <c r="O205" s="6"/>
      <c r="P205" s="1"/>
      <c r="Q205" s="1"/>
      <c r="R205" s="1"/>
    </row>
    <row r="206" spans="1:18" s="7" customFormat="1" x14ac:dyDescent="0.3">
      <c r="A206" s="1"/>
      <c r="B206" s="1"/>
      <c r="C206" s="95"/>
      <c r="D206" s="5"/>
      <c r="E206" s="6"/>
      <c r="F206" s="96"/>
      <c r="G206" s="96"/>
      <c r="H206" s="96"/>
      <c r="I206" s="96"/>
      <c r="J206" s="96"/>
      <c r="K206" s="96"/>
      <c r="L206" s="96"/>
      <c r="M206" s="96"/>
      <c r="N206" s="96"/>
      <c r="O206" s="6"/>
      <c r="P206" s="1"/>
      <c r="Q206" s="1"/>
      <c r="R206" s="1"/>
    </row>
    <row r="207" spans="1:18" x14ac:dyDescent="0.3">
      <c r="F207" s="96"/>
      <c r="G207" s="96"/>
      <c r="H207" s="96"/>
      <c r="I207" s="96"/>
      <c r="J207" s="96"/>
      <c r="K207" s="96"/>
      <c r="L207" s="96"/>
      <c r="M207" s="96"/>
      <c r="N207" s="96"/>
    </row>
    <row r="208" spans="1:18" x14ac:dyDescent="0.3">
      <c r="F208" s="113"/>
      <c r="G208" s="113"/>
      <c r="H208" s="113"/>
      <c r="I208" s="113"/>
      <c r="J208" s="96"/>
      <c r="K208" s="113"/>
      <c r="L208" s="113"/>
      <c r="M208" s="113"/>
      <c r="N208" s="113"/>
    </row>
    <row r="209" spans="1:18" x14ac:dyDescent="0.3">
      <c r="F209" s="96"/>
      <c r="G209" s="96"/>
      <c r="H209" s="96"/>
      <c r="I209" s="96"/>
      <c r="J209" s="96"/>
      <c r="K209" s="96"/>
      <c r="L209" s="96"/>
      <c r="M209" s="96"/>
      <c r="N209" s="96"/>
    </row>
    <row r="210" spans="1:18" x14ac:dyDescent="0.3">
      <c r="F210" s="96"/>
      <c r="G210" s="96"/>
      <c r="H210" s="96"/>
      <c r="I210" s="96"/>
      <c r="J210" s="96"/>
      <c r="K210" s="96"/>
      <c r="L210" s="96"/>
      <c r="M210" s="96"/>
      <c r="N210" s="96"/>
    </row>
    <row r="211" spans="1:18" x14ac:dyDescent="0.3">
      <c r="F211" s="96"/>
      <c r="G211" s="96"/>
      <c r="H211" s="96"/>
      <c r="I211" s="96"/>
      <c r="J211" s="96"/>
      <c r="K211" s="96"/>
      <c r="L211" s="96"/>
      <c r="M211" s="96"/>
      <c r="N211" s="96"/>
    </row>
    <row r="212" spans="1:18" x14ac:dyDescent="0.3">
      <c r="F212" s="96"/>
      <c r="G212" s="96"/>
      <c r="H212" s="96"/>
      <c r="I212" s="96"/>
      <c r="J212" s="96"/>
      <c r="K212" s="96"/>
      <c r="L212" s="96"/>
      <c r="M212" s="96"/>
      <c r="N212" s="96"/>
    </row>
    <row r="213" spans="1:18" x14ac:dyDescent="0.3">
      <c r="C213" s="95"/>
      <c r="F213" s="96"/>
      <c r="G213" s="96"/>
      <c r="H213" s="96"/>
      <c r="I213" s="96"/>
      <c r="J213" s="96"/>
      <c r="K213" s="96"/>
      <c r="L213" s="96"/>
      <c r="M213" s="96"/>
      <c r="N213" s="96"/>
    </row>
    <row r="214" spans="1:18" x14ac:dyDescent="0.3">
      <c r="F214" s="96"/>
      <c r="G214" s="96"/>
      <c r="H214" s="96"/>
      <c r="I214" s="96"/>
      <c r="J214" s="96"/>
      <c r="K214" s="96"/>
      <c r="L214" s="96"/>
      <c r="M214" s="96"/>
      <c r="N214" s="96"/>
    </row>
    <row r="215" spans="1:18" x14ac:dyDescent="0.3">
      <c r="C215" s="1"/>
      <c r="F215" s="96"/>
      <c r="G215" s="96"/>
      <c r="H215" s="96"/>
      <c r="I215" s="96"/>
      <c r="J215" s="96"/>
      <c r="K215" s="96"/>
      <c r="L215" s="96"/>
      <c r="M215" s="96"/>
      <c r="N215" s="96"/>
    </row>
    <row r="216" spans="1:18" x14ac:dyDescent="0.3">
      <c r="F216" s="96"/>
      <c r="G216" s="96"/>
      <c r="H216" s="96"/>
      <c r="I216" s="96"/>
      <c r="J216" s="96"/>
      <c r="K216" s="96"/>
      <c r="L216" s="96"/>
      <c r="M216" s="96"/>
      <c r="N216" s="96"/>
    </row>
    <row r="217" spans="1:18" x14ac:dyDescent="0.3">
      <c r="F217" s="96"/>
      <c r="G217" s="96"/>
      <c r="H217" s="96"/>
      <c r="I217" s="96"/>
      <c r="J217" s="96"/>
      <c r="K217" s="96"/>
      <c r="L217" s="96"/>
      <c r="M217" s="96"/>
      <c r="N217" s="96"/>
    </row>
    <row r="218" spans="1:18" x14ac:dyDescent="0.3">
      <c r="F218" s="96"/>
      <c r="G218" s="96"/>
      <c r="H218" s="96"/>
      <c r="I218" s="96"/>
      <c r="J218" s="96"/>
      <c r="K218" s="96"/>
      <c r="L218" s="96"/>
      <c r="M218" s="96"/>
      <c r="N218" s="96"/>
    </row>
    <row r="219" spans="1:18" x14ac:dyDescent="0.3">
      <c r="F219" s="96"/>
      <c r="G219" s="96"/>
      <c r="H219" s="96"/>
      <c r="I219" s="96"/>
      <c r="J219" s="96"/>
      <c r="K219" s="96"/>
      <c r="L219" s="96"/>
      <c r="M219" s="96"/>
      <c r="N219" s="96"/>
    </row>
    <row r="220" spans="1:18" x14ac:dyDescent="0.3">
      <c r="F220" s="96"/>
      <c r="G220" s="96"/>
      <c r="H220" s="96"/>
      <c r="I220" s="96"/>
      <c r="J220" s="96"/>
      <c r="K220" s="96"/>
      <c r="L220" s="96"/>
      <c r="M220" s="96"/>
      <c r="N220" s="96"/>
    </row>
    <row r="221" spans="1:18" x14ac:dyDescent="0.3">
      <c r="F221" s="96"/>
      <c r="G221" s="96"/>
      <c r="H221" s="96"/>
      <c r="I221" s="96"/>
      <c r="J221" s="96"/>
      <c r="K221" s="96"/>
      <c r="L221" s="96"/>
      <c r="M221" s="96"/>
      <c r="N221" s="96"/>
    </row>
    <row r="222" spans="1:18" x14ac:dyDescent="0.3">
      <c r="A222" s="47"/>
      <c r="B222" s="47"/>
      <c r="C222" s="95"/>
      <c r="F222" s="96"/>
      <c r="G222" s="96"/>
      <c r="H222" s="96"/>
      <c r="I222" s="96"/>
      <c r="J222" s="96"/>
      <c r="K222" s="96"/>
      <c r="L222" s="96"/>
      <c r="M222" s="96"/>
      <c r="N222" s="96"/>
    </row>
    <row r="223" spans="1:18" s="7" customFormat="1" x14ac:dyDescent="0.3">
      <c r="A223" s="1"/>
      <c r="B223" s="1"/>
      <c r="C223" s="13"/>
      <c r="D223" s="5"/>
      <c r="E223" s="6"/>
      <c r="F223" s="96"/>
      <c r="G223" s="96"/>
      <c r="H223" s="96"/>
      <c r="I223" s="96"/>
      <c r="J223" s="96"/>
      <c r="K223" s="96"/>
      <c r="L223" s="96"/>
      <c r="M223" s="96"/>
      <c r="N223" s="96"/>
      <c r="O223" s="6"/>
      <c r="P223" s="1"/>
      <c r="Q223" s="1"/>
      <c r="R223" s="1"/>
    </row>
    <row r="224" spans="1:18" s="7" customFormat="1" x14ac:dyDescent="0.3">
      <c r="A224" s="1"/>
      <c r="B224" s="1"/>
      <c r="C224" s="13"/>
      <c r="D224" s="5"/>
      <c r="E224" s="6"/>
      <c r="F224" s="96"/>
      <c r="G224" s="96"/>
      <c r="H224" s="96"/>
      <c r="I224" s="96"/>
      <c r="J224" s="96"/>
      <c r="K224" s="96"/>
      <c r="L224" s="96"/>
      <c r="M224" s="96"/>
      <c r="N224" s="96"/>
      <c r="O224" s="6"/>
      <c r="P224" s="1"/>
      <c r="Q224" s="1"/>
      <c r="R224" s="1"/>
    </row>
    <row r="225" spans="1:18" s="7" customFormat="1" x14ac:dyDescent="0.3">
      <c r="A225" s="1"/>
      <c r="B225" s="1"/>
      <c r="C225" s="13"/>
      <c r="D225" s="5"/>
      <c r="E225" s="6"/>
      <c r="F225" s="96"/>
      <c r="G225" s="96"/>
      <c r="H225" s="96"/>
      <c r="I225" s="96"/>
      <c r="J225" s="96"/>
      <c r="K225" s="96"/>
      <c r="L225" s="96"/>
      <c r="M225" s="96"/>
      <c r="N225" s="96"/>
      <c r="O225" s="6"/>
      <c r="P225" s="1"/>
      <c r="Q225" s="1"/>
      <c r="R225" s="1"/>
    </row>
    <row r="226" spans="1:18" s="7" customFormat="1" x14ac:dyDescent="0.3">
      <c r="A226" s="1"/>
      <c r="B226" s="1"/>
      <c r="C226" s="13"/>
      <c r="D226" s="5"/>
      <c r="E226" s="6"/>
      <c r="F226" s="96"/>
      <c r="G226" s="96"/>
      <c r="H226" s="96"/>
      <c r="I226" s="96"/>
      <c r="J226" s="96"/>
      <c r="K226" s="96"/>
      <c r="L226" s="96"/>
      <c r="M226" s="96"/>
      <c r="N226" s="96"/>
      <c r="O226" s="6"/>
      <c r="P226" s="1"/>
      <c r="Q226" s="1"/>
      <c r="R226" s="1"/>
    </row>
    <row r="227" spans="1:18" s="7" customFormat="1" x14ac:dyDescent="0.3">
      <c r="A227" s="1"/>
      <c r="B227" s="1"/>
      <c r="C227" s="13"/>
      <c r="D227" s="5"/>
      <c r="E227" s="6"/>
      <c r="F227" s="96"/>
      <c r="G227" s="96"/>
      <c r="H227" s="96"/>
      <c r="I227" s="96"/>
      <c r="J227" s="96"/>
      <c r="K227" s="96"/>
      <c r="L227" s="96"/>
      <c r="M227" s="96"/>
      <c r="N227" s="96"/>
      <c r="O227" s="6"/>
      <c r="P227" s="1"/>
      <c r="Q227" s="1"/>
      <c r="R227" s="1"/>
    </row>
    <row r="228" spans="1:18" s="7" customFormat="1" x14ac:dyDescent="0.3">
      <c r="A228" s="1"/>
      <c r="B228" s="1"/>
      <c r="C228" s="13"/>
      <c r="D228" s="5"/>
      <c r="E228" s="6"/>
      <c r="F228" s="96"/>
      <c r="G228" s="96"/>
      <c r="H228" s="96"/>
      <c r="I228" s="96"/>
      <c r="J228" s="96"/>
      <c r="K228" s="96"/>
      <c r="L228" s="96"/>
      <c r="M228" s="96"/>
      <c r="N228" s="96"/>
      <c r="O228" s="6"/>
      <c r="P228" s="1"/>
      <c r="Q228" s="1"/>
      <c r="R228" s="1"/>
    </row>
    <row r="229" spans="1:18" s="7" customFormat="1" x14ac:dyDescent="0.3">
      <c r="A229" s="1"/>
      <c r="B229" s="1"/>
      <c r="C229" s="95"/>
      <c r="D229" s="5"/>
      <c r="E229" s="6"/>
      <c r="F229" s="96"/>
      <c r="G229" s="96"/>
      <c r="H229" s="96"/>
      <c r="I229" s="96"/>
      <c r="J229" s="96"/>
      <c r="K229" s="96"/>
      <c r="L229" s="96"/>
      <c r="M229" s="96"/>
      <c r="N229" s="96"/>
      <c r="O229" s="6"/>
      <c r="P229" s="1"/>
      <c r="Q229" s="1"/>
      <c r="R229" s="1"/>
    </row>
    <row r="230" spans="1:18" s="7" customFormat="1" x14ac:dyDescent="0.3">
      <c r="A230" s="1"/>
      <c r="B230" s="1"/>
      <c r="C230" s="13"/>
      <c r="D230" s="5"/>
      <c r="E230" s="6"/>
      <c r="F230" s="96"/>
      <c r="G230" s="96"/>
      <c r="H230" s="96"/>
      <c r="I230" s="96"/>
      <c r="J230" s="96"/>
      <c r="K230" s="96"/>
      <c r="L230" s="96"/>
      <c r="M230" s="96"/>
      <c r="N230" s="96"/>
      <c r="O230" s="6"/>
      <c r="P230" s="1"/>
      <c r="Q230" s="1"/>
      <c r="R230" s="1"/>
    </row>
    <row r="231" spans="1:18" s="7" customFormat="1" x14ac:dyDescent="0.3">
      <c r="A231" s="1"/>
      <c r="B231" s="1"/>
      <c r="C231" s="13"/>
      <c r="D231" s="5"/>
      <c r="E231" s="6"/>
      <c r="F231" s="96"/>
      <c r="G231" s="96"/>
      <c r="H231" s="96"/>
      <c r="I231" s="96"/>
      <c r="J231" s="96"/>
      <c r="K231" s="96"/>
      <c r="L231" s="96"/>
      <c r="M231" s="96"/>
      <c r="N231" s="96"/>
      <c r="O231" s="6"/>
      <c r="P231" s="1"/>
      <c r="Q231" s="1"/>
      <c r="R231" s="1"/>
    </row>
    <row r="232" spans="1:18" s="7" customFormat="1" x14ac:dyDescent="0.3">
      <c r="A232" s="1"/>
      <c r="B232" s="1"/>
      <c r="C232" s="13"/>
      <c r="D232" s="5"/>
      <c r="E232" s="6"/>
      <c r="F232" s="96"/>
      <c r="G232" s="96"/>
      <c r="H232" s="96"/>
      <c r="I232" s="96"/>
      <c r="J232" s="96"/>
      <c r="K232" s="96"/>
      <c r="L232" s="96"/>
      <c r="M232" s="96"/>
      <c r="N232" s="96"/>
      <c r="O232" s="6"/>
      <c r="P232" s="1"/>
      <c r="Q232" s="1"/>
      <c r="R232" s="1"/>
    </row>
    <row r="233" spans="1:18" s="7" customFormat="1" x14ac:dyDescent="0.3">
      <c r="A233" s="1"/>
      <c r="B233" s="1"/>
      <c r="C233" s="13"/>
      <c r="D233" s="5"/>
      <c r="E233" s="6"/>
      <c r="F233" s="96"/>
      <c r="G233" s="96"/>
      <c r="H233" s="96"/>
      <c r="I233" s="96"/>
      <c r="J233" s="96"/>
      <c r="K233" s="96"/>
      <c r="L233" s="96"/>
      <c r="M233" s="96"/>
      <c r="N233" s="96"/>
      <c r="O233" s="6"/>
      <c r="P233" s="1"/>
      <c r="Q233" s="1"/>
      <c r="R233" s="1"/>
    </row>
    <row r="234" spans="1:18" s="7" customFormat="1" x14ac:dyDescent="0.3">
      <c r="A234" s="1"/>
      <c r="B234" s="1"/>
      <c r="C234" s="13"/>
      <c r="D234" s="5"/>
      <c r="E234" s="6"/>
      <c r="F234" s="96"/>
      <c r="G234" s="96"/>
      <c r="H234" s="96"/>
      <c r="I234" s="96"/>
      <c r="J234" s="96"/>
      <c r="K234" s="96"/>
      <c r="L234" s="96"/>
      <c r="M234" s="96"/>
      <c r="N234" s="96"/>
      <c r="O234" s="6"/>
      <c r="P234" s="1"/>
      <c r="Q234" s="1"/>
      <c r="R234" s="1"/>
    </row>
    <row r="235" spans="1:18" s="7" customFormat="1" x14ac:dyDescent="0.3">
      <c r="A235" s="1"/>
      <c r="B235" s="1"/>
      <c r="C235" s="13"/>
      <c r="D235" s="5"/>
      <c r="E235" s="6"/>
      <c r="F235" s="96"/>
      <c r="G235" s="96"/>
      <c r="H235" s="96"/>
      <c r="I235" s="96"/>
      <c r="J235" s="96"/>
      <c r="K235" s="96"/>
      <c r="L235" s="96"/>
      <c r="M235" s="96"/>
      <c r="N235" s="96"/>
      <c r="O235" s="6"/>
      <c r="P235" s="1"/>
      <c r="Q235" s="1"/>
      <c r="R235" s="1"/>
    </row>
  </sheetData>
  <mergeCells count="7">
    <mergeCell ref="A6:C6"/>
    <mergeCell ref="D6:E6"/>
    <mergeCell ref="Q1:R1"/>
    <mergeCell ref="A2:D2"/>
    <mergeCell ref="F2:I2"/>
    <mergeCell ref="A4:C5"/>
    <mergeCell ref="D4:E5"/>
  </mergeCells>
  <phoneticPr fontId="18" type="noConversion"/>
  <conditionalFormatting sqref="D166:E166 D104:E105 D106:M165 F105:M105 D167:M235 O202:O235 O41:O103 O169:O200 O105:O165 D25:E25 D26:M103 D20:N21 D7:M19 G23:M28 G23:N23 G18:N21 D23:M24 O7:O21 O23:O39 D22:O22">
    <cfRule type="expression" dxfId="4134" priority="4155">
      <formula>$D7&lt;=$A$2</formula>
    </cfRule>
  </conditionalFormatting>
  <conditionalFormatting sqref="D166:E166 D104:E105 D106:M165 F105:M105 D167:M235 O202:O235 O41:O103 O169:O200 O105:O165 D25:E25 D26:M103 D20:N21 D7:M19 G23:M28 G23:N23 G18:N21 D23:M24 N7:N20 N23:N103 O7:O21 O23:O39 D22:O22">
    <cfRule type="expression" dxfId="4133" priority="4156">
      <formula>($D7=$A$2)</formula>
    </cfRule>
    <cfRule type="expression" dxfId="4132" priority="4157">
      <formula>OR($E7="토",$E7="일")</formula>
    </cfRule>
  </conditionalFormatting>
  <conditionalFormatting sqref="O201">
    <cfRule type="expression" dxfId="4131" priority="4152" stopIfTrue="1">
      <formula>$D166=$A$2</formula>
    </cfRule>
  </conditionalFormatting>
  <conditionalFormatting sqref="O201">
    <cfRule type="expression" dxfId="4130" priority="4153" stopIfTrue="1">
      <formula>($D166=$A$2)</formula>
    </cfRule>
    <cfRule type="expression" dxfId="4129" priority="4154" stopIfTrue="1">
      <formula>OR($E166="토",$E166="일")</formula>
    </cfRule>
  </conditionalFormatting>
  <conditionalFormatting sqref="F104:M104 O104">
    <cfRule type="expression" dxfId="4128" priority="4158" stopIfTrue="1">
      <formula>$D105=$A$2</formula>
    </cfRule>
  </conditionalFormatting>
  <conditionalFormatting sqref="F104:M104 O104">
    <cfRule type="expression" dxfId="4127" priority="4159" stopIfTrue="1">
      <formula>($D105=$A$2)</formula>
    </cfRule>
    <cfRule type="expression" dxfId="4126" priority="4160" stopIfTrue="1">
      <formula>OR($E105="토",$E105="일")</formula>
    </cfRule>
  </conditionalFormatting>
  <conditionalFormatting sqref="F166:M166">
    <cfRule type="expression" dxfId="4125" priority="4161" stopIfTrue="1">
      <formula>$D174=$A$2</formula>
    </cfRule>
  </conditionalFormatting>
  <conditionalFormatting sqref="F166:M166">
    <cfRule type="expression" dxfId="4124" priority="4162" stopIfTrue="1">
      <formula>($D174=$A$2)</formula>
    </cfRule>
    <cfRule type="expression" dxfId="4123" priority="4163" stopIfTrue="1">
      <formula>OR($E174="토",$E174="일")</formula>
    </cfRule>
  </conditionalFormatting>
  <conditionalFormatting sqref="O166">
    <cfRule type="expression" dxfId="4122" priority="4149" stopIfTrue="1">
      <formula>$D174=$A$2</formula>
    </cfRule>
  </conditionalFormatting>
  <conditionalFormatting sqref="O166">
    <cfRule type="expression" dxfId="4121" priority="4150" stopIfTrue="1">
      <formula>($D174=$A$2)</formula>
    </cfRule>
    <cfRule type="expression" dxfId="4120" priority="4151" stopIfTrue="1">
      <formula>OR($E174="토",$E174="일")</formula>
    </cfRule>
  </conditionalFormatting>
  <conditionalFormatting sqref="O167">
    <cfRule type="expression" dxfId="4119" priority="4146" stopIfTrue="1">
      <formula>$D167=$A$2</formula>
    </cfRule>
  </conditionalFormatting>
  <conditionalFormatting sqref="O167">
    <cfRule type="expression" dxfId="4118" priority="4147" stopIfTrue="1">
      <formula>($D167=$A$2)</formula>
    </cfRule>
    <cfRule type="expression" dxfId="4117" priority="4148" stopIfTrue="1">
      <formula>OR($E167="토",$E167="일")</formula>
    </cfRule>
  </conditionalFormatting>
  <conditionalFormatting sqref="O168">
    <cfRule type="expression" dxfId="4116" priority="4143" stopIfTrue="1">
      <formula>$D168=$A$2</formula>
    </cfRule>
  </conditionalFormatting>
  <conditionalFormatting sqref="O168">
    <cfRule type="expression" dxfId="4115" priority="4144" stopIfTrue="1">
      <formula>($D168=$A$2)</formula>
    </cfRule>
    <cfRule type="expression" dxfId="4114" priority="4145" stopIfTrue="1">
      <formula>OR($E168="토",$E168="일")</formula>
    </cfRule>
  </conditionalFormatting>
  <conditionalFormatting sqref="I23:I28 N19:N20 J23:N23 J19:M22">
    <cfRule type="expression" dxfId="4113" priority="4140">
      <formula>$D19=$A$2</formula>
    </cfRule>
  </conditionalFormatting>
  <conditionalFormatting sqref="L19:M19">
    <cfRule type="expression" dxfId="4112" priority="4141">
      <formula>($D19=$A$2)</formula>
    </cfRule>
    <cfRule type="expression" dxfId="4111" priority="4142">
      <formula>OR($E19="토",$E19="일")</formula>
    </cfRule>
  </conditionalFormatting>
  <conditionalFormatting sqref="K18:M18">
    <cfRule type="expression" dxfId="4110" priority="4137">
      <formula>$D18=$A$2</formula>
    </cfRule>
  </conditionalFormatting>
  <conditionalFormatting sqref="K18:M18">
    <cfRule type="expression" dxfId="4109" priority="4138">
      <formula>($D18=$A$2)</formula>
    </cfRule>
    <cfRule type="expression" dxfId="4108" priority="4139">
      <formula>OR($E18="토",$E18="일")</formula>
    </cfRule>
  </conditionalFormatting>
  <conditionalFormatting sqref="K19:K28">
    <cfRule type="expression" dxfId="4107" priority="4134">
      <formula>$D19=$A$2</formula>
    </cfRule>
  </conditionalFormatting>
  <conditionalFormatting sqref="K19:K28">
    <cfRule type="expression" dxfId="4106" priority="4135">
      <formula>($D19=$A$2)</formula>
    </cfRule>
    <cfRule type="expression" dxfId="4105" priority="4136">
      <formula>OR($E19="토",$E19="일")</formula>
    </cfRule>
  </conditionalFormatting>
  <conditionalFormatting sqref="K21:K28">
    <cfRule type="expression" dxfId="4104" priority="4131">
      <formula>$D21=$A$2</formula>
    </cfRule>
  </conditionalFormatting>
  <conditionalFormatting sqref="K21:K28">
    <cfRule type="expression" dxfId="4103" priority="4132">
      <formula>($D21=$A$2)</formula>
    </cfRule>
    <cfRule type="expression" dxfId="4102" priority="4133">
      <formula>OR($E21="토",$E21="일")</formula>
    </cfRule>
  </conditionalFormatting>
  <conditionalFormatting sqref="K21:K28">
    <cfRule type="expression" dxfId="4101" priority="4128">
      <formula>$D21=$A$2</formula>
    </cfRule>
  </conditionalFormatting>
  <conditionalFormatting sqref="K21:K28">
    <cfRule type="expression" dxfId="4100" priority="4129">
      <formula>($D21=$A$2)</formula>
    </cfRule>
    <cfRule type="expression" dxfId="4099" priority="4130">
      <formula>OR($E21="토",$E21="일")</formula>
    </cfRule>
  </conditionalFormatting>
  <conditionalFormatting sqref="L19:M27">
    <cfRule type="expression" dxfId="4098" priority="4125">
      <formula>$D19=$A$2</formula>
    </cfRule>
  </conditionalFormatting>
  <conditionalFormatting sqref="L19:M27">
    <cfRule type="expression" dxfId="4097" priority="4126">
      <formula>($D19=$A$2)</formula>
    </cfRule>
    <cfRule type="expression" dxfId="4096" priority="4127">
      <formula>OR($E19="토",$E19="일")</formula>
    </cfRule>
  </conditionalFormatting>
  <conditionalFormatting sqref="L17:L21 L19:M27">
    <cfRule type="expression" dxfId="4095" priority="4122">
      <formula>$D17=$A$2</formula>
    </cfRule>
  </conditionalFormatting>
  <conditionalFormatting sqref="L17:L21 L19:M27">
    <cfRule type="expression" dxfId="4094" priority="4123">
      <formula>($D17=$A$2)</formula>
    </cfRule>
    <cfRule type="expression" dxfId="4093" priority="4124">
      <formula>OR($E17="토",$E17="일")</formula>
    </cfRule>
  </conditionalFormatting>
  <conditionalFormatting sqref="L39:M39 L37:M37">
    <cfRule type="expression" dxfId="4092" priority="4164">
      <formula>$D41=$A$2</formula>
    </cfRule>
  </conditionalFormatting>
  <conditionalFormatting sqref="L39:M39 L37:M37">
    <cfRule type="expression" dxfId="4091" priority="4165">
      <formula>($D41=$A$2)</formula>
    </cfRule>
    <cfRule type="expression" dxfId="4090" priority="4166">
      <formula>OR($E41="토",$E41="일")</formula>
    </cfRule>
  </conditionalFormatting>
  <conditionalFormatting sqref="O40 D40:K40">
    <cfRule type="expression" dxfId="4089" priority="4116">
      <formula>$D40=$A$2</formula>
    </cfRule>
  </conditionalFormatting>
  <conditionalFormatting sqref="O40 D40:K40">
    <cfRule type="expression" dxfId="4088" priority="4117">
      <formula>($D40=$A$2)</formula>
    </cfRule>
    <cfRule type="expression" dxfId="4087" priority="4118">
      <formula>OR($E40="토",$E40="일")</formula>
    </cfRule>
  </conditionalFormatting>
  <conditionalFormatting sqref="L40:M40">
    <cfRule type="expression" dxfId="4086" priority="4119">
      <formula>$D44=$A$2</formula>
    </cfRule>
  </conditionalFormatting>
  <conditionalFormatting sqref="L40:M40">
    <cfRule type="expression" dxfId="4085" priority="4120">
      <formula>($D44=$A$2)</formula>
    </cfRule>
    <cfRule type="expression" dxfId="4084" priority="4121">
      <formula>OR($E44="토",$E44="일")</formula>
    </cfRule>
  </conditionalFormatting>
  <conditionalFormatting sqref="K23:K28">
    <cfRule type="expression" dxfId="4083" priority="4113">
      <formula>$D23=$A$2</formula>
    </cfRule>
  </conditionalFormatting>
  <conditionalFormatting sqref="K23:K28">
    <cfRule type="expression" dxfId="4082" priority="4114">
      <formula>($D23=$A$2)</formula>
    </cfRule>
    <cfRule type="expression" dxfId="4081" priority="4115">
      <formula>OR($E23="토",$E23="일")</formula>
    </cfRule>
  </conditionalFormatting>
  <conditionalFormatting sqref="K23:K28">
    <cfRule type="expression" dxfId="4080" priority="4110">
      <formula>$D23=$A$2</formula>
    </cfRule>
  </conditionalFormatting>
  <conditionalFormatting sqref="K23:K28">
    <cfRule type="expression" dxfId="4079" priority="4111">
      <formula>($D23=$A$2)</formula>
    </cfRule>
    <cfRule type="expression" dxfId="4078" priority="4112">
      <formula>OR($E23="토",$E23="일")</formula>
    </cfRule>
  </conditionalFormatting>
  <conditionalFormatting sqref="F21:F22">
    <cfRule type="expression" dxfId="4077" priority="4107">
      <formula>$D21=$A$2</formula>
    </cfRule>
  </conditionalFormatting>
  <conditionalFormatting sqref="F21:F22">
    <cfRule type="expression" dxfId="4076" priority="4108">
      <formula>($D21=$A$2)</formula>
    </cfRule>
    <cfRule type="expression" dxfId="4075" priority="4109">
      <formula>OR($E21="토",$E21="일")</formula>
    </cfRule>
  </conditionalFormatting>
  <conditionalFormatting sqref="G20:H20">
    <cfRule type="expression" dxfId="4074" priority="4104">
      <formula>$D20=$A$2</formula>
    </cfRule>
  </conditionalFormatting>
  <conditionalFormatting sqref="G20:H20">
    <cfRule type="expression" dxfId="4073" priority="4105">
      <formula>($D20=$A$2)</formula>
    </cfRule>
    <cfRule type="expression" dxfId="4072" priority="4106">
      <formula>OR($E20="토",$E20="일")</formula>
    </cfRule>
  </conditionalFormatting>
  <conditionalFormatting sqref="K19:K28">
    <cfRule type="expression" dxfId="4071" priority="4101">
      <formula>$D19=$A$2</formula>
    </cfRule>
  </conditionalFormatting>
  <conditionalFormatting sqref="K19:K28">
    <cfRule type="expression" dxfId="4070" priority="4102">
      <formula>($D19=$A$2)</formula>
    </cfRule>
    <cfRule type="expression" dxfId="4069" priority="4103">
      <formula>OR($E19="토",$E19="일")</formula>
    </cfRule>
  </conditionalFormatting>
  <conditionalFormatting sqref="K19:K28">
    <cfRule type="expression" dxfId="4068" priority="4098">
      <formula>$D19=$A$2</formula>
    </cfRule>
  </conditionalFormatting>
  <conditionalFormatting sqref="K19:K28">
    <cfRule type="expression" dxfId="4067" priority="4099">
      <formula>($D19=$A$2)</formula>
    </cfRule>
    <cfRule type="expression" dxfId="4066" priority="4100">
      <formula>OR($E19="토",$E19="일")</formula>
    </cfRule>
  </conditionalFormatting>
  <conditionalFormatting sqref="F19">
    <cfRule type="expression" dxfId="4065" priority="4095">
      <formula>$D19=$A$2</formula>
    </cfRule>
  </conditionalFormatting>
  <conditionalFormatting sqref="F19">
    <cfRule type="expression" dxfId="4064" priority="4096">
      <formula>($D19=$A$2)</formula>
    </cfRule>
    <cfRule type="expression" dxfId="4063" priority="4097">
      <formula>OR($E19="토",$E19="일")</formula>
    </cfRule>
  </conditionalFormatting>
  <conditionalFormatting sqref="K19:K28">
    <cfRule type="expression" dxfId="4062" priority="4089">
      <formula>$D19=$A$2</formula>
    </cfRule>
  </conditionalFormatting>
  <conditionalFormatting sqref="K19:K28">
    <cfRule type="expression" dxfId="4061" priority="4090">
      <formula>($D19=$A$2)</formula>
    </cfRule>
    <cfRule type="expression" dxfId="4060" priority="4091">
      <formula>OR($E19="토",$E19="일")</formula>
    </cfRule>
  </conditionalFormatting>
  <conditionalFormatting sqref="K19:K28">
    <cfRule type="expression" dxfId="4059" priority="4086">
      <formula>$D19=$A$2</formula>
    </cfRule>
  </conditionalFormatting>
  <conditionalFormatting sqref="K19:K28">
    <cfRule type="expression" dxfId="4058" priority="4087">
      <formula>($D19=$A$2)</formula>
    </cfRule>
    <cfRule type="expression" dxfId="4057" priority="4088">
      <formula>OR($E19="토",$E19="일")</formula>
    </cfRule>
  </conditionalFormatting>
  <conditionalFormatting sqref="K19:K28">
    <cfRule type="expression" dxfId="4056" priority="4083">
      <formula>$D19=$A$2</formula>
    </cfRule>
  </conditionalFormatting>
  <conditionalFormatting sqref="K19:K28">
    <cfRule type="expression" dxfId="4055" priority="4084">
      <formula>($D19=$A$2)</formula>
    </cfRule>
    <cfRule type="expression" dxfId="4054" priority="4085">
      <formula>OR($E19="토",$E19="일")</formula>
    </cfRule>
  </conditionalFormatting>
  <conditionalFormatting sqref="K19:K28">
    <cfRule type="expression" dxfId="4053" priority="4080">
      <formula>$D19=$A$2</formula>
    </cfRule>
  </conditionalFormatting>
  <conditionalFormatting sqref="K19:K28">
    <cfRule type="expression" dxfId="4052" priority="4081">
      <formula>($D19=$A$2)</formula>
    </cfRule>
    <cfRule type="expression" dxfId="4051" priority="4082">
      <formula>OR($E19="토",$E19="일")</formula>
    </cfRule>
  </conditionalFormatting>
  <conditionalFormatting sqref="N105:N165 N167:N235 N7:N20 N23:N103">
    <cfRule type="expression" dxfId="4050" priority="4068">
      <formula>$D7&lt;=$A$2</formula>
    </cfRule>
  </conditionalFormatting>
  <conditionalFormatting sqref="N105:N165 N167:N235">
    <cfRule type="expression" dxfId="4049" priority="4069">
      <formula>($D105=$A$2)</formula>
    </cfRule>
    <cfRule type="expression" dxfId="4048" priority="4070">
      <formula>OR($E105="토",$E105="일")</formula>
    </cfRule>
  </conditionalFormatting>
  <conditionalFormatting sqref="N104">
    <cfRule type="expression" dxfId="4047" priority="4071" stopIfTrue="1">
      <formula>$D105=$A$2</formula>
    </cfRule>
  </conditionalFormatting>
  <conditionalFormatting sqref="N104">
    <cfRule type="expression" dxfId="4046" priority="4072" stopIfTrue="1">
      <formula>($D105=$A$2)</formula>
    </cfRule>
    <cfRule type="expression" dxfId="4045" priority="4073" stopIfTrue="1">
      <formula>OR($E105="토",$E105="일")</formula>
    </cfRule>
  </conditionalFormatting>
  <conditionalFormatting sqref="N166">
    <cfRule type="expression" dxfId="4044" priority="4074" stopIfTrue="1">
      <formula>$D174=$A$2</formula>
    </cfRule>
  </conditionalFormatting>
  <conditionalFormatting sqref="N166">
    <cfRule type="expression" dxfId="4043" priority="4075" stopIfTrue="1">
      <formula>($D174=$A$2)</formula>
    </cfRule>
    <cfRule type="expression" dxfId="4042" priority="4076" stopIfTrue="1">
      <formula>OR($E174="토",$E174="일")</formula>
    </cfRule>
  </conditionalFormatting>
  <conditionalFormatting sqref="N18:N19">
    <cfRule type="expression" dxfId="4041" priority="4062">
      <formula>$D18=$A$2</formula>
    </cfRule>
  </conditionalFormatting>
  <conditionalFormatting sqref="N18:N19">
    <cfRule type="expression" dxfId="4040" priority="4063">
      <formula>($D18=$A$2)</formula>
    </cfRule>
    <cfRule type="expression" dxfId="4039" priority="4064">
      <formula>OR($E18="토",$E18="일")</formula>
    </cfRule>
  </conditionalFormatting>
  <conditionalFormatting sqref="N39 N37">
    <cfRule type="expression" dxfId="4038" priority="4077">
      <formula>$D41=$A$2</formula>
    </cfRule>
  </conditionalFormatting>
  <conditionalFormatting sqref="N39 N37">
    <cfRule type="expression" dxfId="4037" priority="4078">
      <formula>($D41=$A$2)</formula>
    </cfRule>
    <cfRule type="expression" dxfId="4036" priority="4079">
      <formula>OR($E41="토",$E41="일")</formula>
    </cfRule>
  </conditionalFormatting>
  <conditionalFormatting sqref="N40">
    <cfRule type="expression" dxfId="4035" priority="4053">
      <formula>$D44=$A$2</formula>
    </cfRule>
  </conditionalFormatting>
  <conditionalFormatting sqref="N40">
    <cfRule type="expression" dxfId="4034" priority="4054">
      <formula>($D44=$A$2)</formula>
    </cfRule>
    <cfRule type="expression" dxfId="4033" priority="4055">
      <formula>OR($E44="토",$E44="일")</formula>
    </cfRule>
  </conditionalFormatting>
  <conditionalFormatting sqref="F20">
    <cfRule type="expression" dxfId="4032" priority="4050">
      <formula>$D20=$A$2</formula>
    </cfRule>
  </conditionalFormatting>
  <conditionalFormatting sqref="F20">
    <cfRule type="expression" dxfId="4031" priority="4051">
      <formula>($D20=$A$2)</formula>
    </cfRule>
    <cfRule type="expression" dxfId="4030" priority="4052">
      <formula>OR($E20="토",$E20="일")</formula>
    </cfRule>
  </conditionalFormatting>
  <conditionalFormatting sqref="K23:K28">
    <cfRule type="expression" dxfId="4029" priority="4047">
      <formula>$D23=$A$2</formula>
    </cfRule>
  </conditionalFormatting>
  <conditionalFormatting sqref="K23:K28">
    <cfRule type="expression" dxfId="4028" priority="4048">
      <formula>($D23=$A$2)</formula>
    </cfRule>
    <cfRule type="expression" dxfId="4027" priority="4049">
      <formula>OR($E23="토",$E23="일")</formula>
    </cfRule>
  </conditionalFormatting>
  <conditionalFormatting sqref="K23:K28">
    <cfRule type="expression" dxfId="4026" priority="4044">
      <formula>$D23=$A$2</formula>
    </cfRule>
  </conditionalFormatting>
  <conditionalFormatting sqref="K23:K28">
    <cfRule type="expression" dxfId="4025" priority="4045">
      <formula>($D23=$A$2)</formula>
    </cfRule>
    <cfRule type="expression" dxfId="4024" priority="4046">
      <formula>OR($E23="토",$E23="일")</formula>
    </cfRule>
  </conditionalFormatting>
  <conditionalFormatting sqref="F25 H24:H27">
    <cfRule type="expression" dxfId="4023" priority="4042">
      <formula>($D24=$A$2)</formula>
    </cfRule>
    <cfRule type="expression" dxfId="4022" priority="4043">
      <formula>OR($E24="토",$E24="일")</formula>
    </cfRule>
  </conditionalFormatting>
  <conditionalFormatting sqref="F25 H24:H27">
    <cfRule type="expression" dxfId="4021" priority="4041">
      <formula>$D24&lt;=$A$2</formula>
    </cfRule>
  </conditionalFormatting>
  <conditionalFormatting sqref="L12:M15">
    <cfRule type="expression" dxfId="4020" priority="4038">
      <formula>$D12=$A$2</formula>
    </cfRule>
  </conditionalFormatting>
  <conditionalFormatting sqref="L12:M15">
    <cfRule type="expression" dxfId="4019" priority="4039">
      <formula>($D12=$A$2)</formula>
    </cfRule>
    <cfRule type="expression" dxfId="4018" priority="4040">
      <formula>OR($E12="토",$E12="일")</formula>
    </cfRule>
  </conditionalFormatting>
  <conditionalFormatting sqref="L11:L12 L13:M18 L17:L20">
    <cfRule type="expression" dxfId="4017" priority="4035">
      <formula>$D11=$A$2</formula>
    </cfRule>
  </conditionalFormatting>
  <conditionalFormatting sqref="L11:L12 L13:M18 L17:L20">
    <cfRule type="expression" dxfId="4016" priority="4036">
      <formula>($D11=$A$2)</formula>
    </cfRule>
    <cfRule type="expression" dxfId="4015" priority="4037">
      <formula>OR($E11="토",$E11="일")</formula>
    </cfRule>
  </conditionalFormatting>
  <conditionalFormatting sqref="L11:L12 L13:M18 L17:L20">
    <cfRule type="expression" dxfId="4014" priority="4032">
      <formula>$D11=$A$2</formula>
    </cfRule>
  </conditionalFormatting>
  <conditionalFormatting sqref="L11:L12 L13:M18 L17:L20">
    <cfRule type="expression" dxfId="4013" priority="4033">
      <formula>($D11=$A$2)</formula>
    </cfRule>
    <cfRule type="expression" dxfId="4012" priority="4034">
      <formula>OR($E11="토",$E11="일")</formula>
    </cfRule>
  </conditionalFormatting>
  <conditionalFormatting sqref="L17:M17">
    <cfRule type="expression" dxfId="4011" priority="4029">
      <formula>$D17=$A$2</formula>
    </cfRule>
  </conditionalFormatting>
  <conditionalFormatting sqref="L17:M17">
    <cfRule type="expression" dxfId="4010" priority="4030">
      <formula>($D17=$A$2)</formula>
    </cfRule>
    <cfRule type="expression" dxfId="4009" priority="4031">
      <formula>OR($E17="토",$E17="일")</formula>
    </cfRule>
  </conditionalFormatting>
  <conditionalFormatting sqref="L17:L25">
    <cfRule type="expression" dxfId="4008" priority="4026">
      <formula>$D17=$A$2</formula>
    </cfRule>
  </conditionalFormatting>
  <conditionalFormatting sqref="L17:L25">
    <cfRule type="expression" dxfId="4007" priority="4027">
      <formula>($D17=$A$2)</formula>
    </cfRule>
    <cfRule type="expression" dxfId="4006" priority="4028">
      <formula>OR($E17="토",$E17="일")</formula>
    </cfRule>
  </conditionalFormatting>
  <conditionalFormatting sqref="L17:L23">
    <cfRule type="expression" dxfId="4005" priority="4023">
      <formula>$D17=$A$2</formula>
    </cfRule>
  </conditionalFormatting>
  <conditionalFormatting sqref="L17:L23">
    <cfRule type="expression" dxfId="4004" priority="4024">
      <formula>($D17=$A$2)</formula>
    </cfRule>
    <cfRule type="expression" dxfId="4003" priority="4025">
      <formula>OR($E17="토",$E17="일")</formula>
    </cfRule>
  </conditionalFormatting>
  <conditionalFormatting sqref="L16:L20">
    <cfRule type="expression" dxfId="4002" priority="4020">
      <formula>$D16=$A$2</formula>
    </cfRule>
  </conditionalFormatting>
  <conditionalFormatting sqref="L16:L20">
    <cfRule type="expression" dxfId="4001" priority="4021">
      <formula>($D16=$A$2)</formula>
    </cfRule>
    <cfRule type="expression" dxfId="4000" priority="4022">
      <formula>OR($E16="토",$E16="일")</formula>
    </cfRule>
  </conditionalFormatting>
  <conditionalFormatting sqref="M19:M28">
    <cfRule type="expression" dxfId="3999" priority="4017">
      <formula>$D19=$A$2</formula>
    </cfRule>
  </conditionalFormatting>
  <conditionalFormatting sqref="M19:M28">
    <cfRule type="expression" dxfId="3998" priority="4018">
      <formula>($D19=$A$2)</formula>
    </cfRule>
    <cfRule type="expression" dxfId="3997" priority="4019">
      <formula>OR($E19="토",$E19="일")</formula>
    </cfRule>
  </conditionalFormatting>
  <conditionalFormatting sqref="J20:M20">
    <cfRule type="expression" dxfId="3996" priority="4014">
      <formula>$D20=$A$2</formula>
    </cfRule>
  </conditionalFormatting>
  <conditionalFormatting sqref="J20:M20">
    <cfRule type="expression" dxfId="3995" priority="4015">
      <formula>($D20=$A$2)</formula>
    </cfRule>
    <cfRule type="expression" dxfId="3994" priority="4016">
      <formula>OR($E20="토",$E20="일")</formula>
    </cfRule>
  </conditionalFormatting>
  <conditionalFormatting sqref="H21:H28">
    <cfRule type="expression" dxfId="3993" priority="4011">
      <formula>$D21=$A$2</formula>
    </cfRule>
  </conditionalFormatting>
  <conditionalFormatting sqref="H21:H28">
    <cfRule type="expression" dxfId="3992" priority="4012">
      <formula>($D21=$A$2)</formula>
    </cfRule>
    <cfRule type="expression" dxfId="3991" priority="4013">
      <formula>OR($E21="토",$E21="일")</formula>
    </cfRule>
  </conditionalFormatting>
  <conditionalFormatting sqref="H19:H28">
    <cfRule type="expression" dxfId="3990" priority="4008">
      <formula>$D19=$A$2</formula>
    </cfRule>
  </conditionalFormatting>
  <conditionalFormatting sqref="H19:H28">
    <cfRule type="expression" dxfId="3989" priority="4009">
      <formula>($D19=$A$2)</formula>
    </cfRule>
    <cfRule type="expression" dxfId="3988" priority="4010">
      <formula>OR($E19="토",$E19="일")</formula>
    </cfRule>
  </conditionalFormatting>
  <conditionalFormatting sqref="L19:M19">
    <cfRule type="expression" dxfId="3987" priority="4005">
      <formula>$D19=$A$2</formula>
    </cfRule>
  </conditionalFormatting>
  <conditionalFormatting sqref="L19:M19">
    <cfRule type="expression" dxfId="3986" priority="4006">
      <formula>($D19=$A$2)</formula>
    </cfRule>
    <cfRule type="expression" dxfId="3985" priority="4007">
      <formula>OR($E19="토",$E19="일")</formula>
    </cfRule>
  </conditionalFormatting>
  <conditionalFormatting sqref="L16:L20">
    <cfRule type="expression" dxfId="3984" priority="4002">
      <formula>$D16=$A$2</formula>
    </cfRule>
  </conditionalFormatting>
  <conditionalFormatting sqref="L16:L20">
    <cfRule type="expression" dxfId="3983" priority="4003">
      <formula>($D16=$A$2)</formula>
    </cfRule>
    <cfRule type="expression" dxfId="3982" priority="4004">
      <formula>OR($E16="토",$E16="일")</formula>
    </cfRule>
  </conditionalFormatting>
  <conditionalFormatting sqref="L17:L23">
    <cfRule type="expression" dxfId="3981" priority="3999">
      <formula>$D17=$A$2</formula>
    </cfRule>
  </conditionalFormatting>
  <conditionalFormatting sqref="L17:L23">
    <cfRule type="expression" dxfId="3980" priority="4000">
      <formula>($D17=$A$2)</formula>
    </cfRule>
    <cfRule type="expression" dxfId="3979" priority="4001">
      <formula>OR($E17="토",$E17="일")</formula>
    </cfRule>
  </conditionalFormatting>
  <conditionalFormatting sqref="J20:M20">
    <cfRule type="expression" dxfId="3978" priority="3996">
      <formula>$D20=$A$2</formula>
    </cfRule>
  </conditionalFormatting>
  <conditionalFormatting sqref="J20:M20">
    <cfRule type="expression" dxfId="3977" priority="3997">
      <formula>($D20=$A$2)</formula>
    </cfRule>
    <cfRule type="expression" dxfId="3976" priority="3998">
      <formula>OR($E20="토",$E20="일")</formula>
    </cfRule>
  </conditionalFormatting>
  <conditionalFormatting sqref="L23:M23">
    <cfRule type="expression" dxfId="3975" priority="3993">
      <formula>$D23=$A$2</formula>
    </cfRule>
  </conditionalFormatting>
  <conditionalFormatting sqref="L23:M23">
    <cfRule type="expression" dxfId="3974" priority="3994">
      <formula>($D23=$A$2)</formula>
    </cfRule>
    <cfRule type="expression" dxfId="3973" priority="3995">
      <formula>OR($E23="토",$E23="일")</formula>
    </cfRule>
  </conditionalFormatting>
  <conditionalFormatting sqref="G21:H21">
    <cfRule type="expression" dxfId="3972" priority="3990">
      <formula>$D21=$A$2</formula>
    </cfRule>
  </conditionalFormatting>
  <conditionalFormatting sqref="G21:H21">
    <cfRule type="expression" dxfId="3971" priority="3991">
      <formula>($D21=$A$2)</formula>
    </cfRule>
    <cfRule type="expression" dxfId="3970" priority="3992">
      <formula>OR($E21="토",$E21="일")</formula>
    </cfRule>
  </conditionalFormatting>
  <conditionalFormatting sqref="G20:H20">
    <cfRule type="expression" dxfId="3969" priority="3987">
      <formula>$D20=$A$2</formula>
    </cfRule>
  </conditionalFormatting>
  <conditionalFormatting sqref="G20:H20">
    <cfRule type="expression" dxfId="3968" priority="3988">
      <formula>($D20=$A$2)</formula>
    </cfRule>
    <cfRule type="expression" dxfId="3967" priority="3989">
      <formula>OR($E20="토",$E20="일")</formula>
    </cfRule>
  </conditionalFormatting>
  <conditionalFormatting sqref="J21:M21">
    <cfRule type="expression" dxfId="3966" priority="3984">
      <formula>$D21=$A$2</formula>
    </cfRule>
  </conditionalFormatting>
  <conditionalFormatting sqref="J21:M21">
    <cfRule type="expression" dxfId="3965" priority="3985">
      <formula>($D21=$A$2)</formula>
    </cfRule>
    <cfRule type="expression" dxfId="3964" priority="3986">
      <formula>OR($E21="토",$E21="일")</formula>
    </cfRule>
  </conditionalFormatting>
  <conditionalFormatting sqref="L20:M20">
    <cfRule type="expression" dxfId="3963" priority="3981">
      <formula>$D20=$A$2</formula>
    </cfRule>
  </conditionalFormatting>
  <conditionalFormatting sqref="L20:M20">
    <cfRule type="expression" dxfId="3962" priority="3982">
      <formula>($D20=$A$2)</formula>
    </cfRule>
    <cfRule type="expression" dxfId="3961" priority="3983">
      <formula>OR($E20="토",$E20="일")</formula>
    </cfRule>
  </conditionalFormatting>
  <conditionalFormatting sqref="L23:M23">
    <cfRule type="expression" dxfId="3960" priority="3978">
      <formula>$D23=$A$2</formula>
    </cfRule>
  </conditionalFormatting>
  <conditionalFormatting sqref="L23:M23">
    <cfRule type="expression" dxfId="3959" priority="3979">
      <formula>($D23=$A$2)</formula>
    </cfRule>
    <cfRule type="expression" dxfId="3958" priority="3980">
      <formula>OR($E23="토",$E23="일")</formula>
    </cfRule>
  </conditionalFormatting>
  <conditionalFormatting sqref="L23:M23">
    <cfRule type="expression" dxfId="3957" priority="3975">
      <formula>$D23=$A$2</formula>
    </cfRule>
  </conditionalFormatting>
  <conditionalFormatting sqref="L23:M23">
    <cfRule type="expression" dxfId="3956" priority="3976">
      <formula>($D23=$A$2)</formula>
    </cfRule>
    <cfRule type="expression" dxfId="3955" priority="3977">
      <formula>OR($E23="토",$E23="일")</formula>
    </cfRule>
  </conditionalFormatting>
  <conditionalFormatting sqref="H23:H28">
    <cfRule type="expression" dxfId="3954" priority="3972">
      <formula>$D23=$A$2</formula>
    </cfRule>
  </conditionalFormatting>
  <conditionalFormatting sqref="H23:H28">
    <cfRule type="expression" dxfId="3953" priority="3973">
      <formula>($D23=$A$2)</formula>
    </cfRule>
    <cfRule type="expression" dxfId="3952" priority="3974">
      <formula>OR($E23="토",$E23="일")</formula>
    </cfRule>
  </conditionalFormatting>
  <conditionalFormatting sqref="J23:M23">
    <cfRule type="expression" dxfId="3951" priority="3969">
      <formula>$D23=$A$2</formula>
    </cfRule>
  </conditionalFormatting>
  <conditionalFormatting sqref="J23:M23">
    <cfRule type="expression" dxfId="3950" priority="3970">
      <formula>($D23=$A$2)</formula>
    </cfRule>
    <cfRule type="expression" dxfId="3949" priority="3971">
      <formula>OR($E23="토",$E23="일")</formula>
    </cfRule>
  </conditionalFormatting>
  <conditionalFormatting sqref="J20:M20">
    <cfRule type="expression" dxfId="3948" priority="3960">
      <formula>$D20=$A$2</formula>
    </cfRule>
  </conditionalFormatting>
  <conditionalFormatting sqref="J20:M20">
    <cfRule type="expression" dxfId="3947" priority="3961">
      <formula>($D20=$A$2)</formula>
    </cfRule>
    <cfRule type="expression" dxfId="3946" priority="3962">
      <formula>OR($E20="토",$E20="일")</formula>
    </cfRule>
  </conditionalFormatting>
  <conditionalFormatting sqref="L19:M19">
    <cfRule type="expression" dxfId="3945" priority="3957">
      <formula>$D19=$A$2</formula>
    </cfRule>
  </conditionalFormatting>
  <conditionalFormatting sqref="L19:M19">
    <cfRule type="expression" dxfId="3944" priority="3958">
      <formula>($D19=$A$2)</formula>
    </cfRule>
    <cfRule type="expression" dxfId="3943" priority="3959">
      <formula>OR($E19="토",$E19="일")</formula>
    </cfRule>
  </conditionalFormatting>
  <conditionalFormatting sqref="H21:H23">
    <cfRule type="expression" dxfId="3942" priority="3954">
      <formula>$D21=$A$2</formula>
    </cfRule>
  </conditionalFormatting>
  <conditionalFormatting sqref="H21:H23">
    <cfRule type="expression" dxfId="3941" priority="3955">
      <formula>($D21=$A$2)</formula>
    </cfRule>
    <cfRule type="expression" dxfId="3940" priority="3956">
      <formula>OR($E21="토",$E21="일")</formula>
    </cfRule>
  </conditionalFormatting>
  <conditionalFormatting sqref="H19:H23">
    <cfRule type="expression" dxfId="3939" priority="3951">
      <formula>$D19=$A$2</formula>
    </cfRule>
  </conditionalFormatting>
  <conditionalFormatting sqref="H19:H23">
    <cfRule type="expression" dxfId="3938" priority="3952">
      <formula>($D19=$A$2)</formula>
    </cfRule>
    <cfRule type="expression" dxfId="3937" priority="3953">
      <formula>OR($E19="토",$E19="일")</formula>
    </cfRule>
  </conditionalFormatting>
  <conditionalFormatting sqref="L18:M18">
    <cfRule type="expression" dxfId="3936" priority="3948">
      <formula>$D18=$A$2</formula>
    </cfRule>
  </conditionalFormatting>
  <conditionalFormatting sqref="L18:M18">
    <cfRule type="expression" dxfId="3935" priority="3949">
      <formula>($D18=$A$2)</formula>
    </cfRule>
    <cfRule type="expression" dxfId="3934" priority="3950">
      <formula>OR($E18="토",$E18="일")</formula>
    </cfRule>
  </conditionalFormatting>
  <conditionalFormatting sqref="J21:M21">
    <cfRule type="expression" dxfId="3933" priority="3945">
      <formula>$D21=$A$2</formula>
    </cfRule>
  </conditionalFormatting>
  <conditionalFormatting sqref="J21:M21">
    <cfRule type="expression" dxfId="3932" priority="3946">
      <formula>($D21=$A$2)</formula>
    </cfRule>
    <cfRule type="expression" dxfId="3931" priority="3947">
      <formula>OR($E21="토",$E21="일")</formula>
    </cfRule>
  </conditionalFormatting>
  <conditionalFormatting sqref="L20:M20">
    <cfRule type="expression" dxfId="3930" priority="3942">
      <formula>$D20=$A$2</formula>
    </cfRule>
  </conditionalFormatting>
  <conditionalFormatting sqref="L20:M20">
    <cfRule type="expression" dxfId="3929" priority="3943">
      <formula>($D20=$A$2)</formula>
    </cfRule>
    <cfRule type="expression" dxfId="3928" priority="3944">
      <formula>OR($E20="토",$E20="일")</formula>
    </cfRule>
  </conditionalFormatting>
  <conditionalFormatting sqref="J21:M21">
    <cfRule type="expression" dxfId="3927" priority="3939">
      <formula>$D21=$A$2</formula>
    </cfRule>
  </conditionalFormatting>
  <conditionalFormatting sqref="J21:M21">
    <cfRule type="expression" dxfId="3926" priority="3940">
      <formula>($D21=$A$2)</formula>
    </cfRule>
    <cfRule type="expression" dxfId="3925" priority="3941">
      <formula>OR($E21="토",$E21="일")</formula>
    </cfRule>
  </conditionalFormatting>
  <conditionalFormatting sqref="H23:H25">
    <cfRule type="expression" dxfId="3924" priority="3936">
      <formula>$D23=$A$2</formula>
    </cfRule>
  </conditionalFormatting>
  <conditionalFormatting sqref="H23:H25">
    <cfRule type="expression" dxfId="3923" priority="3937">
      <formula>($D23=$A$2)</formula>
    </cfRule>
    <cfRule type="expression" dxfId="3922" priority="3938">
      <formula>OR($E23="토",$E23="일")</formula>
    </cfRule>
  </conditionalFormatting>
  <conditionalFormatting sqref="H21:H23">
    <cfRule type="expression" dxfId="3921" priority="3933">
      <formula>$D21=$A$2</formula>
    </cfRule>
  </conditionalFormatting>
  <conditionalFormatting sqref="H21:H23">
    <cfRule type="expression" dxfId="3920" priority="3934">
      <formula>($D21=$A$2)</formula>
    </cfRule>
    <cfRule type="expression" dxfId="3919" priority="3935">
      <formula>OR($E21="토",$E21="일")</formula>
    </cfRule>
  </conditionalFormatting>
  <conditionalFormatting sqref="L21:M21">
    <cfRule type="expression" dxfId="3918" priority="3927">
      <formula>$D21=$A$2</formula>
    </cfRule>
  </conditionalFormatting>
  <conditionalFormatting sqref="L21:M21">
    <cfRule type="expression" dxfId="3917" priority="3928">
      <formula>($D21=$A$2)</formula>
    </cfRule>
    <cfRule type="expression" dxfId="3916" priority="3929">
      <formula>OR($E21="토",$E21="일")</formula>
    </cfRule>
  </conditionalFormatting>
  <conditionalFormatting sqref="H23:H28">
    <cfRule type="expression" dxfId="3915" priority="3924">
      <formula>$D23=$A$2</formula>
    </cfRule>
  </conditionalFormatting>
  <conditionalFormatting sqref="H23:H28">
    <cfRule type="expression" dxfId="3914" priority="3925">
      <formula>($D23=$A$2)</formula>
    </cfRule>
    <cfRule type="expression" dxfId="3913" priority="3926">
      <formula>OR($E23="토",$E23="일")</formula>
    </cfRule>
  </conditionalFormatting>
  <conditionalFormatting sqref="J23:M23">
    <cfRule type="expression" dxfId="3912" priority="3921">
      <formula>$D23=$A$2</formula>
    </cfRule>
  </conditionalFormatting>
  <conditionalFormatting sqref="J23:M23">
    <cfRule type="expression" dxfId="3911" priority="3922">
      <formula>($D23=$A$2)</formula>
    </cfRule>
    <cfRule type="expression" dxfId="3910" priority="3923">
      <formula>OR($E23="토",$E23="일")</formula>
    </cfRule>
  </conditionalFormatting>
  <conditionalFormatting sqref="G24:G27">
    <cfRule type="expression" dxfId="3909" priority="3918">
      <formula>$D24&lt;=$A$2</formula>
    </cfRule>
  </conditionalFormatting>
  <conditionalFormatting sqref="G24:G27">
    <cfRule type="expression" dxfId="3908" priority="3919">
      <formula>($D24=$A$2)</formula>
    </cfRule>
    <cfRule type="expression" dxfId="3907" priority="3920">
      <formula>OR($E24="토",$E24="일")</formula>
    </cfRule>
  </conditionalFormatting>
  <conditionalFormatting sqref="L16:L18">
    <cfRule type="expression" dxfId="3906" priority="3915">
      <formula>$D16=$A$2</formula>
    </cfRule>
  </conditionalFormatting>
  <conditionalFormatting sqref="L16:L18">
    <cfRule type="expression" dxfId="3905" priority="3916">
      <formula>($D16=$A$2)</formula>
    </cfRule>
    <cfRule type="expression" dxfId="3904" priority="3917">
      <formula>OR($E16="토",$E16="일")</formula>
    </cfRule>
  </conditionalFormatting>
  <conditionalFormatting sqref="L19:L23">
    <cfRule type="expression" dxfId="3903" priority="3912">
      <formula>$D19=$A$2</formula>
    </cfRule>
  </conditionalFormatting>
  <conditionalFormatting sqref="L19:L23">
    <cfRule type="expression" dxfId="3902" priority="3913">
      <formula>($D19=$A$2)</formula>
    </cfRule>
    <cfRule type="expression" dxfId="3901" priority="3914">
      <formula>OR($E19="토",$E19="일")</formula>
    </cfRule>
  </conditionalFormatting>
  <conditionalFormatting sqref="L19:L23">
    <cfRule type="expression" dxfId="3900" priority="3909">
      <formula>$D19=$A$2</formula>
    </cfRule>
  </conditionalFormatting>
  <conditionalFormatting sqref="L19:L23">
    <cfRule type="expression" dxfId="3899" priority="3910">
      <formula>($D19=$A$2)</formula>
    </cfRule>
    <cfRule type="expression" dxfId="3898" priority="3911">
      <formula>OR($E19="토",$E19="일")</formula>
    </cfRule>
  </conditionalFormatting>
  <conditionalFormatting sqref="L19:L23">
    <cfRule type="expression" dxfId="3897" priority="3906">
      <formula>$D19=$A$2</formula>
    </cfRule>
  </conditionalFormatting>
  <conditionalFormatting sqref="L19:L23">
    <cfRule type="expression" dxfId="3896" priority="3907">
      <formula>($D19=$A$2)</formula>
    </cfRule>
    <cfRule type="expression" dxfId="3895" priority="3908">
      <formula>OR($E19="토",$E19="일")</formula>
    </cfRule>
  </conditionalFormatting>
  <conditionalFormatting sqref="L23:L28">
    <cfRule type="expression" dxfId="3894" priority="3903">
      <formula>$D23=$A$2</formula>
    </cfRule>
  </conditionalFormatting>
  <conditionalFormatting sqref="L23:L28">
    <cfRule type="expression" dxfId="3893" priority="3904">
      <formula>($D23=$A$2)</formula>
    </cfRule>
    <cfRule type="expression" dxfId="3892" priority="3905">
      <formula>OR($E23="토",$E23="일")</formula>
    </cfRule>
  </conditionalFormatting>
  <conditionalFormatting sqref="L23:L28">
    <cfRule type="expression" dxfId="3891" priority="3900">
      <formula>$D23=$A$2</formula>
    </cfRule>
  </conditionalFormatting>
  <conditionalFormatting sqref="L23:L28">
    <cfRule type="expression" dxfId="3890" priority="3901">
      <formula>($D23=$A$2)</formula>
    </cfRule>
    <cfRule type="expression" dxfId="3889" priority="3902">
      <formula>OR($E23="토",$E23="일")</formula>
    </cfRule>
  </conditionalFormatting>
  <conditionalFormatting sqref="L11:L12">
    <cfRule type="expression" dxfId="3888" priority="3897">
      <formula>$D11=$A$2</formula>
    </cfRule>
  </conditionalFormatting>
  <conditionalFormatting sqref="L11:L12">
    <cfRule type="expression" dxfId="3887" priority="3898">
      <formula>($D11=$A$2)</formula>
    </cfRule>
    <cfRule type="expression" dxfId="3886" priority="3899">
      <formula>OR($E11="토",$E11="일")</formula>
    </cfRule>
  </conditionalFormatting>
  <conditionalFormatting sqref="M23:M28">
    <cfRule type="expression" dxfId="3885" priority="3894">
      <formula>$D23=$A$2</formula>
    </cfRule>
  </conditionalFormatting>
  <conditionalFormatting sqref="M23:M28">
    <cfRule type="expression" dxfId="3884" priority="3895">
      <formula>($D23=$A$2)</formula>
    </cfRule>
    <cfRule type="expression" dxfId="3883" priority="3896">
      <formula>OR($E23="토",$E23="일")</formula>
    </cfRule>
  </conditionalFormatting>
  <conditionalFormatting sqref="M23:M28">
    <cfRule type="expression" dxfId="3882" priority="3891">
      <formula>$D23=$A$2</formula>
    </cfRule>
  </conditionalFormatting>
  <conditionalFormatting sqref="M23:M28">
    <cfRule type="expression" dxfId="3881" priority="3892">
      <formula>($D23=$A$2)</formula>
    </cfRule>
    <cfRule type="expression" dxfId="3880" priority="3893">
      <formula>OR($E23="토",$E23="일")</formula>
    </cfRule>
  </conditionalFormatting>
  <conditionalFormatting sqref="M23:M28">
    <cfRule type="expression" dxfId="3879" priority="3888">
      <formula>$D23=$A$2</formula>
    </cfRule>
  </conditionalFormatting>
  <conditionalFormatting sqref="M23:M28">
    <cfRule type="expression" dxfId="3878" priority="3889">
      <formula>($D23=$A$2)</formula>
    </cfRule>
    <cfRule type="expression" dxfId="3877" priority="3890">
      <formula>OR($E23="토",$E23="일")</formula>
    </cfRule>
  </conditionalFormatting>
  <conditionalFormatting sqref="M23:M28">
    <cfRule type="expression" dxfId="3876" priority="3885">
      <formula>$D23=$A$2</formula>
    </cfRule>
  </conditionalFormatting>
  <conditionalFormatting sqref="M23:M28">
    <cfRule type="expression" dxfId="3875" priority="3886">
      <formula>($D23=$A$2)</formula>
    </cfRule>
    <cfRule type="expression" dxfId="3874" priority="3887">
      <formula>OR($E23="토",$E23="일")</formula>
    </cfRule>
  </conditionalFormatting>
  <conditionalFormatting sqref="M23:M28">
    <cfRule type="expression" dxfId="3873" priority="3882">
      <formula>$D23=$A$2</formula>
    </cfRule>
  </conditionalFormatting>
  <conditionalFormatting sqref="M23:M28">
    <cfRule type="expression" dxfId="3872" priority="3883">
      <formula>($D23=$A$2)</formula>
    </cfRule>
    <cfRule type="expression" dxfId="3871" priority="3884">
      <formula>OR($E23="토",$E23="일")</formula>
    </cfRule>
  </conditionalFormatting>
  <conditionalFormatting sqref="M23:M28">
    <cfRule type="expression" dxfId="3870" priority="3879">
      <formula>$D23=$A$2</formula>
    </cfRule>
  </conditionalFormatting>
  <conditionalFormatting sqref="M23:M28">
    <cfRule type="expression" dxfId="3869" priority="3880">
      <formula>($D23=$A$2)</formula>
    </cfRule>
    <cfRule type="expression" dxfId="3868" priority="3881">
      <formula>OR($E23="토",$E23="일")</formula>
    </cfRule>
  </conditionalFormatting>
  <conditionalFormatting sqref="M23:M28">
    <cfRule type="expression" dxfId="3867" priority="3876">
      <formula>$D23=$A$2</formula>
    </cfRule>
  </conditionalFormatting>
  <conditionalFormatting sqref="M23:M28">
    <cfRule type="expression" dxfId="3866" priority="3877">
      <formula>($D23=$A$2)</formula>
    </cfRule>
    <cfRule type="expression" dxfId="3865" priority="3878">
      <formula>OR($E23="토",$E23="일")</formula>
    </cfRule>
  </conditionalFormatting>
  <conditionalFormatting sqref="M23:M28">
    <cfRule type="expression" dxfId="3864" priority="3873">
      <formula>$D23=$A$2</formula>
    </cfRule>
  </conditionalFormatting>
  <conditionalFormatting sqref="M23:M28">
    <cfRule type="expression" dxfId="3863" priority="3874">
      <formula>($D23=$A$2)</formula>
    </cfRule>
    <cfRule type="expression" dxfId="3862" priority="3875">
      <formula>OR($E23="토",$E23="일")</formula>
    </cfRule>
  </conditionalFormatting>
  <conditionalFormatting sqref="M23:M28">
    <cfRule type="expression" dxfId="3861" priority="3870">
      <formula>$D23=$A$2</formula>
    </cfRule>
  </conditionalFormatting>
  <conditionalFormatting sqref="M23:M28">
    <cfRule type="expression" dxfId="3860" priority="3871">
      <formula>($D23=$A$2)</formula>
    </cfRule>
    <cfRule type="expression" dxfId="3859" priority="3872">
      <formula>OR($E23="토",$E23="일")</formula>
    </cfRule>
  </conditionalFormatting>
  <conditionalFormatting sqref="M23:M28">
    <cfRule type="expression" dxfId="3858" priority="3867">
      <formula>$D23=$A$2</formula>
    </cfRule>
  </conditionalFormatting>
  <conditionalFormatting sqref="M23:M28">
    <cfRule type="expression" dxfId="3857" priority="3868">
      <formula>($D23=$A$2)</formula>
    </cfRule>
    <cfRule type="expression" dxfId="3856" priority="3869">
      <formula>OR($E23="토",$E23="일")</formula>
    </cfRule>
  </conditionalFormatting>
  <conditionalFormatting sqref="M23:M28">
    <cfRule type="expression" dxfId="3855" priority="3864">
      <formula>$D23=$A$2</formula>
    </cfRule>
  </conditionalFormatting>
  <conditionalFormatting sqref="M23:M28">
    <cfRule type="expression" dxfId="3854" priority="3865">
      <formula>($D23=$A$2)</formula>
    </cfRule>
    <cfRule type="expression" dxfId="3853" priority="3866">
      <formula>OR($E23="토",$E23="일")</formula>
    </cfRule>
  </conditionalFormatting>
  <conditionalFormatting sqref="L19:M19">
    <cfRule type="expression" dxfId="3852" priority="3861">
      <formula>$D19=$A$2</formula>
    </cfRule>
  </conditionalFormatting>
  <conditionalFormatting sqref="L19:M19">
    <cfRule type="expression" dxfId="3851" priority="3862">
      <formula>($D19=$A$2)</formula>
    </cfRule>
    <cfRule type="expression" dxfId="3850" priority="3863">
      <formula>OR($E19="토",$E19="일")</formula>
    </cfRule>
  </conditionalFormatting>
  <conditionalFormatting sqref="L19:M19">
    <cfRule type="expression" dxfId="3849" priority="3858">
      <formula>$D19=$A$2</formula>
    </cfRule>
  </conditionalFormatting>
  <conditionalFormatting sqref="L19:M19">
    <cfRule type="expression" dxfId="3848" priority="3859">
      <formula>($D19=$A$2)</formula>
    </cfRule>
    <cfRule type="expression" dxfId="3847" priority="3860">
      <formula>OR($E19="토",$E19="일")</formula>
    </cfRule>
  </conditionalFormatting>
  <conditionalFormatting sqref="L19:M19">
    <cfRule type="expression" dxfId="3846" priority="3855">
      <formula>$D19=$A$2</formula>
    </cfRule>
  </conditionalFormatting>
  <conditionalFormatting sqref="L19:M19">
    <cfRule type="expression" dxfId="3845" priority="3856">
      <formula>($D19=$A$2)</formula>
    </cfRule>
    <cfRule type="expression" dxfId="3844" priority="3857">
      <formula>OR($E19="토",$E19="일")</formula>
    </cfRule>
  </conditionalFormatting>
  <conditionalFormatting sqref="L19:M19">
    <cfRule type="expression" dxfId="3843" priority="3852">
      <formula>$D19=$A$2</formula>
    </cfRule>
  </conditionalFormatting>
  <conditionalFormatting sqref="L19:M19">
    <cfRule type="expression" dxfId="3842" priority="3853">
      <formula>($D19=$A$2)</formula>
    </cfRule>
    <cfRule type="expression" dxfId="3841" priority="3854">
      <formula>OR($E19="토",$E19="일")</formula>
    </cfRule>
  </conditionalFormatting>
  <conditionalFormatting sqref="L23:M23">
    <cfRule type="expression" dxfId="3840" priority="3837">
      <formula>$D23=$A$2</formula>
    </cfRule>
  </conditionalFormatting>
  <conditionalFormatting sqref="L23:M23">
    <cfRule type="expression" dxfId="3839" priority="3838">
      <formula>($D23=$A$2)</formula>
    </cfRule>
    <cfRule type="expression" dxfId="3838" priority="3839">
      <formula>OR($E23="토",$E23="일")</formula>
    </cfRule>
  </conditionalFormatting>
  <conditionalFormatting sqref="L23:M23">
    <cfRule type="expression" dxfId="3837" priority="3834">
      <formula>$D23=$A$2</formula>
    </cfRule>
  </conditionalFormatting>
  <conditionalFormatting sqref="L23:M23">
    <cfRule type="expression" dxfId="3836" priority="3835">
      <formula>($D23=$A$2)</formula>
    </cfRule>
    <cfRule type="expression" dxfId="3835" priority="3836">
      <formula>OR($E23="토",$E23="일")</formula>
    </cfRule>
  </conditionalFormatting>
  <conditionalFormatting sqref="L23:M23">
    <cfRule type="expression" dxfId="3834" priority="3831">
      <formula>$D23=$A$2</formula>
    </cfRule>
  </conditionalFormatting>
  <conditionalFormatting sqref="L23:M23">
    <cfRule type="expression" dxfId="3833" priority="3832">
      <formula>($D23=$A$2)</formula>
    </cfRule>
    <cfRule type="expression" dxfId="3832" priority="3833">
      <formula>OR($E23="토",$E23="일")</formula>
    </cfRule>
  </conditionalFormatting>
  <conditionalFormatting sqref="J23:M23">
    <cfRule type="expression" dxfId="3831" priority="3828">
      <formula>$D23=$A$2</formula>
    </cfRule>
  </conditionalFormatting>
  <conditionalFormatting sqref="J23:M23">
    <cfRule type="expression" dxfId="3830" priority="3829">
      <formula>($D23=$A$2)</formula>
    </cfRule>
    <cfRule type="expression" dxfId="3829" priority="3830">
      <formula>OR($E23="토",$E23="일")</formula>
    </cfRule>
  </conditionalFormatting>
  <conditionalFormatting sqref="L24:M24">
    <cfRule type="expression" dxfId="3828" priority="3822">
      <formula>$D24=$A$2</formula>
    </cfRule>
  </conditionalFormatting>
  <conditionalFormatting sqref="L24:M24">
    <cfRule type="expression" dxfId="3827" priority="3823">
      <formula>($D24=$A$2)</formula>
    </cfRule>
    <cfRule type="expression" dxfId="3826" priority="3824">
      <formula>OR($E24="토",$E24="일")</formula>
    </cfRule>
  </conditionalFormatting>
  <conditionalFormatting sqref="L24:M24">
    <cfRule type="expression" dxfId="3825" priority="3819">
      <formula>$D24=$A$2</formula>
    </cfRule>
  </conditionalFormatting>
  <conditionalFormatting sqref="L24:M24">
    <cfRule type="expression" dxfId="3824" priority="3820">
      <formula>($D24=$A$2)</formula>
    </cfRule>
    <cfRule type="expression" dxfId="3823" priority="3821">
      <formula>OR($E24="토",$E24="일")</formula>
    </cfRule>
  </conditionalFormatting>
  <conditionalFormatting sqref="L24:M24">
    <cfRule type="expression" dxfId="3822" priority="3816">
      <formula>$D24=$A$2</formula>
    </cfRule>
  </conditionalFormatting>
  <conditionalFormatting sqref="L24:M24">
    <cfRule type="expression" dxfId="3821" priority="3817">
      <formula>($D24=$A$2)</formula>
    </cfRule>
    <cfRule type="expression" dxfId="3820" priority="3818">
      <formula>OR($E24="토",$E24="일")</formula>
    </cfRule>
  </conditionalFormatting>
  <conditionalFormatting sqref="L24:M24">
    <cfRule type="expression" dxfId="3819" priority="3813">
      <formula>$D24=$A$2</formula>
    </cfRule>
  </conditionalFormatting>
  <conditionalFormatting sqref="L24:M24">
    <cfRule type="expression" dxfId="3818" priority="3814">
      <formula>($D24=$A$2)</formula>
    </cfRule>
    <cfRule type="expression" dxfId="3817" priority="3815">
      <formula>OR($E24="토",$E24="일")</formula>
    </cfRule>
  </conditionalFormatting>
  <conditionalFormatting sqref="L24:M24">
    <cfRule type="expression" dxfId="3816" priority="3810">
      <formula>$D24=$A$2</formula>
    </cfRule>
  </conditionalFormatting>
  <conditionalFormatting sqref="L24:M24">
    <cfRule type="expression" dxfId="3815" priority="3811">
      <formula>($D24=$A$2)</formula>
    </cfRule>
    <cfRule type="expression" dxfId="3814" priority="3812">
      <formula>OR($E24="토",$E24="일")</formula>
    </cfRule>
  </conditionalFormatting>
  <conditionalFormatting sqref="J24:M24">
    <cfRule type="expression" dxfId="3813" priority="3807">
      <formula>$D24=$A$2</formula>
    </cfRule>
  </conditionalFormatting>
  <conditionalFormatting sqref="J24:M24">
    <cfRule type="expression" dxfId="3812" priority="3808">
      <formula>($D24=$A$2)</formula>
    </cfRule>
    <cfRule type="expression" dxfId="3811" priority="3809">
      <formula>OR($E24="토",$E24="일")</formula>
    </cfRule>
  </conditionalFormatting>
  <conditionalFormatting sqref="J24:M24">
    <cfRule type="expression" dxfId="3810" priority="3804">
      <formula>$D24=$A$2</formula>
    </cfRule>
  </conditionalFormatting>
  <conditionalFormatting sqref="J24:M24">
    <cfRule type="expression" dxfId="3809" priority="3805">
      <formula>($D24=$A$2)</formula>
    </cfRule>
    <cfRule type="expression" dxfId="3808" priority="3806">
      <formula>OR($E24="토",$E24="일")</formula>
    </cfRule>
  </conditionalFormatting>
  <conditionalFormatting sqref="L24:M24">
    <cfRule type="expression" dxfId="3807" priority="3801">
      <formula>$D24=$A$2</formula>
    </cfRule>
  </conditionalFormatting>
  <conditionalFormatting sqref="L24:M24">
    <cfRule type="expression" dxfId="3806" priority="3802">
      <formula>($D24=$A$2)</formula>
    </cfRule>
    <cfRule type="expression" dxfId="3805" priority="3803">
      <formula>OR($E24="토",$E24="일")</formula>
    </cfRule>
  </conditionalFormatting>
  <conditionalFormatting sqref="L24:M24">
    <cfRule type="expression" dxfId="3804" priority="3798">
      <formula>$D24=$A$2</formula>
    </cfRule>
  </conditionalFormatting>
  <conditionalFormatting sqref="L24:M24">
    <cfRule type="expression" dxfId="3803" priority="3799">
      <formula>($D24=$A$2)</formula>
    </cfRule>
    <cfRule type="expression" dxfId="3802" priority="3800">
      <formula>OR($E24="토",$E24="일")</formula>
    </cfRule>
  </conditionalFormatting>
  <conditionalFormatting sqref="L24:M24">
    <cfRule type="expression" dxfId="3801" priority="3795">
      <formula>$D24=$A$2</formula>
    </cfRule>
  </conditionalFormatting>
  <conditionalFormatting sqref="L24:M24">
    <cfRule type="expression" dxfId="3800" priority="3796">
      <formula>($D24=$A$2)</formula>
    </cfRule>
    <cfRule type="expression" dxfId="3799" priority="3797">
      <formula>OR($E24="토",$E24="일")</formula>
    </cfRule>
  </conditionalFormatting>
  <conditionalFormatting sqref="J24:M24">
    <cfRule type="expression" dxfId="3798" priority="3792">
      <formula>$D24=$A$2</formula>
    </cfRule>
  </conditionalFormatting>
  <conditionalFormatting sqref="J24:M24">
    <cfRule type="expression" dxfId="3797" priority="3793">
      <formula>($D24=$A$2)</formula>
    </cfRule>
    <cfRule type="expression" dxfId="3796" priority="3794">
      <formula>OR($E24="토",$E24="일")</formula>
    </cfRule>
  </conditionalFormatting>
  <conditionalFormatting sqref="K19:K23">
    <cfRule type="expression" dxfId="3795" priority="3789">
      <formula>$D19=$A$2</formula>
    </cfRule>
  </conditionalFormatting>
  <conditionalFormatting sqref="K19:K23">
    <cfRule type="expression" dxfId="3794" priority="3790">
      <formula>($D19=$A$2)</formula>
    </cfRule>
    <cfRule type="expression" dxfId="3793" priority="3791">
      <formula>OR($E19="토",$E19="일")</formula>
    </cfRule>
  </conditionalFormatting>
  <conditionalFormatting sqref="K19:K23">
    <cfRule type="expression" dxfId="3792" priority="3786">
      <formula>$D19=$A$2</formula>
    </cfRule>
  </conditionalFormatting>
  <conditionalFormatting sqref="K19:K23">
    <cfRule type="expression" dxfId="3791" priority="3787">
      <formula>($D19=$A$2)</formula>
    </cfRule>
    <cfRule type="expression" dxfId="3790" priority="3788">
      <formula>OR($E19="토",$E19="일")</formula>
    </cfRule>
  </conditionalFormatting>
  <conditionalFormatting sqref="M20:M23">
    <cfRule type="expression" dxfId="3789" priority="3783">
      <formula>$D20=$A$2</formula>
    </cfRule>
  </conditionalFormatting>
  <conditionalFormatting sqref="M20:M23">
    <cfRule type="expression" dxfId="3788" priority="3784">
      <formula>($D20=$A$2)</formula>
    </cfRule>
    <cfRule type="expression" dxfId="3787" priority="3785">
      <formula>OR($E20="토",$E20="일")</formula>
    </cfRule>
  </conditionalFormatting>
  <conditionalFormatting sqref="M20:M23">
    <cfRule type="expression" dxfId="3786" priority="3780">
      <formula>$D20=$A$2</formula>
    </cfRule>
  </conditionalFormatting>
  <conditionalFormatting sqref="M20:M23">
    <cfRule type="expression" dxfId="3785" priority="3781">
      <formula>($D20=$A$2)</formula>
    </cfRule>
    <cfRule type="expression" dxfId="3784" priority="3782">
      <formula>OR($E20="토",$E20="일")</formula>
    </cfRule>
  </conditionalFormatting>
  <conditionalFormatting sqref="H21:H23">
    <cfRule type="expression" dxfId="3783" priority="3777">
      <formula>$D21=$A$2</formula>
    </cfRule>
  </conditionalFormatting>
  <conditionalFormatting sqref="H21:H23">
    <cfRule type="expression" dxfId="3782" priority="3778">
      <formula>($D21=$A$2)</formula>
    </cfRule>
    <cfRule type="expression" dxfId="3781" priority="3779">
      <formula>OR($E21="토",$E21="일")</formula>
    </cfRule>
  </conditionalFormatting>
  <conditionalFormatting sqref="K19:K23">
    <cfRule type="expression" dxfId="3780" priority="3774">
      <formula>$D19=$A$2</formula>
    </cfRule>
  </conditionalFormatting>
  <conditionalFormatting sqref="K19:K23">
    <cfRule type="expression" dxfId="3779" priority="3775">
      <formula>($D19=$A$2)</formula>
    </cfRule>
    <cfRule type="expression" dxfId="3778" priority="3776">
      <formula>OR($E19="토",$E19="일")</formula>
    </cfRule>
  </conditionalFormatting>
  <conditionalFormatting sqref="K19:K23">
    <cfRule type="expression" dxfId="3777" priority="3771">
      <formula>$D19=$A$2</formula>
    </cfRule>
  </conditionalFormatting>
  <conditionalFormatting sqref="K19:K23">
    <cfRule type="expression" dxfId="3776" priority="3772">
      <formula>($D19=$A$2)</formula>
    </cfRule>
    <cfRule type="expression" dxfId="3775" priority="3773">
      <formula>OR($E19="토",$E19="일")</formula>
    </cfRule>
  </conditionalFormatting>
  <conditionalFormatting sqref="I19:I25">
    <cfRule type="expression" dxfId="3774" priority="3768">
      <formula>$D19&lt;=$A$2</formula>
    </cfRule>
  </conditionalFormatting>
  <conditionalFormatting sqref="I19:I25">
    <cfRule type="expression" dxfId="3773" priority="3769">
      <formula>($D19=$A$2)</formula>
    </cfRule>
    <cfRule type="expression" dxfId="3772" priority="3770">
      <formula>OR($E19="토",$E19="일")</formula>
    </cfRule>
  </conditionalFormatting>
  <conditionalFormatting sqref="I19:I25">
    <cfRule type="expression" dxfId="3771" priority="3767">
      <formula>$D19=$A$2</formula>
    </cfRule>
  </conditionalFormatting>
  <conditionalFormatting sqref="J21:M21">
    <cfRule type="expression" dxfId="3770" priority="3765">
      <formula>($D21=$A$2)</formula>
    </cfRule>
    <cfRule type="expression" dxfId="3769" priority="3766">
      <formula>OR($E21="토",$E21="일")</formula>
    </cfRule>
  </conditionalFormatting>
  <conditionalFormatting sqref="K20:M20">
    <cfRule type="expression" dxfId="3768" priority="3762">
      <formula>$D20=$A$2</formula>
    </cfRule>
  </conditionalFormatting>
  <conditionalFormatting sqref="K20:M20">
    <cfRule type="expression" dxfId="3767" priority="3763">
      <formula>($D20=$A$2)</formula>
    </cfRule>
    <cfRule type="expression" dxfId="3766" priority="3764">
      <formula>OR($E20="토",$E20="일")</formula>
    </cfRule>
  </conditionalFormatting>
  <conditionalFormatting sqref="G21:H21">
    <cfRule type="expression" dxfId="3765" priority="3756">
      <formula>$D21=$A$2</formula>
    </cfRule>
  </conditionalFormatting>
  <conditionalFormatting sqref="G21:H21">
    <cfRule type="expression" dxfId="3764" priority="3757">
      <formula>($D21=$A$2)</formula>
    </cfRule>
    <cfRule type="expression" dxfId="3763" priority="3758">
      <formula>OR($E21="토",$E21="일")</formula>
    </cfRule>
  </conditionalFormatting>
  <conditionalFormatting sqref="L19:L22">
    <cfRule type="expression" dxfId="3762" priority="3753">
      <formula>$D19=$A$2</formula>
    </cfRule>
  </conditionalFormatting>
  <conditionalFormatting sqref="L19:L22">
    <cfRule type="expression" dxfId="3761" priority="3754">
      <formula>($D19=$A$2)</formula>
    </cfRule>
    <cfRule type="expression" dxfId="3760" priority="3755">
      <formula>OR($E19="토",$E19="일")</formula>
    </cfRule>
  </conditionalFormatting>
  <conditionalFormatting sqref="L19:L22">
    <cfRule type="expression" dxfId="3759" priority="3750">
      <formula>$D19=$A$2</formula>
    </cfRule>
  </conditionalFormatting>
  <conditionalFormatting sqref="L19:L22">
    <cfRule type="expression" dxfId="3758" priority="3751">
      <formula>($D19=$A$2)</formula>
    </cfRule>
    <cfRule type="expression" dxfId="3757" priority="3752">
      <formula>OR($E19="토",$E19="일")</formula>
    </cfRule>
  </conditionalFormatting>
  <conditionalFormatting sqref="L19:M19">
    <cfRule type="expression" dxfId="3756" priority="3747">
      <formula>$D19=$A$2</formula>
    </cfRule>
  </conditionalFormatting>
  <conditionalFormatting sqref="L19:M19">
    <cfRule type="expression" dxfId="3755" priority="3748">
      <formula>($D19=$A$2)</formula>
    </cfRule>
    <cfRule type="expression" dxfId="3754" priority="3749">
      <formula>OR($E19="토",$E19="일")</formula>
    </cfRule>
  </conditionalFormatting>
  <conditionalFormatting sqref="L19:L22">
    <cfRule type="expression" dxfId="3753" priority="3744">
      <formula>$D19=$A$2</formula>
    </cfRule>
  </conditionalFormatting>
  <conditionalFormatting sqref="L19:L22">
    <cfRule type="expression" dxfId="3752" priority="3745">
      <formula>($D19=$A$2)</formula>
    </cfRule>
    <cfRule type="expression" dxfId="3751" priority="3746">
      <formula>OR($E19="토",$E19="일")</formula>
    </cfRule>
  </conditionalFormatting>
  <conditionalFormatting sqref="L21:M21">
    <cfRule type="expression" dxfId="3750" priority="3738">
      <formula>$D21=$A$2</formula>
    </cfRule>
  </conditionalFormatting>
  <conditionalFormatting sqref="L21:M21">
    <cfRule type="expression" dxfId="3749" priority="3739">
      <formula>($D21=$A$2)</formula>
    </cfRule>
    <cfRule type="expression" dxfId="3748" priority="3740">
      <formula>OR($E21="토",$E21="일")</formula>
    </cfRule>
  </conditionalFormatting>
  <conditionalFormatting sqref="L19:L22">
    <cfRule type="expression" dxfId="3747" priority="3735">
      <formula>$D19=$A$2</formula>
    </cfRule>
  </conditionalFormatting>
  <conditionalFormatting sqref="L19:L22">
    <cfRule type="expression" dxfId="3746" priority="3736">
      <formula>($D19=$A$2)</formula>
    </cfRule>
    <cfRule type="expression" dxfId="3745" priority="3737">
      <formula>OR($E19="토",$E19="일")</formula>
    </cfRule>
  </conditionalFormatting>
  <conditionalFormatting sqref="L25:M25">
    <cfRule type="expression" dxfId="3744" priority="3729">
      <formula>$D25=$A$2</formula>
    </cfRule>
  </conditionalFormatting>
  <conditionalFormatting sqref="L25:M25">
    <cfRule type="expression" dxfId="3743" priority="3730">
      <formula>($D25=$A$2)</formula>
    </cfRule>
    <cfRule type="expression" dxfId="3742" priority="3731">
      <formula>OR($E25="토",$E25="일")</formula>
    </cfRule>
  </conditionalFormatting>
  <conditionalFormatting sqref="G23:H23">
    <cfRule type="expression" dxfId="3741" priority="3726">
      <formula>$D23=$A$2</formula>
    </cfRule>
  </conditionalFormatting>
  <conditionalFormatting sqref="G23:H23">
    <cfRule type="expression" dxfId="3740" priority="3727">
      <formula>($D23=$A$2)</formula>
    </cfRule>
    <cfRule type="expression" dxfId="3739" priority="3728">
      <formula>OR($E23="토",$E23="일")</formula>
    </cfRule>
  </conditionalFormatting>
  <conditionalFormatting sqref="J23:M23">
    <cfRule type="expression" dxfId="3738" priority="3720">
      <formula>$D23=$A$2</formula>
    </cfRule>
  </conditionalFormatting>
  <conditionalFormatting sqref="J23:M23">
    <cfRule type="expression" dxfId="3737" priority="3721">
      <formula>($D23=$A$2)</formula>
    </cfRule>
    <cfRule type="expression" dxfId="3736" priority="3722">
      <formula>OR($E23="토",$E23="일")</formula>
    </cfRule>
  </conditionalFormatting>
  <conditionalFormatting sqref="L25:M25">
    <cfRule type="expression" dxfId="3735" priority="3714">
      <formula>$D25=$A$2</formula>
    </cfRule>
  </conditionalFormatting>
  <conditionalFormatting sqref="L25:M25">
    <cfRule type="expression" dxfId="3734" priority="3715">
      <formula>($D25=$A$2)</formula>
    </cfRule>
    <cfRule type="expression" dxfId="3733" priority="3716">
      <formula>OR($E25="토",$E25="일")</formula>
    </cfRule>
  </conditionalFormatting>
  <conditionalFormatting sqref="L25:M25">
    <cfRule type="expression" dxfId="3732" priority="3711">
      <formula>$D25=$A$2</formula>
    </cfRule>
  </conditionalFormatting>
  <conditionalFormatting sqref="L25:M25">
    <cfRule type="expression" dxfId="3731" priority="3712">
      <formula>($D25=$A$2)</formula>
    </cfRule>
    <cfRule type="expression" dxfId="3730" priority="3713">
      <formula>OR($E25="토",$E25="일")</formula>
    </cfRule>
  </conditionalFormatting>
  <conditionalFormatting sqref="J25:M25">
    <cfRule type="expression" dxfId="3729" priority="3708">
      <formula>$D25=$A$2</formula>
    </cfRule>
  </conditionalFormatting>
  <conditionalFormatting sqref="J25:M25">
    <cfRule type="expression" dxfId="3728" priority="3709">
      <formula>($D25=$A$2)</formula>
    </cfRule>
    <cfRule type="expression" dxfId="3727" priority="3710">
      <formula>OR($E25="토",$E25="일")</formula>
    </cfRule>
  </conditionalFormatting>
  <conditionalFormatting sqref="G24:H24">
    <cfRule type="expression" dxfId="3726" priority="3705">
      <formula>$D24=$A$2</formula>
    </cfRule>
  </conditionalFormatting>
  <conditionalFormatting sqref="G24:H24">
    <cfRule type="expression" dxfId="3725" priority="3706">
      <formula>($D24=$A$2)</formula>
    </cfRule>
    <cfRule type="expression" dxfId="3724" priority="3707">
      <formula>OR($E24="토",$E24="일")</formula>
    </cfRule>
  </conditionalFormatting>
  <conditionalFormatting sqref="J24:M24">
    <cfRule type="expression" dxfId="3723" priority="3702">
      <formula>$D24=$A$2</formula>
    </cfRule>
  </conditionalFormatting>
  <conditionalFormatting sqref="J24:M24">
    <cfRule type="expression" dxfId="3722" priority="3703">
      <formula>($D24=$A$2)</formula>
    </cfRule>
    <cfRule type="expression" dxfId="3721" priority="3704">
      <formula>OR($E24="토",$E24="일")</formula>
    </cfRule>
  </conditionalFormatting>
  <conditionalFormatting sqref="K21:M21">
    <cfRule type="expression" dxfId="3720" priority="3696">
      <formula>$D21=$A$2</formula>
    </cfRule>
  </conditionalFormatting>
  <conditionalFormatting sqref="K21:M21">
    <cfRule type="expression" dxfId="3719" priority="3697">
      <formula>($D21=$A$2)</formula>
    </cfRule>
    <cfRule type="expression" dxfId="3718" priority="3698">
      <formula>OR($E21="토",$E21="일")</formula>
    </cfRule>
  </conditionalFormatting>
  <conditionalFormatting sqref="H23:H26">
    <cfRule type="expression" dxfId="3717" priority="3693">
      <formula>$D23=$A$2</formula>
    </cfRule>
  </conditionalFormatting>
  <conditionalFormatting sqref="H23:H26">
    <cfRule type="expression" dxfId="3716" priority="3694">
      <formula>($D23=$A$2)</formula>
    </cfRule>
    <cfRule type="expression" dxfId="3715" priority="3695">
      <formula>OR($E23="토",$E23="일")</formula>
    </cfRule>
  </conditionalFormatting>
  <conditionalFormatting sqref="H23:H25">
    <cfRule type="expression" dxfId="3714" priority="3690">
      <formula>$D23=$A$2</formula>
    </cfRule>
  </conditionalFormatting>
  <conditionalFormatting sqref="H23:H25">
    <cfRule type="expression" dxfId="3713" priority="3691">
      <formula>($D23=$A$2)</formula>
    </cfRule>
    <cfRule type="expression" dxfId="3712" priority="3692">
      <formula>OR($E23="토",$E23="일")</formula>
    </cfRule>
  </conditionalFormatting>
  <conditionalFormatting sqref="L20:M20">
    <cfRule type="expression" dxfId="3711" priority="3687">
      <formula>$D20=$A$2</formula>
    </cfRule>
  </conditionalFormatting>
  <conditionalFormatting sqref="L20:M20">
    <cfRule type="expression" dxfId="3710" priority="3688">
      <formula>($D20=$A$2)</formula>
    </cfRule>
    <cfRule type="expression" dxfId="3709" priority="3689">
      <formula>OR($E20="토",$E20="일")</formula>
    </cfRule>
  </conditionalFormatting>
  <conditionalFormatting sqref="J23:M23">
    <cfRule type="expression" dxfId="3708" priority="3684">
      <formula>$D23=$A$2</formula>
    </cfRule>
  </conditionalFormatting>
  <conditionalFormatting sqref="J23:M23">
    <cfRule type="expression" dxfId="3707" priority="3685">
      <formula>($D23=$A$2)</formula>
    </cfRule>
    <cfRule type="expression" dxfId="3706" priority="3686">
      <formula>OR($E23="토",$E23="일")</formula>
    </cfRule>
  </conditionalFormatting>
  <conditionalFormatting sqref="J23:M23">
    <cfRule type="expression" dxfId="3705" priority="3678">
      <formula>$D23=$A$2</formula>
    </cfRule>
  </conditionalFormatting>
  <conditionalFormatting sqref="J23:M23">
    <cfRule type="expression" dxfId="3704" priority="3679">
      <formula>($D23=$A$2)</formula>
    </cfRule>
    <cfRule type="expression" dxfId="3703" priority="3680">
      <formula>OR($E23="토",$E23="일")</formula>
    </cfRule>
  </conditionalFormatting>
  <conditionalFormatting sqref="H23:H27">
    <cfRule type="expression" dxfId="3702" priority="3675">
      <formula>$D23=$A$2</formula>
    </cfRule>
  </conditionalFormatting>
  <conditionalFormatting sqref="H23:H27">
    <cfRule type="expression" dxfId="3701" priority="3676">
      <formula>($D23=$A$2)</formula>
    </cfRule>
    <cfRule type="expression" dxfId="3700" priority="3677">
      <formula>OR($E23="토",$E23="일")</formula>
    </cfRule>
  </conditionalFormatting>
  <conditionalFormatting sqref="H23:H26">
    <cfRule type="expression" dxfId="3699" priority="3672">
      <formula>$D23=$A$2</formula>
    </cfRule>
  </conditionalFormatting>
  <conditionalFormatting sqref="H23:H26">
    <cfRule type="expression" dxfId="3698" priority="3673">
      <formula>($D23=$A$2)</formula>
    </cfRule>
    <cfRule type="expression" dxfId="3697" priority="3674">
      <formula>OR($E23="토",$E23="일")</formula>
    </cfRule>
  </conditionalFormatting>
  <conditionalFormatting sqref="J24:M24">
    <cfRule type="expression" dxfId="3696" priority="3669">
      <formula>$D24=$A$2</formula>
    </cfRule>
  </conditionalFormatting>
  <conditionalFormatting sqref="J24:M24">
    <cfRule type="expression" dxfId="3695" priority="3670">
      <formula>($D24=$A$2)</formula>
    </cfRule>
    <cfRule type="expression" dxfId="3694" priority="3671">
      <formula>OR($E24="토",$E24="일")</formula>
    </cfRule>
  </conditionalFormatting>
  <conditionalFormatting sqref="L23:M23">
    <cfRule type="expression" dxfId="3693" priority="3666">
      <formula>$D23=$A$2</formula>
    </cfRule>
  </conditionalFormatting>
  <conditionalFormatting sqref="L23:M23">
    <cfRule type="expression" dxfId="3692" priority="3667">
      <formula>($D23=$A$2)</formula>
    </cfRule>
    <cfRule type="expression" dxfId="3691" priority="3668">
      <formula>OR($E23="토",$E23="일")</formula>
    </cfRule>
  </conditionalFormatting>
  <conditionalFormatting sqref="J25:M25">
    <cfRule type="expression" dxfId="3690" priority="3663">
      <formula>$D25=$A$2</formula>
    </cfRule>
  </conditionalFormatting>
  <conditionalFormatting sqref="J25:M25">
    <cfRule type="expression" dxfId="3689" priority="3664">
      <formula>($D25=$A$2)</formula>
    </cfRule>
    <cfRule type="expression" dxfId="3688" priority="3665">
      <formula>OR($E25="토",$E25="일")</formula>
    </cfRule>
  </conditionalFormatting>
  <conditionalFormatting sqref="L23:L25">
    <cfRule type="expression" dxfId="3687" priority="3660">
      <formula>$D23=$A$2</formula>
    </cfRule>
  </conditionalFormatting>
  <conditionalFormatting sqref="L23:L25">
    <cfRule type="expression" dxfId="3686" priority="3661">
      <formula>($D23=$A$2)</formula>
    </cfRule>
    <cfRule type="expression" dxfId="3685" priority="3662">
      <formula>OR($E23="토",$E23="일")</formula>
    </cfRule>
  </conditionalFormatting>
  <conditionalFormatting sqref="L23:L25">
    <cfRule type="expression" dxfId="3684" priority="3657">
      <formula>$D23=$A$2</formula>
    </cfRule>
  </conditionalFormatting>
  <conditionalFormatting sqref="L23:L25">
    <cfRule type="expression" dxfId="3683" priority="3658">
      <formula>($D23=$A$2)</formula>
    </cfRule>
    <cfRule type="expression" dxfId="3682" priority="3659">
      <formula>OR($E23="토",$E23="일")</formula>
    </cfRule>
  </conditionalFormatting>
  <conditionalFormatting sqref="L23:L25">
    <cfRule type="expression" dxfId="3681" priority="3654">
      <formula>$D23=$A$2</formula>
    </cfRule>
  </conditionalFormatting>
  <conditionalFormatting sqref="L23:L25">
    <cfRule type="expression" dxfId="3680" priority="3655">
      <formula>($D23=$A$2)</formula>
    </cfRule>
    <cfRule type="expression" dxfId="3679" priority="3656">
      <formula>OR($E23="토",$E23="일")</formula>
    </cfRule>
  </conditionalFormatting>
  <conditionalFormatting sqref="L21:M21">
    <cfRule type="expression" dxfId="3678" priority="3651">
      <formula>$D21=$A$2</formula>
    </cfRule>
  </conditionalFormatting>
  <conditionalFormatting sqref="L21:M21">
    <cfRule type="expression" dxfId="3677" priority="3652">
      <formula>($D21=$A$2)</formula>
    </cfRule>
    <cfRule type="expression" dxfId="3676" priority="3653">
      <formula>OR($E21="토",$E21="일")</formula>
    </cfRule>
  </conditionalFormatting>
  <conditionalFormatting sqref="L21:M21">
    <cfRule type="expression" dxfId="3675" priority="3648">
      <formula>$D21=$A$2</formula>
    </cfRule>
  </conditionalFormatting>
  <conditionalFormatting sqref="L21:M21">
    <cfRule type="expression" dxfId="3674" priority="3649">
      <formula>($D21=$A$2)</formula>
    </cfRule>
    <cfRule type="expression" dxfId="3673" priority="3650">
      <formula>OR($E21="토",$E21="일")</formula>
    </cfRule>
  </conditionalFormatting>
  <conditionalFormatting sqref="L21:M21">
    <cfRule type="expression" dxfId="3672" priority="3645">
      <formula>$D21=$A$2</formula>
    </cfRule>
  </conditionalFormatting>
  <conditionalFormatting sqref="L21:M21">
    <cfRule type="expression" dxfId="3671" priority="3646">
      <formula>($D21=$A$2)</formula>
    </cfRule>
    <cfRule type="expression" dxfId="3670" priority="3647">
      <formula>OR($E21="토",$E21="일")</formula>
    </cfRule>
  </conditionalFormatting>
  <conditionalFormatting sqref="L21:M21">
    <cfRule type="expression" dxfId="3669" priority="3642">
      <formula>$D21=$A$2</formula>
    </cfRule>
  </conditionalFormatting>
  <conditionalFormatting sqref="L21:M21">
    <cfRule type="expression" dxfId="3668" priority="3643">
      <formula>($D21=$A$2)</formula>
    </cfRule>
    <cfRule type="expression" dxfId="3667" priority="3644">
      <formula>OR($E21="토",$E21="일")</formula>
    </cfRule>
  </conditionalFormatting>
  <conditionalFormatting sqref="L24:M24">
    <cfRule type="expression" dxfId="3666" priority="3639">
      <formula>$D24=$A$2</formula>
    </cfRule>
  </conditionalFormatting>
  <conditionalFormatting sqref="L24:M24">
    <cfRule type="expression" dxfId="3665" priority="3640">
      <formula>($D24=$A$2)</formula>
    </cfRule>
    <cfRule type="expression" dxfId="3664" priority="3641">
      <formula>OR($E24="토",$E24="일")</formula>
    </cfRule>
  </conditionalFormatting>
  <conditionalFormatting sqref="L24:M24">
    <cfRule type="expression" dxfId="3663" priority="3636">
      <formula>$D24=$A$2</formula>
    </cfRule>
  </conditionalFormatting>
  <conditionalFormatting sqref="L24:M24">
    <cfRule type="expression" dxfId="3662" priority="3637">
      <formula>($D24=$A$2)</formula>
    </cfRule>
    <cfRule type="expression" dxfId="3661" priority="3638">
      <formula>OR($E24="토",$E24="일")</formula>
    </cfRule>
  </conditionalFormatting>
  <conditionalFormatting sqref="L24:M24">
    <cfRule type="expression" dxfId="3660" priority="3633">
      <formula>$D24=$A$2</formula>
    </cfRule>
  </conditionalFormatting>
  <conditionalFormatting sqref="L24:M24">
    <cfRule type="expression" dxfId="3659" priority="3634">
      <formula>($D24=$A$2)</formula>
    </cfRule>
    <cfRule type="expression" dxfId="3658" priority="3635">
      <formula>OR($E24="토",$E24="일")</formula>
    </cfRule>
  </conditionalFormatting>
  <conditionalFormatting sqref="J24:M24">
    <cfRule type="expression" dxfId="3657" priority="3630">
      <formula>$D24=$A$2</formula>
    </cfRule>
  </conditionalFormatting>
  <conditionalFormatting sqref="J24:M24">
    <cfRule type="expression" dxfId="3656" priority="3631">
      <formula>($D24=$A$2)</formula>
    </cfRule>
    <cfRule type="expression" dxfId="3655" priority="3632">
      <formula>OR($E24="토",$E24="일")</formula>
    </cfRule>
  </conditionalFormatting>
  <conditionalFormatting sqref="L25:M25">
    <cfRule type="expression" dxfId="3654" priority="3627">
      <formula>$D25=$A$2</formula>
    </cfRule>
  </conditionalFormatting>
  <conditionalFormatting sqref="L25:M25">
    <cfRule type="expression" dxfId="3653" priority="3628">
      <formula>($D25=$A$2)</formula>
    </cfRule>
    <cfRule type="expression" dxfId="3652" priority="3629">
      <formula>OR($E25="토",$E25="일")</formula>
    </cfRule>
  </conditionalFormatting>
  <conditionalFormatting sqref="L25:M25">
    <cfRule type="expression" dxfId="3651" priority="3624">
      <formula>$D25=$A$2</formula>
    </cfRule>
  </conditionalFormatting>
  <conditionalFormatting sqref="L25:M25">
    <cfRule type="expression" dxfId="3650" priority="3625">
      <formula>($D25=$A$2)</formula>
    </cfRule>
    <cfRule type="expression" dxfId="3649" priority="3626">
      <formula>OR($E25="토",$E25="일")</formula>
    </cfRule>
  </conditionalFormatting>
  <conditionalFormatting sqref="L25:M25">
    <cfRule type="expression" dxfId="3648" priority="3621">
      <formula>$D25=$A$2</formula>
    </cfRule>
  </conditionalFormatting>
  <conditionalFormatting sqref="L25:M25">
    <cfRule type="expression" dxfId="3647" priority="3622">
      <formula>($D25=$A$2)</formula>
    </cfRule>
    <cfRule type="expression" dxfId="3646" priority="3623">
      <formula>OR($E25="토",$E25="일")</formula>
    </cfRule>
  </conditionalFormatting>
  <conditionalFormatting sqref="J25:M25">
    <cfRule type="expression" dxfId="3645" priority="3618">
      <formula>$D25=$A$2</formula>
    </cfRule>
  </conditionalFormatting>
  <conditionalFormatting sqref="J25:M25">
    <cfRule type="expression" dxfId="3644" priority="3619">
      <formula>($D25=$A$2)</formula>
    </cfRule>
    <cfRule type="expression" dxfId="3643" priority="3620">
      <formula>OR($E25="토",$E25="일")</formula>
    </cfRule>
  </conditionalFormatting>
  <conditionalFormatting sqref="J24:M24">
    <cfRule type="expression" dxfId="3642" priority="3615">
      <formula>$D24=$A$2</formula>
    </cfRule>
  </conditionalFormatting>
  <conditionalFormatting sqref="J24:M24">
    <cfRule type="expression" dxfId="3641" priority="3616">
      <formula>($D24=$A$2)</formula>
    </cfRule>
    <cfRule type="expression" dxfId="3640" priority="3617">
      <formula>OR($E24="토",$E24="일")</formula>
    </cfRule>
  </conditionalFormatting>
  <conditionalFormatting sqref="L26:M26">
    <cfRule type="expression" dxfId="3639" priority="3612">
      <formula>$D26=$A$2</formula>
    </cfRule>
  </conditionalFormatting>
  <conditionalFormatting sqref="L26:M26">
    <cfRule type="expression" dxfId="3638" priority="3613">
      <formula>($D26=$A$2)</formula>
    </cfRule>
    <cfRule type="expression" dxfId="3637" priority="3614">
      <formula>OR($E26="토",$E26="일")</formula>
    </cfRule>
  </conditionalFormatting>
  <conditionalFormatting sqref="L26:M26">
    <cfRule type="expression" dxfId="3636" priority="3609">
      <formula>$D26=$A$2</formula>
    </cfRule>
  </conditionalFormatting>
  <conditionalFormatting sqref="L26:M26">
    <cfRule type="expression" dxfId="3635" priority="3610">
      <formula>($D26=$A$2)</formula>
    </cfRule>
    <cfRule type="expression" dxfId="3634" priority="3611">
      <formula>OR($E26="토",$E26="일")</formula>
    </cfRule>
  </conditionalFormatting>
  <conditionalFormatting sqref="L26:M26">
    <cfRule type="expression" dxfId="3633" priority="3606">
      <formula>$D26=$A$2</formula>
    </cfRule>
  </conditionalFormatting>
  <conditionalFormatting sqref="L26:M26">
    <cfRule type="expression" dxfId="3632" priority="3607">
      <formula>($D26=$A$2)</formula>
    </cfRule>
    <cfRule type="expression" dxfId="3631" priority="3608">
      <formula>OR($E26="토",$E26="일")</formula>
    </cfRule>
  </conditionalFormatting>
  <conditionalFormatting sqref="L26:M26">
    <cfRule type="expression" dxfId="3630" priority="3603">
      <formula>$D26=$A$2</formula>
    </cfRule>
  </conditionalFormatting>
  <conditionalFormatting sqref="L26:M26">
    <cfRule type="expression" dxfId="3629" priority="3604">
      <formula>($D26=$A$2)</formula>
    </cfRule>
    <cfRule type="expression" dxfId="3628" priority="3605">
      <formula>OR($E26="토",$E26="일")</formula>
    </cfRule>
  </conditionalFormatting>
  <conditionalFormatting sqref="L26:M26">
    <cfRule type="expression" dxfId="3627" priority="3600">
      <formula>$D26=$A$2</formula>
    </cfRule>
  </conditionalFormatting>
  <conditionalFormatting sqref="L26:M26">
    <cfRule type="expression" dxfId="3626" priority="3601">
      <formula>($D26=$A$2)</formula>
    </cfRule>
    <cfRule type="expression" dxfId="3625" priority="3602">
      <formula>OR($E26="토",$E26="일")</formula>
    </cfRule>
  </conditionalFormatting>
  <conditionalFormatting sqref="J26:M26">
    <cfRule type="expression" dxfId="3624" priority="3597">
      <formula>$D26=$A$2</formula>
    </cfRule>
  </conditionalFormatting>
  <conditionalFormatting sqref="J26:M26">
    <cfRule type="expression" dxfId="3623" priority="3598">
      <formula>($D26=$A$2)</formula>
    </cfRule>
    <cfRule type="expression" dxfId="3622" priority="3599">
      <formula>OR($E26="토",$E26="일")</formula>
    </cfRule>
  </conditionalFormatting>
  <conditionalFormatting sqref="J26:M26">
    <cfRule type="expression" dxfId="3621" priority="3594">
      <formula>$D26=$A$2</formula>
    </cfRule>
  </conditionalFormatting>
  <conditionalFormatting sqref="J26:M26">
    <cfRule type="expression" dxfId="3620" priority="3595">
      <formula>($D26=$A$2)</formula>
    </cfRule>
    <cfRule type="expression" dxfId="3619" priority="3596">
      <formula>OR($E26="토",$E26="일")</formula>
    </cfRule>
  </conditionalFormatting>
  <conditionalFormatting sqref="L26:M26">
    <cfRule type="expression" dxfId="3618" priority="3591">
      <formula>$D26=$A$2</formula>
    </cfRule>
  </conditionalFormatting>
  <conditionalFormatting sqref="L26:M26">
    <cfRule type="expression" dxfId="3617" priority="3592">
      <formula>($D26=$A$2)</formula>
    </cfRule>
    <cfRule type="expression" dxfId="3616" priority="3593">
      <formula>OR($E26="토",$E26="일")</formula>
    </cfRule>
  </conditionalFormatting>
  <conditionalFormatting sqref="L26:M26">
    <cfRule type="expression" dxfId="3615" priority="3588">
      <formula>$D26=$A$2</formula>
    </cfRule>
  </conditionalFormatting>
  <conditionalFormatting sqref="L26:M26">
    <cfRule type="expression" dxfId="3614" priority="3589">
      <formula>($D26=$A$2)</formula>
    </cfRule>
    <cfRule type="expression" dxfId="3613" priority="3590">
      <formula>OR($E26="토",$E26="일")</formula>
    </cfRule>
  </conditionalFormatting>
  <conditionalFormatting sqref="L26:M26">
    <cfRule type="expression" dxfId="3612" priority="3585">
      <formula>$D26=$A$2</formula>
    </cfRule>
  </conditionalFormatting>
  <conditionalFormatting sqref="L26:M26">
    <cfRule type="expression" dxfId="3611" priority="3586">
      <formula>($D26=$A$2)</formula>
    </cfRule>
    <cfRule type="expression" dxfId="3610" priority="3587">
      <formula>OR($E26="토",$E26="일")</formula>
    </cfRule>
  </conditionalFormatting>
  <conditionalFormatting sqref="J26:M26">
    <cfRule type="expression" dxfId="3609" priority="3582">
      <formula>$D26=$A$2</formula>
    </cfRule>
  </conditionalFormatting>
  <conditionalFormatting sqref="J26:M26">
    <cfRule type="expression" dxfId="3608" priority="3583">
      <formula>($D26=$A$2)</formula>
    </cfRule>
    <cfRule type="expression" dxfId="3607" priority="3584">
      <formula>OR($E26="토",$E26="일")</formula>
    </cfRule>
  </conditionalFormatting>
  <conditionalFormatting sqref="K23:K25">
    <cfRule type="expression" dxfId="3606" priority="3579">
      <formula>$D23=$A$2</formula>
    </cfRule>
  </conditionalFormatting>
  <conditionalFormatting sqref="K23:K25">
    <cfRule type="expression" dxfId="3605" priority="3580">
      <formula>($D23=$A$2)</formula>
    </cfRule>
    <cfRule type="expression" dxfId="3604" priority="3581">
      <formula>OR($E23="토",$E23="일")</formula>
    </cfRule>
  </conditionalFormatting>
  <conditionalFormatting sqref="K23:K25">
    <cfRule type="expression" dxfId="3603" priority="3576">
      <formula>$D23=$A$2</formula>
    </cfRule>
  </conditionalFormatting>
  <conditionalFormatting sqref="K23:K25">
    <cfRule type="expression" dxfId="3602" priority="3577">
      <formula>($D23=$A$2)</formula>
    </cfRule>
    <cfRule type="expression" dxfId="3601" priority="3578">
      <formula>OR($E23="토",$E23="일")</formula>
    </cfRule>
  </conditionalFormatting>
  <conditionalFormatting sqref="M23:M25">
    <cfRule type="expression" dxfId="3600" priority="3573">
      <formula>$D23=$A$2</formula>
    </cfRule>
  </conditionalFormatting>
  <conditionalFormatting sqref="M23:M25">
    <cfRule type="expression" dxfId="3599" priority="3574">
      <formula>($D23=$A$2)</formula>
    </cfRule>
    <cfRule type="expression" dxfId="3598" priority="3575">
      <formula>OR($E23="토",$E23="일")</formula>
    </cfRule>
  </conditionalFormatting>
  <conditionalFormatting sqref="M23:M25">
    <cfRule type="expression" dxfId="3597" priority="3570">
      <formula>$D23=$A$2</formula>
    </cfRule>
  </conditionalFormatting>
  <conditionalFormatting sqref="M23:M25">
    <cfRule type="expression" dxfId="3596" priority="3571">
      <formula>($D23=$A$2)</formula>
    </cfRule>
    <cfRule type="expression" dxfId="3595" priority="3572">
      <formula>OR($E23="토",$E23="일")</formula>
    </cfRule>
  </conditionalFormatting>
  <conditionalFormatting sqref="H23:H26">
    <cfRule type="expression" dxfId="3594" priority="3567">
      <formula>$D23=$A$2</formula>
    </cfRule>
  </conditionalFormatting>
  <conditionalFormatting sqref="H23:H26">
    <cfRule type="expression" dxfId="3593" priority="3568">
      <formula>($D23=$A$2)</formula>
    </cfRule>
    <cfRule type="expression" dxfId="3592" priority="3569">
      <formula>OR($E23="토",$E23="일")</formula>
    </cfRule>
  </conditionalFormatting>
  <conditionalFormatting sqref="K23:K25">
    <cfRule type="expression" dxfId="3591" priority="3564">
      <formula>$D23=$A$2</formula>
    </cfRule>
  </conditionalFormatting>
  <conditionalFormatting sqref="K23:K25">
    <cfRule type="expression" dxfId="3590" priority="3565">
      <formula>($D23=$A$2)</formula>
    </cfRule>
    <cfRule type="expression" dxfId="3589" priority="3566">
      <formula>OR($E23="토",$E23="일")</formula>
    </cfRule>
  </conditionalFormatting>
  <conditionalFormatting sqref="K23:K25">
    <cfRule type="expression" dxfId="3588" priority="3561">
      <formula>$D23=$A$2</formula>
    </cfRule>
  </conditionalFormatting>
  <conditionalFormatting sqref="K23:K25">
    <cfRule type="expression" dxfId="3587" priority="3562">
      <formula>($D23=$A$2)</formula>
    </cfRule>
    <cfRule type="expression" dxfId="3586" priority="3563">
      <formula>OR($E23="토",$E23="일")</formula>
    </cfRule>
  </conditionalFormatting>
  <conditionalFormatting sqref="L18:L20">
    <cfRule type="expression" dxfId="3585" priority="3555">
      <formula>$D18=$A$2</formula>
    </cfRule>
  </conditionalFormatting>
  <conditionalFormatting sqref="L18:L20">
    <cfRule type="expression" dxfId="3584" priority="3556">
      <formula>($D18=$A$2)</formula>
    </cfRule>
    <cfRule type="expression" dxfId="3583" priority="3557">
      <formula>OR($E18="토",$E18="일")</formula>
    </cfRule>
  </conditionalFormatting>
  <conditionalFormatting sqref="L24:M24">
    <cfRule type="expression" dxfId="3582" priority="3552">
      <formula>$D24=$A$2</formula>
    </cfRule>
  </conditionalFormatting>
  <conditionalFormatting sqref="L24:M24">
    <cfRule type="expression" dxfId="3581" priority="3553">
      <formula>($D24=$A$2)</formula>
    </cfRule>
    <cfRule type="expression" dxfId="3580" priority="3554">
      <formula>OR($E24="토",$E24="일")</formula>
    </cfRule>
  </conditionalFormatting>
  <conditionalFormatting sqref="L24:M24">
    <cfRule type="expression" dxfId="3579" priority="3549">
      <formula>$D24=$A$2</formula>
    </cfRule>
  </conditionalFormatting>
  <conditionalFormatting sqref="L24:M24">
    <cfRule type="expression" dxfId="3578" priority="3550">
      <formula>($D24=$A$2)</formula>
    </cfRule>
    <cfRule type="expression" dxfId="3577" priority="3551">
      <formula>OR($E24="토",$E24="일")</formula>
    </cfRule>
  </conditionalFormatting>
  <conditionalFormatting sqref="L24:M24">
    <cfRule type="expression" dxfId="3576" priority="3546">
      <formula>$D24=$A$2</formula>
    </cfRule>
  </conditionalFormatting>
  <conditionalFormatting sqref="L24:M24">
    <cfRule type="expression" dxfId="3575" priority="3547">
      <formula>($D24=$A$2)</formula>
    </cfRule>
    <cfRule type="expression" dxfId="3574" priority="3548">
      <formula>OR($E24="토",$E24="일")</formula>
    </cfRule>
  </conditionalFormatting>
  <conditionalFormatting sqref="J24:M24">
    <cfRule type="expression" dxfId="3573" priority="3543">
      <formula>$D24=$A$2</formula>
    </cfRule>
  </conditionalFormatting>
  <conditionalFormatting sqref="J24:M24">
    <cfRule type="expression" dxfId="3572" priority="3544">
      <formula>($D24=$A$2)</formula>
    </cfRule>
    <cfRule type="expression" dxfId="3571" priority="3545">
      <formula>OR($E24="토",$E24="일")</formula>
    </cfRule>
  </conditionalFormatting>
  <conditionalFormatting sqref="G23:H23">
    <cfRule type="expression" dxfId="3570" priority="3540">
      <formula>$D23=$A$2</formula>
    </cfRule>
  </conditionalFormatting>
  <conditionalFormatting sqref="G23:H23">
    <cfRule type="expression" dxfId="3569" priority="3541">
      <formula>($D23=$A$2)</formula>
    </cfRule>
    <cfRule type="expression" dxfId="3568" priority="3542">
      <formula>OR($E23="토",$E23="일")</formula>
    </cfRule>
  </conditionalFormatting>
  <conditionalFormatting sqref="J23:M23">
    <cfRule type="expression" dxfId="3567" priority="3537">
      <formula>$D23=$A$2</formula>
    </cfRule>
  </conditionalFormatting>
  <conditionalFormatting sqref="J23:M23">
    <cfRule type="expression" dxfId="3566" priority="3538">
      <formula>($D23=$A$2)</formula>
    </cfRule>
    <cfRule type="expression" dxfId="3565" priority="3539">
      <formula>OR($E23="토",$E23="일")</formula>
    </cfRule>
  </conditionalFormatting>
  <conditionalFormatting sqref="J23:M23">
    <cfRule type="expression" dxfId="3564" priority="3534">
      <formula>$D23=$A$2</formula>
    </cfRule>
  </conditionalFormatting>
  <conditionalFormatting sqref="J23:M23">
    <cfRule type="expression" dxfId="3563" priority="3535">
      <formula>($D23=$A$2)</formula>
    </cfRule>
    <cfRule type="expression" dxfId="3562" priority="3536">
      <formula>OR($E23="토",$E23="일")</formula>
    </cfRule>
  </conditionalFormatting>
  <conditionalFormatting sqref="J24:M24">
    <cfRule type="expression" dxfId="3561" priority="3531">
      <formula>$D24=$A$2</formula>
    </cfRule>
  </conditionalFormatting>
  <conditionalFormatting sqref="J24:M24">
    <cfRule type="expression" dxfId="3560" priority="3532">
      <formula>($D24=$A$2)</formula>
    </cfRule>
    <cfRule type="expression" dxfId="3559" priority="3533">
      <formula>OR($E24="토",$E24="일")</formula>
    </cfRule>
  </conditionalFormatting>
  <conditionalFormatting sqref="L23:M23">
    <cfRule type="expression" dxfId="3558" priority="3528">
      <formula>$D23=$A$2</formula>
    </cfRule>
  </conditionalFormatting>
  <conditionalFormatting sqref="L23:M23">
    <cfRule type="expression" dxfId="3557" priority="3529">
      <formula>($D23=$A$2)</formula>
    </cfRule>
    <cfRule type="expression" dxfId="3556" priority="3530">
      <formula>OR($E23="토",$E23="일")</formula>
    </cfRule>
  </conditionalFormatting>
  <conditionalFormatting sqref="L23:M23">
    <cfRule type="expression" dxfId="3555" priority="3525">
      <formula>$D23=$A$2</formula>
    </cfRule>
  </conditionalFormatting>
  <conditionalFormatting sqref="L23:M23">
    <cfRule type="expression" dxfId="3554" priority="3526">
      <formula>($D23=$A$2)</formula>
    </cfRule>
    <cfRule type="expression" dxfId="3553" priority="3527">
      <formula>OR($E23="토",$E23="일")</formula>
    </cfRule>
  </conditionalFormatting>
  <conditionalFormatting sqref="L23:M23">
    <cfRule type="expression" dxfId="3552" priority="3522">
      <formula>$D23=$A$2</formula>
    </cfRule>
  </conditionalFormatting>
  <conditionalFormatting sqref="L23:M23">
    <cfRule type="expression" dxfId="3551" priority="3523">
      <formula>($D23=$A$2)</formula>
    </cfRule>
    <cfRule type="expression" dxfId="3550" priority="3524">
      <formula>OR($E23="토",$E23="일")</formula>
    </cfRule>
  </conditionalFormatting>
  <conditionalFormatting sqref="J23:M23">
    <cfRule type="expression" dxfId="3549" priority="3519">
      <formula>$D23=$A$2</formula>
    </cfRule>
  </conditionalFormatting>
  <conditionalFormatting sqref="J23:M23">
    <cfRule type="expression" dxfId="3548" priority="3520">
      <formula>($D23=$A$2)</formula>
    </cfRule>
    <cfRule type="expression" dxfId="3547" priority="3521">
      <formula>OR($E23="토",$E23="일")</formula>
    </cfRule>
  </conditionalFormatting>
  <conditionalFormatting sqref="L24:M24">
    <cfRule type="expression" dxfId="3546" priority="3516">
      <formula>$D24=$A$2</formula>
    </cfRule>
  </conditionalFormatting>
  <conditionalFormatting sqref="L24:M24">
    <cfRule type="expression" dxfId="3545" priority="3517">
      <formula>($D24=$A$2)</formula>
    </cfRule>
    <cfRule type="expression" dxfId="3544" priority="3518">
      <formula>OR($E24="토",$E24="일")</formula>
    </cfRule>
  </conditionalFormatting>
  <conditionalFormatting sqref="L24:M24">
    <cfRule type="expression" dxfId="3543" priority="3513">
      <formula>$D24=$A$2</formula>
    </cfRule>
  </conditionalFormatting>
  <conditionalFormatting sqref="L24:M24">
    <cfRule type="expression" dxfId="3542" priority="3514">
      <formula>($D24=$A$2)</formula>
    </cfRule>
    <cfRule type="expression" dxfId="3541" priority="3515">
      <formula>OR($E24="토",$E24="일")</formula>
    </cfRule>
  </conditionalFormatting>
  <conditionalFormatting sqref="L24:M24">
    <cfRule type="expression" dxfId="3540" priority="3510">
      <formula>$D24=$A$2</formula>
    </cfRule>
  </conditionalFormatting>
  <conditionalFormatting sqref="L24:M24">
    <cfRule type="expression" dxfId="3539" priority="3511">
      <formula>($D24=$A$2)</formula>
    </cfRule>
    <cfRule type="expression" dxfId="3538" priority="3512">
      <formula>OR($E24="토",$E24="일")</formula>
    </cfRule>
  </conditionalFormatting>
  <conditionalFormatting sqref="J24:M24">
    <cfRule type="expression" dxfId="3537" priority="3507">
      <formula>$D24=$A$2</formula>
    </cfRule>
  </conditionalFormatting>
  <conditionalFormatting sqref="J24:M24">
    <cfRule type="expression" dxfId="3536" priority="3508">
      <formula>($D24=$A$2)</formula>
    </cfRule>
    <cfRule type="expression" dxfId="3535" priority="3509">
      <formula>OR($E24="토",$E24="일")</formula>
    </cfRule>
  </conditionalFormatting>
  <conditionalFormatting sqref="J23:M23">
    <cfRule type="expression" dxfId="3534" priority="3504">
      <formula>$D23=$A$2</formula>
    </cfRule>
  </conditionalFormatting>
  <conditionalFormatting sqref="J23:M23">
    <cfRule type="expression" dxfId="3533" priority="3505">
      <formula>($D23=$A$2)</formula>
    </cfRule>
    <cfRule type="expression" dxfId="3532" priority="3506">
      <formula>OR($E23="토",$E23="일")</formula>
    </cfRule>
  </conditionalFormatting>
  <conditionalFormatting sqref="L25:M25">
    <cfRule type="expression" dxfId="3531" priority="3501">
      <formula>$D25=$A$2</formula>
    </cfRule>
  </conditionalFormatting>
  <conditionalFormatting sqref="L25:M25">
    <cfRule type="expression" dxfId="3530" priority="3502">
      <formula>($D25=$A$2)</formula>
    </cfRule>
    <cfRule type="expression" dxfId="3529" priority="3503">
      <formula>OR($E25="토",$E25="일")</formula>
    </cfRule>
  </conditionalFormatting>
  <conditionalFormatting sqref="L25:M25">
    <cfRule type="expression" dxfId="3528" priority="3498">
      <formula>$D25=$A$2</formula>
    </cfRule>
  </conditionalFormatting>
  <conditionalFormatting sqref="L25:M25">
    <cfRule type="expression" dxfId="3527" priority="3499">
      <formula>($D25=$A$2)</formula>
    </cfRule>
    <cfRule type="expression" dxfId="3526" priority="3500">
      <formula>OR($E25="토",$E25="일")</formula>
    </cfRule>
  </conditionalFormatting>
  <conditionalFormatting sqref="L25:M25">
    <cfRule type="expression" dxfId="3525" priority="3495">
      <formula>$D25=$A$2</formula>
    </cfRule>
  </conditionalFormatting>
  <conditionalFormatting sqref="L25:M25">
    <cfRule type="expression" dxfId="3524" priority="3496">
      <formula>($D25=$A$2)</formula>
    </cfRule>
    <cfRule type="expression" dxfId="3523" priority="3497">
      <formula>OR($E25="토",$E25="일")</formula>
    </cfRule>
  </conditionalFormatting>
  <conditionalFormatting sqref="L25:M25">
    <cfRule type="expression" dxfId="3522" priority="3492">
      <formula>$D25=$A$2</formula>
    </cfRule>
  </conditionalFormatting>
  <conditionalFormatting sqref="L25:M25">
    <cfRule type="expression" dxfId="3521" priority="3493">
      <formula>($D25=$A$2)</formula>
    </cfRule>
    <cfRule type="expression" dxfId="3520" priority="3494">
      <formula>OR($E25="토",$E25="일")</formula>
    </cfRule>
  </conditionalFormatting>
  <conditionalFormatting sqref="L25:M25">
    <cfRule type="expression" dxfId="3519" priority="3489">
      <formula>$D25=$A$2</formula>
    </cfRule>
  </conditionalFormatting>
  <conditionalFormatting sqref="L25:M25">
    <cfRule type="expression" dxfId="3518" priority="3490">
      <formula>($D25=$A$2)</formula>
    </cfRule>
    <cfRule type="expression" dxfId="3517" priority="3491">
      <formula>OR($E25="토",$E25="일")</formula>
    </cfRule>
  </conditionalFormatting>
  <conditionalFormatting sqref="J25:M25">
    <cfRule type="expression" dxfId="3516" priority="3486">
      <formula>$D25=$A$2</formula>
    </cfRule>
  </conditionalFormatting>
  <conditionalFormatting sqref="J25:M25">
    <cfRule type="expression" dxfId="3515" priority="3487">
      <formula>($D25=$A$2)</formula>
    </cfRule>
    <cfRule type="expression" dxfId="3514" priority="3488">
      <formula>OR($E25="토",$E25="일")</formula>
    </cfRule>
  </conditionalFormatting>
  <conditionalFormatting sqref="J25:M25">
    <cfRule type="expression" dxfId="3513" priority="3483">
      <formula>$D25=$A$2</formula>
    </cfRule>
  </conditionalFormatting>
  <conditionalFormatting sqref="J25:M25">
    <cfRule type="expression" dxfId="3512" priority="3484">
      <formula>($D25=$A$2)</formula>
    </cfRule>
    <cfRule type="expression" dxfId="3511" priority="3485">
      <formula>OR($E25="토",$E25="일")</formula>
    </cfRule>
  </conditionalFormatting>
  <conditionalFormatting sqref="L25:M25">
    <cfRule type="expression" dxfId="3510" priority="3480">
      <formula>$D25=$A$2</formula>
    </cfRule>
  </conditionalFormatting>
  <conditionalFormatting sqref="L25:M25">
    <cfRule type="expression" dxfId="3509" priority="3481">
      <formula>($D25=$A$2)</formula>
    </cfRule>
    <cfRule type="expression" dxfId="3508" priority="3482">
      <formula>OR($E25="토",$E25="일")</formula>
    </cfRule>
  </conditionalFormatting>
  <conditionalFormatting sqref="L25:M25">
    <cfRule type="expression" dxfId="3507" priority="3477">
      <formula>$D25=$A$2</formula>
    </cfRule>
  </conditionalFormatting>
  <conditionalFormatting sqref="L25:M25">
    <cfRule type="expression" dxfId="3506" priority="3478">
      <formula>($D25=$A$2)</formula>
    </cfRule>
    <cfRule type="expression" dxfId="3505" priority="3479">
      <formula>OR($E25="토",$E25="일")</formula>
    </cfRule>
  </conditionalFormatting>
  <conditionalFormatting sqref="L25:M25">
    <cfRule type="expression" dxfId="3504" priority="3474">
      <formula>$D25=$A$2</formula>
    </cfRule>
  </conditionalFormatting>
  <conditionalFormatting sqref="L25:M25">
    <cfRule type="expression" dxfId="3503" priority="3475">
      <formula>($D25=$A$2)</formula>
    </cfRule>
    <cfRule type="expression" dxfId="3502" priority="3476">
      <formula>OR($E25="토",$E25="일")</formula>
    </cfRule>
  </conditionalFormatting>
  <conditionalFormatting sqref="J25:M25">
    <cfRule type="expression" dxfId="3501" priority="3471">
      <formula>$D25=$A$2</formula>
    </cfRule>
  </conditionalFormatting>
  <conditionalFormatting sqref="J25:M25">
    <cfRule type="expression" dxfId="3500" priority="3472">
      <formula>($D25=$A$2)</formula>
    </cfRule>
    <cfRule type="expression" dxfId="3499" priority="3473">
      <formula>OR($E25="토",$E25="일")</formula>
    </cfRule>
  </conditionalFormatting>
  <conditionalFormatting sqref="G23:H23">
    <cfRule type="expression" dxfId="3498" priority="3468">
      <formula>$D23=$A$2</formula>
    </cfRule>
  </conditionalFormatting>
  <conditionalFormatting sqref="G23:H23">
    <cfRule type="expression" dxfId="3497" priority="3469">
      <formula>($D23=$A$2)</formula>
    </cfRule>
    <cfRule type="expression" dxfId="3496" priority="3470">
      <formula>OR($E23="토",$E23="일")</formula>
    </cfRule>
  </conditionalFormatting>
  <conditionalFormatting sqref="J23:M23">
    <cfRule type="expression" dxfId="3495" priority="3465">
      <formula>$D23=$A$2</formula>
    </cfRule>
  </conditionalFormatting>
  <conditionalFormatting sqref="J23:M23">
    <cfRule type="expression" dxfId="3494" priority="3466">
      <formula>($D23=$A$2)</formula>
    </cfRule>
    <cfRule type="expression" dxfId="3493" priority="3467">
      <formula>OR($E23="토",$E23="일")</formula>
    </cfRule>
  </conditionalFormatting>
  <conditionalFormatting sqref="J23:M23">
    <cfRule type="expression" dxfId="3492" priority="3462">
      <formula>$D23=$A$2</formula>
    </cfRule>
  </conditionalFormatting>
  <conditionalFormatting sqref="J23:M23">
    <cfRule type="expression" dxfId="3491" priority="3463">
      <formula>($D23=$A$2)</formula>
    </cfRule>
    <cfRule type="expression" dxfId="3490" priority="3464">
      <formula>OR($E23="토",$E23="일")</formula>
    </cfRule>
  </conditionalFormatting>
  <conditionalFormatting sqref="L26:M26">
    <cfRule type="expression" dxfId="3489" priority="3459">
      <formula>$D26=$A$2</formula>
    </cfRule>
  </conditionalFormatting>
  <conditionalFormatting sqref="L26:M26">
    <cfRule type="expression" dxfId="3488" priority="3460">
      <formula>($D26=$A$2)</formula>
    </cfRule>
    <cfRule type="expression" dxfId="3487" priority="3461">
      <formula>OR($E26="토",$E26="일")</formula>
    </cfRule>
  </conditionalFormatting>
  <conditionalFormatting sqref="G24:H24">
    <cfRule type="expression" dxfId="3486" priority="3456">
      <formula>$D24=$A$2</formula>
    </cfRule>
  </conditionalFormatting>
  <conditionalFormatting sqref="G24:H24">
    <cfRule type="expression" dxfId="3485" priority="3457">
      <formula>($D24=$A$2)</formula>
    </cfRule>
    <cfRule type="expression" dxfId="3484" priority="3458">
      <formula>OR($E24="토",$E24="일")</formula>
    </cfRule>
  </conditionalFormatting>
  <conditionalFormatting sqref="G23:H23">
    <cfRule type="expression" dxfId="3483" priority="3453">
      <formula>$D23=$A$2</formula>
    </cfRule>
  </conditionalFormatting>
  <conditionalFormatting sqref="G23:H23">
    <cfRule type="expression" dxfId="3482" priority="3454">
      <formula>($D23=$A$2)</formula>
    </cfRule>
    <cfRule type="expression" dxfId="3481" priority="3455">
      <formula>OR($E23="토",$E23="일")</formula>
    </cfRule>
  </conditionalFormatting>
  <conditionalFormatting sqref="J24:M24">
    <cfRule type="expression" dxfId="3480" priority="3450">
      <formula>$D24=$A$2</formula>
    </cfRule>
  </conditionalFormatting>
  <conditionalFormatting sqref="J24:M24">
    <cfRule type="expression" dxfId="3479" priority="3451">
      <formula>($D24=$A$2)</formula>
    </cfRule>
    <cfRule type="expression" dxfId="3478" priority="3452">
      <formula>OR($E24="토",$E24="일")</formula>
    </cfRule>
  </conditionalFormatting>
  <conditionalFormatting sqref="L23:M23">
    <cfRule type="expression" dxfId="3477" priority="3447">
      <formula>$D23=$A$2</formula>
    </cfRule>
  </conditionalFormatting>
  <conditionalFormatting sqref="L23:M23">
    <cfRule type="expression" dxfId="3476" priority="3448">
      <formula>($D23=$A$2)</formula>
    </cfRule>
    <cfRule type="expression" dxfId="3475" priority="3449">
      <formula>OR($E23="토",$E23="일")</formula>
    </cfRule>
  </conditionalFormatting>
  <conditionalFormatting sqref="L26:M26">
    <cfRule type="expression" dxfId="3474" priority="3444">
      <formula>$D26=$A$2</formula>
    </cfRule>
  </conditionalFormatting>
  <conditionalFormatting sqref="L26:M26">
    <cfRule type="expression" dxfId="3473" priority="3445">
      <formula>($D26=$A$2)</formula>
    </cfRule>
    <cfRule type="expression" dxfId="3472" priority="3446">
      <formula>OR($E26="토",$E26="일")</formula>
    </cfRule>
  </conditionalFormatting>
  <conditionalFormatting sqref="L26:M26">
    <cfRule type="expression" dxfId="3471" priority="3441">
      <formula>$D26=$A$2</formula>
    </cfRule>
  </conditionalFormatting>
  <conditionalFormatting sqref="L26:M26">
    <cfRule type="expression" dxfId="3470" priority="3442">
      <formula>($D26=$A$2)</formula>
    </cfRule>
    <cfRule type="expression" dxfId="3469" priority="3443">
      <formula>OR($E26="토",$E26="일")</formula>
    </cfRule>
  </conditionalFormatting>
  <conditionalFormatting sqref="J26:M26">
    <cfRule type="expression" dxfId="3468" priority="3438">
      <formula>$D26=$A$2</formula>
    </cfRule>
  </conditionalFormatting>
  <conditionalFormatting sqref="J26:M26">
    <cfRule type="expression" dxfId="3467" priority="3439">
      <formula>($D26=$A$2)</formula>
    </cfRule>
    <cfRule type="expression" dxfId="3466" priority="3440">
      <formula>OR($E26="토",$E26="일")</formula>
    </cfRule>
  </conditionalFormatting>
  <conditionalFormatting sqref="G25:H25">
    <cfRule type="expression" dxfId="3465" priority="3435">
      <formula>$D25=$A$2</formula>
    </cfRule>
  </conditionalFormatting>
  <conditionalFormatting sqref="G25:H25">
    <cfRule type="expression" dxfId="3464" priority="3436">
      <formula>($D25=$A$2)</formula>
    </cfRule>
    <cfRule type="expression" dxfId="3463" priority="3437">
      <formula>OR($E25="토",$E25="일")</formula>
    </cfRule>
  </conditionalFormatting>
  <conditionalFormatting sqref="J25:M25">
    <cfRule type="expression" dxfId="3462" priority="3432">
      <formula>$D25=$A$2</formula>
    </cfRule>
  </conditionalFormatting>
  <conditionalFormatting sqref="J25:M25">
    <cfRule type="expression" dxfId="3461" priority="3433">
      <formula>($D25=$A$2)</formula>
    </cfRule>
    <cfRule type="expression" dxfId="3460" priority="3434">
      <formula>OR($E25="토",$E25="일")</formula>
    </cfRule>
  </conditionalFormatting>
  <conditionalFormatting sqref="J23:M23">
    <cfRule type="expression" dxfId="3459" priority="3429">
      <formula>$D23=$A$2</formula>
    </cfRule>
  </conditionalFormatting>
  <conditionalFormatting sqref="J23:M23">
    <cfRule type="expression" dxfId="3458" priority="3430">
      <formula>($D23=$A$2)</formula>
    </cfRule>
    <cfRule type="expression" dxfId="3457" priority="3431">
      <formula>OR($E23="토",$E23="일")</formula>
    </cfRule>
  </conditionalFormatting>
  <conditionalFormatting sqref="J24:M24">
    <cfRule type="expression" dxfId="3456" priority="3426">
      <formula>$D24=$A$2</formula>
    </cfRule>
  </conditionalFormatting>
  <conditionalFormatting sqref="J24:M24">
    <cfRule type="expression" dxfId="3455" priority="3427">
      <formula>($D24=$A$2)</formula>
    </cfRule>
    <cfRule type="expression" dxfId="3454" priority="3428">
      <formula>OR($E24="토",$E24="일")</formula>
    </cfRule>
  </conditionalFormatting>
  <conditionalFormatting sqref="L23:M23">
    <cfRule type="expression" dxfId="3453" priority="3423">
      <formula>$D23=$A$2</formula>
    </cfRule>
  </conditionalFormatting>
  <conditionalFormatting sqref="L23:M23">
    <cfRule type="expression" dxfId="3452" priority="3424">
      <formula>($D23=$A$2)</formula>
    </cfRule>
    <cfRule type="expression" dxfId="3451" priority="3425">
      <formula>OR($E23="토",$E23="일")</formula>
    </cfRule>
  </conditionalFormatting>
  <conditionalFormatting sqref="J24:M24">
    <cfRule type="expression" dxfId="3450" priority="3420">
      <formula>$D24=$A$2</formula>
    </cfRule>
  </conditionalFormatting>
  <conditionalFormatting sqref="J24:M24">
    <cfRule type="expression" dxfId="3449" priority="3421">
      <formula>($D24=$A$2)</formula>
    </cfRule>
    <cfRule type="expression" dxfId="3448" priority="3422">
      <formula>OR($E24="토",$E24="일")</formula>
    </cfRule>
  </conditionalFormatting>
  <conditionalFormatting sqref="J25:M25">
    <cfRule type="expression" dxfId="3447" priority="3417">
      <formula>$D25=$A$2</formula>
    </cfRule>
  </conditionalFormatting>
  <conditionalFormatting sqref="J25:M25">
    <cfRule type="expression" dxfId="3446" priority="3418">
      <formula>($D25=$A$2)</formula>
    </cfRule>
    <cfRule type="expression" dxfId="3445" priority="3419">
      <formula>OR($E25="토",$E25="일")</formula>
    </cfRule>
  </conditionalFormatting>
  <conditionalFormatting sqref="L24:M24">
    <cfRule type="expression" dxfId="3444" priority="3414">
      <formula>$D24=$A$2</formula>
    </cfRule>
  </conditionalFormatting>
  <conditionalFormatting sqref="L24:M24">
    <cfRule type="expression" dxfId="3443" priority="3415">
      <formula>($D24=$A$2)</formula>
    </cfRule>
    <cfRule type="expression" dxfId="3442" priority="3416">
      <formula>OR($E24="토",$E24="일")</formula>
    </cfRule>
  </conditionalFormatting>
  <conditionalFormatting sqref="J26:M26">
    <cfRule type="expression" dxfId="3441" priority="3411">
      <formula>$D26=$A$2</formula>
    </cfRule>
  </conditionalFormatting>
  <conditionalFormatting sqref="J26:M26">
    <cfRule type="expression" dxfId="3440" priority="3412">
      <formula>($D26=$A$2)</formula>
    </cfRule>
    <cfRule type="expression" dxfId="3439" priority="3413">
      <formula>OR($E26="토",$E26="일")</formula>
    </cfRule>
  </conditionalFormatting>
  <conditionalFormatting sqref="L25:M25">
    <cfRule type="expression" dxfId="3438" priority="3408">
      <formula>$D25=$A$2</formula>
    </cfRule>
  </conditionalFormatting>
  <conditionalFormatting sqref="L25:M25">
    <cfRule type="expression" dxfId="3437" priority="3409">
      <formula>($D25=$A$2)</formula>
    </cfRule>
    <cfRule type="expression" dxfId="3436" priority="3410">
      <formula>OR($E25="토",$E25="일")</formula>
    </cfRule>
  </conditionalFormatting>
  <conditionalFormatting sqref="L25:M25">
    <cfRule type="expression" dxfId="3435" priority="3405">
      <formula>$D25=$A$2</formula>
    </cfRule>
  </conditionalFormatting>
  <conditionalFormatting sqref="L25:M25">
    <cfRule type="expression" dxfId="3434" priority="3406">
      <formula>($D25=$A$2)</formula>
    </cfRule>
    <cfRule type="expression" dxfId="3433" priority="3407">
      <formula>OR($E25="토",$E25="일")</formula>
    </cfRule>
  </conditionalFormatting>
  <conditionalFormatting sqref="L25:M25">
    <cfRule type="expression" dxfId="3432" priority="3402">
      <formula>$D25=$A$2</formula>
    </cfRule>
  </conditionalFormatting>
  <conditionalFormatting sqref="L25:M25">
    <cfRule type="expression" dxfId="3431" priority="3403">
      <formula>($D25=$A$2)</formula>
    </cfRule>
    <cfRule type="expression" dxfId="3430" priority="3404">
      <formula>OR($E25="토",$E25="일")</formula>
    </cfRule>
  </conditionalFormatting>
  <conditionalFormatting sqref="J25:M25">
    <cfRule type="expression" dxfId="3429" priority="3399">
      <formula>$D25=$A$2</formula>
    </cfRule>
  </conditionalFormatting>
  <conditionalFormatting sqref="J25:M25">
    <cfRule type="expression" dxfId="3428" priority="3400">
      <formula>($D25=$A$2)</formula>
    </cfRule>
    <cfRule type="expression" dxfId="3427" priority="3401">
      <formula>OR($E25="토",$E25="일")</formula>
    </cfRule>
  </conditionalFormatting>
  <conditionalFormatting sqref="L26:M26">
    <cfRule type="expression" dxfId="3426" priority="3396">
      <formula>$D26=$A$2</formula>
    </cfRule>
  </conditionalFormatting>
  <conditionalFormatting sqref="L26:M26">
    <cfRule type="expression" dxfId="3425" priority="3397">
      <formula>($D26=$A$2)</formula>
    </cfRule>
    <cfRule type="expression" dxfId="3424" priority="3398">
      <formula>OR($E26="토",$E26="일")</formula>
    </cfRule>
  </conditionalFormatting>
  <conditionalFormatting sqref="L26:M26">
    <cfRule type="expression" dxfId="3423" priority="3393">
      <formula>$D26=$A$2</formula>
    </cfRule>
  </conditionalFormatting>
  <conditionalFormatting sqref="L26:M26">
    <cfRule type="expression" dxfId="3422" priority="3394">
      <formula>($D26=$A$2)</formula>
    </cfRule>
    <cfRule type="expression" dxfId="3421" priority="3395">
      <formula>OR($E26="토",$E26="일")</formula>
    </cfRule>
  </conditionalFormatting>
  <conditionalFormatting sqref="L26:M26">
    <cfRule type="expression" dxfId="3420" priority="3390">
      <formula>$D26=$A$2</formula>
    </cfRule>
  </conditionalFormatting>
  <conditionalFormatting sqref="L26:M26">
    <cfRule type="expression" dxfId="3419" priority="3391">
      <formula>($D26=$A$2)</formula>
    </cfRule>
    <cfRule type="expression" dxfId="3418" priority="3392">
      <formula>OR($E26="토",$E26="일")</formula>
    </cfRule>
  </conditionalFormatting>
  <conditionalFormatting sqref="J26:M26">
    <cfRule type="expression" dxfId="3417" priority="3387">
      <formula>$D26=$A$2</formula>
    </cfRule>
  </conditionalFormatting>
  <conditionalFormatting sqref="J26:M26">
    <cfRule type="expression" dxfId="3416" priority="3388">
      <formula>($D26=$A$2)</formula>
    </cfRule>
    <cfRule type="expression" dxfId="3415" priority="3389">
      <formula>OR($E26="토",$E26="일")</formula>
    </cfRule>
  </conditionalFormatting>
  <conditionalFormatting sqref="J25:M25">
    <cfRule type="expression" dxfId="3414" priority="3384">
      <formula>$D25=$A$2</formula>
    </cfRule>
  </conditionalFormatting>
  <conditionalFormatting sqref="J25:M25">
    <cfRule type="expression" dxfId="3413" priority="3385">
      <formula>($D25=$A$2)</formula>
    </cfRule>
    <cfRule type="expression" dxfId="3412" priority="3386">
      <formula>OR($E25="토",$E25="일")</formula>
    </cfRule>
  </conditionalFormatting>
  <conditionalFormatting sqref="L23:L24">
    <cfRule type="expression" dxfId="3411" priority="3350">
      <formula>$D23=$A$2</formula>
    </cfRule>
  </conditionalFormatting>
  <conditionalFormatting sqref="L23:L24">
    <cfRule type="expression" dxfId="3410" priority="3347">
      <formula>$D23=$A$2</formula>
    </cfRule>
  </conditionalFormatting>
  <conditionalFormatting sqref="L23:L24">
    <cfRule type="expression" dxfId="3409" priority="3348">
      <formula>($D23=$A$2)</formula>
    </cfRule>
    <cfRule type="expression" dxfId="3408" priority="3349">
      <formula>OR($E23="토",$E23="일")</formula>
    </cfRule>
  </conditionalFormatting>
  <conditionalFormatting sqref="L23:L24">
    <cfRule type="expression" dxfId="3407" priority="3344">
      <formula>$D23=$A$2</formula>
    </cfRule>
  </conditionalFormatting>
  <conditionalFormatting sqref="L23:L24">
    <cfRule type="expression" dxfId="3406" priority="3345">
      <formula>($D23=$A$2)</formula>
    </cfRule>
    <cfRule type="expression" dxfId="3405" priority="3346">
      <formula>OR($E23="토",$E23="일")</formula>
    </cfRule>
  </conditionalFormatting>
  <conditionalFormatting sqref="L23:L24">
    <cfRule type="expression" dxfId="3404" priority="3341">
      <formula>$D23=$A$2</formula>
    </cfRule>
  </conditionalFormatting>
  <conditionalFormatting sqref="L23:L24">
    <cfRule type="expression" dxfId="3403" priority="3342">
      <formula>($D23=$A$2)</formula>
    </cfRule>
    <cfRule type="expression" dxfId="3402" priority="3343">
      <formula>OR($E23="토",$E23="일")</formula>
    </cfRule>
  </conditionalFormatting>
  <conditionalFormatting sqref="L23:L24">
    <cfRule type="expression" dxfId="3401" priority="3338">
      <formula>$D23=$A$2</formula>
    </cfRule>
  </conditionalFormatting>
  <conditionalFormatting sqref="L23:L24">
    <cfRule type="expression" dxfId="3400" priority="3339">
      <formula>($D23=$A$2)</formula>
    </cfRule>
    <cfRule type="expression" dxfId="3399" priority="3340">
      <formula>OR($E23="토",$E23="일")</formula>
    </cfRule>
  </conditionalFormatting>
  <conditionalFormatting sqref="L23:L24">
    <cfRule type="expression" dxfId="3398" priority="3336">
      <formula>($D23=$A$2)</formula>
    </cfRule>
    <cfRule type="expression" dxfId="3397" priority="3337">
      <formula>OR($E23="토",$E23="일")</formula>
    </cfRule>
  </conditionalFormatting>
  <conditionalFormatting sqref="L23:L24">
    <cfRule type="expression" dxfId="3396" priority="3333">
      <formula>$D23=$A$2</formula>
    </cfRule>
  </conditionalFormatting>
  <conditionalFormatting sqref="L23:L24">
    <cfRule type="expression" dxfId="3395" priority="3334">
      <formula>($D23=$A$2)</formula>
    </cfRule>
    <cfRule type="expression" dxfId="3394" priority="3335">
      <formula>OR($E23="토",$E23="일")</formula>
    </cfRule>
  </conditionalFormatting>
  <conditionalFormatting sqref="L23:L24">
    <cfRule type="expression" dxfId="3393" priority="3330">
      <formula>$D23=$A$2</formula>
    </cfRule>
  </conditionalFormatting>
  <conditionalFormatting sqref="L23:L24">
    <cfRule type="expression" dxfId="3392" priority="3331">
      <formula>($D23=$A$2)</formula>
    </cfRule>
    <cfRule type="expression" dxfId="3391" priority="3332">
      <formula>OR($E23="토",$E23="일")</formula>
    </cfRule>
  </conditionalFormatting>
  <conditionalFormatting sqref="L23:L24">
    <cfRule type="expression" dxfId="3390" priority="3327">
      <formula>$D23=$A$2</formula>
    </cfRule>
  </conditionalFormatting>
  <conditionalFormatting sqref="L23:L24">
    <cfRule type="expression" dxfId="3389" priority="3328">
      <formula>($D23=$A$2)</formula>
    </cfRule>
    <cfRule type="expression" dxfId="3388" priority="3329">
      <formula>OR($E23="토",$E23="일")</formula>
    </cfRule>
  </conditionalFormatting>
  <conditionalFormatting sqref="L23:L24">
    <cfRule type="expression" dxfId="3387" priority="3324">
      <formula>$D23=$A$2</formula>
    </cfRule>
  </conditionalFormatting>
  <conditionalFormatting sqref="L23:L24">
    <cfRule type="expression" dxfId="3386" priority="3325">
      <formula>($D23=$A$2)</formula>
    </cfRule>
    <cfRule type="expression" dxfId="3385" priority="3326">
      <formula>OR($E23="토",$E23="일")</formula>
    </cfRule>
  </conditionalFormatting>
  <conditionalFormatting sqref="L23:L24">
    <cfRule type="expression" dxfId="3384" priority="3321">
      <formula>$D23=$A$2</formula>
    </cfRule>
  </conditionalFormatting>
  <conditionalFormatting sqref="L23:L24">
    <cfRule type="expression" dxfId="3383" priority="3322">
      <formula>($D23=$A$2)</formula>
    </cfRule>
    <cfRule type="expression" dxfId="3382" priority="3323">
      <formula>OR($E23="토",$E23="일")</formula>
    </cfRule>
  </conditionalFormatting>
  <conditionalFormatting sqref="L23:L24">
    <cfRule type="expression" dxfId="3381" priority="3318">
      <formula>$D23=$A$2</formula>
    </cfRule>
  </conditionalFormatting>
  <conditionalFormatting sqref="L23:L24">
    <cfRule type="expression" dxfId="3380" priority="3319">
      <formula>($D23=$A$2)</formula>
    </cfRule>
    <cfRule type="expression" dxfId="3379" priority="3320">
      <formula>OR($E23="토",$E23="일")</formula>
    </cfRule>
  </conditionalFormatting>
  <conditionalFormatting sqref="L23:L24">
    <cfRule type="expression" dxfId="3378" priority="3317">
      <formula>$D23=$A$2</formula>
    </cfRule>
  </conditionalFormatting>
  <conditionalFormatting sqref="L23:L24">
    <cfRule type="expression" dxfId="3377" priority="3314">
      <formula>$D23=$A$2</formula>
    </cfRule>
  </conditionalFormatting>
  <conditionalFormatting sqref="L23:L24">
    <cfRule type="expression" dxfId="3376" priority="3315">
      <formula>($D23=$A$2)</formula>
    </cfRule>
    <cfRule type="expression" dxfId="3375" priority="3316">
      <formula>OR($E23="토",$E23="일")</formula>
    </cfRule>
  </conditionalFormatting>
  <conditionalFormatting sqref="L23:L24">
    <cfRule type="expression" dxfId="3374" priority="3311">
      <formula>$D23=$A$2</formula>
    </cfRule>
  </conditionalFormatting>
  <conditionalFormatting sqref="L23:L24">
    <cfRule type="expression" dxfId="3373" priority="3312">
      <formula>($D23=$A$2)</formula>
    </cfRule>
    <cfRule type="expression" dxfId="3372" priority="3313">
      <formula>OR($E23="토",$E23="일")</formula>
    </cfRule>
  </conditionalFormatting>
  <conditionalFormatting sqref="L23:L24">
    <cfRule type="expression" dxfId="3371" priority="3308">
      <formula>$D23=$A$2</formula>
    </cfRule>
  </conditionalFormatting>
  <conditionalFormatting sqref="L23:L24">
    <cfRule type="expression" dxfId="3370" priority="3309">
      <formula>($D23=$A$2)</formula>
    </cfRule>
    <cfRule type="expression" dxfId="3369" priority="3310">
      <formula>OR($E23="토",$E23="일")</formula>
    </cfRule>
  </conditionalFormatting>
  <conditionalFormatting sqref="L23:L24">
    <cfRule type="expression" dxfId="3368" priority="3305">
      <formula>$D23=$A$2</formula>
    </cfRule>
  </conditionalFormatting>
  <conditionalFormatting sqref="L23:L24">
    <cfRule type="expression" dxfId="3367" priority="3306">
      <formula>($D23=$A$2)</formula>
    </cfRule>
    <cfRule type="expression" dxfId="3366" priority="3307">
      <formula>OR($E23="토",$E23="일")</formula>
    </cfRule>
  </conditionalFormatting>
  <conditionalFormatting sqref="L23:L24">
    <cfRule type="expression" dxfId="3365" priority="3303">
      <formula>($D23=$A$2)</formula>
    </cfRule>
    <cfRule type="expression" dxfId="3364" priority="3304">
      <formula>OR($E23="토",$E23="일")</formula>
    </cfRule>
  </conditionalFormatting>
  <conditionalFormatting sqref="L23:L24">
    <cfRule type="expression" dxfId="3363" priority="3300">
      <formula>$D23=$A$2</formula>
    </cfRule>
  </conditionalFormatting>
  <conditionalFormatting sqref="L23:L24">
    <cfRule type="expression" dxfId="3362" priority="3301">
      <formula>($D23=$A$2)</formula>
    </cfRule>
    <cfRule type="expression" dxfId="3361" priority="3302">
      <formula>OR($E23="토",$E23="일")</formula>
    </cfRule>
  </conditionalFormatting>
  <conditionalFormatting sqref="L23:L24">
    <cfRule type="expression" dxfId="3360" priority="3297">
      <formula>$D23=$A$2</formula>
    </cfRule>
  </conditionalFormatting>
  <conditionalFormatting sqref="L23:L24">
    <cfRule type="expression" dxfId="3359" priority="3298">
      <formula>($D23=$A$2)</formula>
    </cfRule>
    <cfRule type="expression" dxfId="3358" priority="3299">
      <formula>OR($E23="토",$E23="일")</formula>
    </cfRule>
  </conditionalFormatting>
  <conditionalFormatting sqref="L23:L24">
    <cfRule type="expression" dxfId="3357" priority="3294">
      <formula>$D23=$A$2</formula>
    </cfRule>
  </conditionalFormatting>
  <conditionalFormatting sqref="L23:L24">
    <cfRule type="expression" dxfId="3356" priority="3295">
      <formula>($D23=$A$2)</formula>
    </cfRule>
    <cfRule type="expression" dxfId="3355" priority="3296">
      <formula>OR($E23="토",$E23="일")</formula>
    </cfRule>
  </conditionalFormatting>
  <conditionalFormatting sqref="L23:L24">
    <cfRule type="expression" dxfId="3354" priority="3291">
      <formula>$D23=$A$2</formula>
    </cfRule>
  </conditionalFormatting>
  <conditionalFormatting sqref="L23:L24">
    <cfRule type="expression" dxfId="3353" priority="3292">
      <formula>($D23=$A$2)</formula>
    </cfRule>
    <cfRule type="expression" dxfId="3352" priority="3293">
      <formula>OR($E23="토",$E23="일")</formula>
    </cfRule>
  </conditionalFormatting>
  <conditionalFormatting sqref="L23:L24">
    <cfRule type="expression" dxfId="3351" priority="3288">
      <formula>$D23=$A$2</formula>
    </cfRule>
  </conditionalFormatting>
  <conditionalFormatting sqref="L23:L24">
    <cfRule type="expression" dxfId="3350" priority="3289">
      <formula>($D23=$A$2)</formula>
    </cfRule>
    <cfRule type="expression" dxfId="3349" priority="3290">
      <formula>OR($E23="토",$E23="일")</formula>
    </cfRule>
  </conditionalFormatting>
  <conditionalFormatting sqref="L23:L24">
    <cfRule type="expression" dxfId="3348" priority="3285">
      <formula>$D23=$A$2</formula>
    </cfRule>
  </conditionalFormatting>
  <conditionalFormatting sqref="L23:L24">
    <cfRule type="expression" dxfId="3347" priority="3286">
      <formula>($D23=$A$2)</formula>
    </cfRule>
    <cfRule type="expression" dxfId="3346" priority="3287">
      <formula>OR($E23="토",$E23="일")</formula>
    </cfRule>
  </conditionalFormatting>
  <conditionalFormatting sqref="J20:M20">
    <cfRule type="expression" dxfId="3345" priority="3283">
      <formula>($D20=$A$2)</formula>
    </cfRule>
    <cfRule type="expression" dxfId="3344" priority="3284">
      <formula>OR($E20="토",$E20="일")</formula>
    </cfRule>
  </conditionalFormatting>
  <conditionalFormatting sqref="L19:M19">
    <cfRule type="expression" dxfId="3343" priority="3280">
      <formula>$D19=$A$2</formula>
    </cfRule>
  </conditionalFormatting>
  <conditionalFormatting sqref="L19:M19">
    <cfRule type="expression" dxfId="3342" priority="3281">
      <formula>($D19=$A$2)</formula>
    </cfRule>
    <cfRule type="expression" dxfId="3341" priority="3282">
      <formula>OR($E19="토",$E19="일")</formula>
    </cfRule>
  </conditionalFormatting>
  <conditionalFormatting sqref="G21:H21">
    <cfRule type="expression" dxfId="3340" priority="3277">
      <formula>$D21=$A$2</formula>
    </cfRule>
  </conditionalFormatting>
  <conditionalFormatting sqref="G21:H21">
    <cfRule type="expression" dxfId="3339" priority="3278">
      <formula>($D21=$A$2)</formula>
    </cfRule>
    <cfRule type="expression" dxfId="3338" priority="3279">
      <formula>OR($E21="토",$E21="일")</formula>
    </cfRule>
  </conditionalFormatting>
  <conditionalFormatting sqref="G20:H20">
    <cfRule type="expression" dxfId="3337" priority="3274">
      <formula>$D20=$A$2</formula>
    </cfRule>
  </conditionalFormatting>
  <conditionalFormatting sqref="G20:H20">
    <cfRule type="expression" dxfId="3336" priority="3275">
      <formula>($D20=$A$2)</formula>
    </cfRule>
    <cfRule type="expression" dxfId="3335" priority="3276">
      <formula>OR($E20="토",$E20="일")</formula>
    </cfRule>
  </conditionalFormatting>
  <conditionalFormatting sqref="L16:M16">
    <cfRule type="expression" dxfId="3334" priority="3271">
      <formula>$D16=$A$2</formula>
    </cfRule>
  </conditionalFormatting>
  <conditionalFormatting sqref="L16:M16">
    <cfRule type="expression" dxfId="3333" priority="3272">
      <formula>($D16=$A$2)</formula>
    </cfRule>
    <cfRule type="expression" dxfId="3332" priority="3273">
      <formula>OR($E16="토",$E16="일")</formula>
    </cfRule>
  </conditionalFormatting>
  <conditionalFormatting sqref="L18:M18">
    <cfRule type="expression" dxfId="3331" priority="3268">
      <formula>$D18=$A$2</formula>
    </cfRule>
  </conditionalFormatting>
  <conditionalFormatting sqref="L18:M18">
    <cfRule type="expression" dxfId="3330" priority="3269">
      <formula>($D18=$A$2)</formula>
    </cfRule>
    <cfRule type="expression" dxfId="3329" priority="3270">
      <formula>OR($E18="토",$E18="일")</formula>
    </cfRule>
  </conditionalFormatting>
  <conditionalFormatting sqref="J21:M21">
    <cfRule type="expression" dxfId="3328" priority="3265">
      <formula>$D21=$A$2</formula>
    </cfRule>
  </conditionalFormatting>
  <conditionalFormatting sqref="J21:M21">
    <cfRule type="expression" dxfId="3327" priority="3266">
      <formula>($D21=$A$2)</formula>
    </cfRule>
    <cfRule type="expression" dxfId="3326" priority="3267">
      <formula>OR($E21="토",$E21="일")</formula>
    </cfRule>
  </conditionalFormatting>
  <conditionalFormatting sqref="L20:M20">
    <cfRule type="expression" dxfId="3325" priority="3262">
      <formula>$D20=$A$2</formula>
    </cfRule>
  </conditionalFormatting>
  <conditionalFormatting sqref="L20:M20">
    <cfRule type="expression" dxfId="3324" priority="3263">
      <formula>($D20=$A$2)</formula>
    </cfRule>
    <cfRule type="expression" dxfId="3323" priority="3264">
      <formula>OR($E20="토",$E20="일")</formula>
    </cfRule>
  </conditionalFormatting>
  <conditionalFormatting sqref="J21:M21">
    <cfRule type="expression" dxfId="3322" priority="3259">
      <formula>$D21=$A$2</formula>
    </cfRule>
  </conditionalFormatting>
  <conditionalFormatting sqref="J21:M21">
    <cfRule type="expression" dxfId="3321" priority="3260">
      <formula>($D21=$A$2)</formula>
    </cfRule>
    <cfRule type="expression" dxfId="3320" priority="3261">
      <formula>OR($E21="토",$E21="일")</formula>
    </cfRule>
  </conditionalFormatting>
  <conditionalFormatting sqref="L24:M24">
    <cfRule type="expression" dxfId="3319" priority="3256">
      <formula>$D24=$A$2</formula>
    </cfRule>
  </conditionalFormatting>
  <conditionalFormatting sqref="L24:M24">
    <cfRule type="expression" dxfId="3318" priority="3257">
      <formula>($D24=$A$2)</formula>
    </cfRule>
    <cfRule type="expression" dxfId="3317" priority="3258">
      <formula>OR($E24="토",$E24="일")</formula>
    </cfRule>
  </conditionalFormatting>
  <conditionalFormatting sqref="G21:H21">
    <cfRule type="expression" dxfId="3316" priority="3250">
      <formula>$D21=$A$2</formula>
    </cfRule>
  </conditionalFormatting>
  <conditionalFormatting sqref="G21:H21">
    <cfRule type="expression" dxfId="3315" priority="3251">
      <formula>($D21=$A$2)</formula>
    </cfRule>
    <cfRule type="expression" dxfId="3314" priority="3252">
      <formula>OR($E21="토",$E21="일")</formula>
    </cfRule>
  </conditionalFormatting>
  <conditionalFormatting sqref="L21:M21">
    <cfRule type="expression" dxfId="3313" priority="3244">
      <formula>$D21=$A$2</formula>
    </cfRule>
  </conditionalFormatting>
  <conditionalFormatting sqref="L21:M21">
    <cfRule type="expression" dxfId="3312" priority="3245">
      <formula>($D21=$A$2)</formula>
    </cfRule>
    <cfRule type="expression" dxfId="3311" priority="3246">
      <formula>OR($E21="토",$E21="일")</formula>
    </cfRule>
  </conditionalFormatting>
  <conditionalFormatting sqref="L24:M24">
    <cfRule type="expression" dxfId="3310" priority="3241">
      <formula>$D24=$A$2</formula>
    </cfRule>
  </conditionalFormatting>
  <conditionalFormatting sqref="L24:M24">
    <cfRule type="expression" dxfId="3309" priority="3242">
      <formula>($D24=$A$2)</formula>
    </cfRule>
    <cfRule type="expression" dxfId="3308" priority="3243">
      <formula>OR($E24="토",$E24="일")</formula>
    </cfRule>
  </conditionalFormatting>
  <conditionalFormatting sqref="L24:M24">
    <cfRule type="expression" dxfId="3307" priority="3238">
      <formula>$D24=$A$2</formula>
    </cfRule>
  </conditionalFormatting>
  <conditionalFormatting sqref="L24:M24">
    <cfRule type="expression" dxfId="3306" priority="3239">
      <formula>($D24=$A$2)</formula>
    </cfRule>
    <cfRule type="expression" dxfId="3305" priority="3240">
      <formula>OR($E24="토",$E24="일")</formula>
    </cfRule>
  </conditionalFormatting>
  <conditionalFormatting sqref="J24:M24">
    <cfRule type="expression" dxfId="3304" priority="3235">
      <formula>$D24=$A$2</formula>
    </cfRule>
  </conditionalFormatting>
  <conditionalFormatting sqref="J24:M24">
    <cfRule type="expression" dxfId="3303" priority="3236">
      <formula>($D24=$A$2)</formula>
    </cfRule>
    <cfRule type="expression" dxfId="3302" priority="3237">
      <formula>OR($E24="토",$E24="일")</formula>
    </cfRule>
  </conditionalFormatting>
  <conditionalFormatting sqref="G23:H23">
    <cfRule type="expression" dxfId="3301" priority="3232">
      <formula>$D23=$A$2</formula>
    </cfRule>
  </conditionalFormatting>
  <conditionalFormatting sqref="G23:H23">
    <cfRule type="expression" dxfId="3300" priority="3233">
      <formula>($D23=$A$2)</formula>
    </cfRule>
    <cfRule type="expression" dxfId="3299" priority="3234">
      <formula>OR($E23="토",$E23="일")</formula>
    </cfRule>
  </conditionalFormatting>
  <conditionalFormatting sqref="J23:M23">
    <cfRule type="expression" dxfId="3298" priority="3229">
      <formula>$D23=$A$2</formula>
    </cfRule>
  </conditionalFormatting>
  <conditionalFormatting sqref="J23:M23">
    <cfRule type="expression" dxfId="3297" priority="3230">
      <formula>($D23=$A$2)</formula>
    </cfRule>
    <cfRule type="expression" dxfId="3296" priority="3231">
      <formula>OR($E23="토",$E23="일")</formula>
    </cfRule>
  </conditionalFormatting>
  <conditionalFormatting sqref="J21:M21">
    <cfRule type="expression" dxfId="3295" priority="3226">
      <formula>$D21=$A$2</formula>
    </cfRule>
  </conditionalFormatting>
  <conditionalFormatting sqref="J21:M21">
    <cfRule type="expression" dxfId="3294" priority="3227">
      <formula>($D21=$A$2)</formula>
    </cfRule>
    <cfRule type="expression" dxfId="3293" priority="3228">
      <formula>OR($E21="토",$E21="일")</formula>
    </cfRule>
  </conditionalFormatting>
  <conditionalFormatting sqref="K20:M20">
    <cfRule type="expression" dxfId="3292" priority="3223">
      <formula>$D20=$A$2</formula>
    </cfRule>
  </conditionalFormatting>
  <conditionalFormatting sqref="K20:M20">
    <cfRule type="expression" dxfId="3291" priority="3224">
      <formula>($D20=$A$2)</formula>
    </cfRule>
    <cfRule type="expression" dxfId="3290" priority="3225">
      <formula>OR($E20="토",$E20="일")</formula>
    </cfRule>
  </conditionalFormatting>
  <conditionalFormatting sqref="L19:M19">
    <cfRule type="expression" dxfId="3289" priority="3220">
      <formula>$D19=$A$2</formula>
    </cfRule>
  </conditionalFormatting>
  <conditionalFormatting sqref="L19:M19">
    <cfRule type="expression" dxfId="3288" priority="3221">
      <formula>($D19=$A$2)</formula>
    </cfRule>
    <cfRule type="expression" dxfId="3287" priority="3222">
      <formula>OR($E19="토",$E19="일")</formula>
    </cfRule>
  </conditionalFormatting>
  <conditionalFormatting sqref="L21:M21">
    <cfRule type="expression" dxfId="3286" priority="3214">
      <formula>$D21=$A$2</formula>
    </cfRule>
  </conditionalFormatting>
  <conditionalFormatting sqref="L21:M21">
    <cfRule type="expression" dxfId="3285" priority="3215">
      <formula>($D21=$A$2)</formula>
    </cfRule>
    <cfRule type="expression" dxfId="3284" priority="3216">
      <formula>OR($E21="토",$E21="일")</formula>
    </cfRule>
  </conditionalFormatting>
  <conditionalFormatting sqref="J23:M23">
    <cfRule type="expression" dxfId="3283" priority="3208">
      <formula>$D23=$A$2</formula>
    </cfRule>
  </conditionalFormatting>
  <conditionalFormatting sqref="J23:M23">
    <cfRule type="expression" dxfId="3282" priority="3209">
      <formula>($D23=$A$2)</formula>
    </cfRule>
    <cfRule type="expression" dxfId="3281" priority="3210">
      <formula>OR($E23="토",$E23="일")</formula>
    </cfRule>
  </conditionalFormatting>
  <conditionalFormatting sqref="J24:M24">
    <cfRule type="expression" dxfId="3280" priority="3202">
      <formula>$D24=$A$2</formula>
    </cfRule>
  </conditionalFormatting>
  <conditionalFormatting sqref="J24:M24">
    <cfRule type="expression" dxfId="3279" priority="3203">
      <formula>($D24=$A$2)</formula>
    </cfRule>
    <cfRule type="expression" dxfId="3278" priority="3204">
      <formula>OR($E24="토",$E24="일")</formula>
    </cfRule>
  </conditionalFormatting>
  <conditionalFormatting sqref="L20:M20">
    <cfRule type="expression" dxfId="3277" priority="3199">
      <formula>$D20=$A$2</formula>
    </cfRule>
  </conditionalFormatting>
  <conditionalFormatting sqref="L20:M20">
    <cfRule type="expression" dxfId="3276" priority="3200">
      <formula>($D20=$A$2)</formula>
    </cfRule>
    <cfRule type="expression" dxfId="3275" priority="3201">
      <formula>OR($E20="토",$E20="일")</formula>
    </cfRule>
  </conditionalFormatting>
  <conditionalFormatting sqref="L20:M20">
    <cfRule type="expression" dxfId="3274" priority="3196">
      <formula>$D20=$A$2</formula>
    </cfRule>
  </conditionalFormatting>
  <conditionalFormatting sqref="L20:M20">
    <cfRule type="expression" dxfId="3273" priority="3197">
      <formula>($D20=$A$2)</formula>
    </cfRule>
    <cfRule type="expression" dxfId="3272" priority="3198">
      <formula>OR($E20="토",$E20="일")</formula>
    </cfRule>
  </conditionalFormatting>
  <conditionalFormatting sqref="L20:M20">
    <cfRule type="expression" dxfId="3271" priority="3193">
      <formula>$D20=$A$2</formula>
    </cfRule>
  </conditionalFormatting>
  <conditionalFormatting sqref="L20:M20">
    <cfRule type="expression" dxfId="3270" priority="3194">
      <formula>($D20=$A$2)</formula>
    </cfRule>
    <cfRule type="expression" dxfId="3269" priority="3195">
      <formula>OR($E20="토",$E20="일")</formula>
    </cfRule>
  </conditionalFormatting>
  <conditionalFormatting sqref="L20:M20">
    <cfRule type="expression" dxfId="3268" priority="3190">
      <formula>$D20=$A$2</formula>
    </cfRule>
  </conditionalFormatting>
  <conditionalFormatting sqref="L20:M20">
    <cfRule type="expression" dxfId="3267" priority="3191">
      <formula>($D20=$A$2)</formula>
    </cfRule>
    <cfRule type="expression" dxfId="3266" priority="3192">
      <formula>OR($E20="토",$E20="일")</formula>
    </cfRule>
  </conditionalFormatting>
  <conditionalFormatting sqref="L23:M23">
    <cfRule type="expression" dxfId="3265" priority="3187">
      <formula>$D23=$A$2</formula>
    </cfRule>
  </conditionalFormatting>
  <conditionalFormatting sqref="L23:M23">
    <cfRule type="expression" dxfId="3264" priority="3188">
      <formula>($D23=$A$2)</formula>
    </cfRule>
    <cfRule type="expression" dxfId="3263" priority="3189">
      <formula>OR($E23="토",$E23="일")</formula>
    </cfRule>
  </conditionalFormatting>
  <conditionalFormatting sqref="L23:M23">
    <cfRule type="expression" dxfId="3262" priority="3184">
      <formula>$D23=$A$2</formula>
    </cfRule>
  </conditionalFormatting>
  <conditionalFormatting sqref="L23:M23">
    <cfRule type="expression" dxfId="3261" priority="3185">
      <formula>($D23=$A$2)</formula>
    </cfRule>
    <cfRule type="expression" dxfId="3260" priority="3186">
      <formula>OR($E23="토",$E23="일")</formula>
    </cfRule>
  </conditionalFormatting>
  <conditionalFormatting sqref="L23:M23">
    <cfRule type="expression" dxfId="3259" priority="3181">
      <formula>$D23=$A$2</formula>
    </cfRule>
  </conditionalFormatting>
  <conditionalFormatting sqref="L23:M23">
    <cfRule type="expression" dxfId="3258" priority="3182">
      <formula>($D23=$A$2)</formula>
    </cfRule>
    <cfRule type="expression" dxfId="3257" priority="3183">
      <formula>OR($E23="토",$E23="일")</formula>
    </cfRule>
  </conditionalFormatting>
  <conditionalFormatting sqref="J23:M23">
    <cfRule type="expression" dxfId="3256" priority="3178">
      <formula>$D23=$A$2</formula>
    </cfRule>
  </conditionalFormatting>
  <conditionalFormatting sqref="J23:M23">
    <cfRule type="expression" dxfId="3255" priority="3179">
      <formula>($D23=$A$2)</formula>
    </cfRule>
    <cfRule type="expression" dxfId="3254" priority="3180">
      <formula>OR($E23="토",$E23="일")</formula>
    </cfRule>
  </conditionalFormatting>
  <conditionalFormatting sqref="L24:M24">
    <cfRule type="expression" dxfId="3253" priority="3175">
      <formula>$D24=$A$2</formula>
    </cfRule>
  </conditionalFormatting>
  <conditionalFormatting sqref="L24:M24">
    <cfRule type="expression" dxfId="3252" priority="3176">
      <formula>($D24=$A$2)</formula>
    </cfRule>
    <cfRule type="expression" dxfId="3251" priority="3177">
      <formula>OR($E24="토",$E24="일")</formula>
    </cfRule>
  </conditionalFormatting>
  <conditionalFormatting sqref="L24:M24">
    <cfRule type="expression" dxfId="3250" priority="3172">
      <formula>$D24=$A$2</formula>
    </cfRule>
  </conditionalFormatting>
  <conditionalFormatting sqref="L24:M24">
    <cfRule type="expression" dxfId="3249" priority="3173">
      <formula>($D24=$A$2)</formula>
    </cfRule>
    <cfRule type="expression" dxfId="3248" priority="3174">
      <formula>OR($E24="토",$E24="일")</formula>
    </cfRule>
  </conditionalFormatting>
  <conditionalFormatting sqref="L24:M24">
    <cfRule type="expression" dxfId="3247" priority="3169">
      <formula>$D24=$A$2</formula>
    </cfRule>
  </conditionalFormatting>
  <conditionalFormatting sqref="L24:M24">
    <cfRule type="expression" dxfId="3246" priority="3170">
      <formula>($D24=$A$2)</formula>
    </cfRule>
    <cfRule type="expression" dxfId="3245" priority="3171">
      <formula>OR($E24="토",$E24="일")</formula>
    </cfRule>
  </conditionalFormatting>
  <conditionalFormatting sqref="J24:M24">
    <cfRule type="expression" dxfId="3244" priority="3166">
      <formula>$D24=$A$2</formula>
    </cfRule>
  </conditionalFormatting>
  <conditionalFormatting sqref="J24:M24">
    <cfRule type="expression" dxfId="3243" priority="3167">
      <formula>($D24=$A$2)</formula>
    </cfRule>
    <cfRule type="expression" dxfId="3242" priority="3168">
      <formula>OR($E24="토",$E24="일")</formula>
    </cfRule>
  </conditionalFormatting>
  <conditionalFormatting sqref="J23:M23">
    <cfRule type="expression" dxfId="3241" priority="3163">
      <formula>$D23=$A$2</formula>
    </cfRule>
  </conditionalFormatting>
  <conditionalFormatting sqref="J23:M23">
    <cfRule type="expression" dxfId="3240" priority="3164">
      <formula>($D23=$A$2)</formula>
    </cfRule>
    <cfRule type="expression" dxfId="3239" priority="3165">
      <formula>OR($E23="토",$E23="일")</formula>
    </cfRule>
  </conditionalFormatting>
  <conditionalFormatting sqref="L25:M25">
    <cfRule type="expression" dxfId="3238" priority="3160">
      <formula>$D25=$A$2</formula>
    </cfRule>
  </conditionalFormatting>
  <conditionalFormatting sqref="L25:M25">
    <cfRule type="expression" dxfId="3237" priority="3161">
      <formula>($D25=$A$2)</formula>
    </cfRule>
    <cfRule type="expression" dxfId="3236" priority="3162">
      <formula>OR($E25="토",$E25="일")</formula>
    </cfRule>
  </conditionalFormatting>
  <conditionalFormatting sqref="L25:M25">
    <cfRule type="expression" dxfId="3235" priority="3157">
      <formula>$D25=$A$2</formula>
    </cfRule>
  </conditionalFormatting>
  <conditionalFormatting sqref="L25:M25">
    <cfRule type="expression" dxfId="3234" priority="3158">
      <formula>($D25=$A$2)</formula>
    </cfRule>
    <cfRule type="expression" dxfId="3233" priority="3159">
      <formula>OR($E25="토",$E25="일")</formula>
    </cfRule>
  </conditionalFormatting>
  <conditionalFormatting sqref="L25:M25">
    <cfRule type="expression" dxfId="3232" priority="3154">
      <formula>$D25=$A$2</formula>
    </cfRule>
  </conditionalFormatting>
  <conditionalFormatting sqref="L25:M25">
    <cfRule type="expression" dxfId="3231" priority="3155">
      <formula>($D25=$A$2)</formula>
    </cfRule>
    <cfRule type="expression" dxfId="3230" priority="3156">
      <formula>OR($E25="토",$E25="일")</formula>
    </cfRule>
  </conditionalFormatting>
  <conditionalFormatting sqref="L25:M25">
    <cfRule type="expression" dxfId="3229" priority="3151">
      <formula>$D25=$A$2</formula>
    </cfRule>
  </conditionalFormatting>
  <conditionalFormatting sqref="L25:M25">
    <cfRule type="expression" dxfId="3228" priority="3152">
      <formula>($D25=$A$2)</formula>
    </cfRule>
    <cfRule type="expression" dxfId="3227" priority="3153">
      <formula>OR($E25="토",$E25="일")</formula>
    </cfRule>
  </conditionalFormatting>
  <conditionalFormatting sqref="L25:M25">
    <cfRule type="expression" dxfId="3226" priority="3148">
      <formula>$D25=$A$2</formula>
    </cfRule>
  </conditionalFormatting>
  <conditionalFormatting sqref="L25:M25">
    <cfRule type="expression" dxfId="3225" priority="3149">
      <formula>($D25=$A$2)</formula>
    </cfRule>
    <cfRule type="expression" dxfId="3224" priority="3150">
      <formula>OR($E25="토",$E25="일")</formula>
    </cfRule>
  </conditionalFormatting>
  <conditionalFormatting sqref="J25:M25">
    <cfRule type="expression" dxfId="3223" priority="3145">
      <formula>$D25=$A$2</formula>
    </cfRule>
  </conditionalFormatting>
  <conditionalFormatting sqref="J25:M25">
    <cfRule type="expression" dxfId="3222" priority="3146">
      <formula>($D25=$A$2)</formula>
    </cfRule>
    <cfRule type="expression" dxfId="3221" priority="3147">
      <formula>OR($E25="토",$E25="일")</formula>
    </cfRule>
  </conditionalFormatting>
  <conditionalFormatting sqref="J25:M25">
    <cfRule type="expression" dxfId="3220" priority="3142">
      <formula>$D25=$A$2</formula>
    </cfRule>
  </conditionalFormatting>
  <conditionalFormatting sqref="J25:M25">
    <cfRule type="expression" dxfId="3219" priority="3143">
      <formula>($D25=$A$2)</formula>
    </cfRule>
    <cfRule type="expression" dxfId="3218" priority="3144">
      <formula>OR($E25="토",$E25="일")</formula>
    </cfRule>
  </conditionalFormatting>
  <conditionalFormatting sqref="L25:M25">
    <cfRule type="expression" dxfId="3217" priority="3139">
      <formula>$D25=$A$2</formula>
    </cfRule>
  </conditionalFormatting>
  <conditionalFormatting sqref="L25:M25">
    <cfRule type="expression" dxfId="3216" priority="3140">
      <formula>($D25=$A$2)</formula>
    </cfRule>
    <cfRule type="expression" dxfId="3215" priority="3141">
      <formula>OR($E25="토",$E25="일")</formula>
    </cfRule>
  </conditionalFormatting>
  <conditionalFormatting sqref="L25:M25">
    <cfRule type="expression" dxfId="3214" priority="3136">
      <formula>$D25=$A$2</formula>
    </cfRule>
  </conditionalFormatting>
  <conditionalFormatting sqref="L25:M25">
    <cfRule type="expression" dxfId="3213" priority="3137">
      <formula>($D25=$A$2)</formula>
    </cfRule>
    <cfRule type="expression" dxfId="3212" priority="3138">
      <formula>OR($E25="토",$E25="일")</formula>
    </cfRule>
  </conditionalFormatting>
  <conditionalFormatting sqref="L25:M25">
    <cfRule type="expression" dxfId="3211" priority="3133">
      <formula>$D25=$A$2</formula>
    </cfRule>
  </conditionalFormatting>
  <conditionalFormatting sqref="L25:M25">
    <cfRule type="expression" dxfId="3210" priority="3134">
      <formula>($D25=$A$2)</formula>
    </cfRule>
    <cfRule type="expression" dxfId="3209" priority="3135">
      <formula>OR($E25="토",$E25="일")</formula>
    </cfRule>
  </conditionalFormatting>
  <conditionalFormatting sqref="J25:M25">
    <cfRule type="expression" dxfId="3208" priority="3130">
      <formula>$D25=$A$2</formula>
    </cfRule>
  </conditionalFormatting>
  <conditionalFormatting sqref="J25:M25">
    <cfRule type="expression" dxfId="3207" priority="3131">
      <formula>($D25=$A$2)</formula>
    </cfRule>
    <cfRule type="expression" dxfId="3206" priority="3132">
      <formula>OR($E25="토",$E25="일")</formula>
    </cfRule>
  </conditionalFormatting>
  <conditionalFormatting sqref="K21:M21">
    <cfRule type="expression" dxfId="3205" priority="3125">
      <formula>$D21=$A$2</formula>
    </cfRule>
  </conditionalFormatting>
  <conditionalFormatting sqref="K21:M21">
    <cfRule type="expression" dxfId="3204" priority="3126">
      <formula>($D21=$A$2)</formula>
    </cfRule>
    <cfRule type="expression" dxfId="3203" priority="3127">
      <formula>OR($E21="토",$E21="일")</formula>
    </cfRule>
  </conditionalFormatting>
  <conditionalFormatting sqref="G23:H23">
    <cfRule type="expression" dxfId="3202" priority="3122">
      <formula>$D23=$A$2</formula>
    </cfRule>
  </conditionalFormatting>
  <conditionalFormatting sqref="G23:H23">
    <cfRule type="expression" dxfId="3201" priority="3123">
      <formula>($D23=$A$2)</formula>
    </cfRule>
    <cfRule type="expression" dxfId="3200" priority="3124">
      <formula>OR($E23="토",$E23="일")</formula>
    </cfRule>
  </conditionalFormatting>
  <conditionalFormatting sqref="L20:M20">
    <cfRule type="expression" dxfId="3199" priority="3116">
      <formula>$D20=$A$2</formula>
    </cfRule>
  </conditionalFormatting>
  <conditionalFormatting sqref="L20:M20">
    <cfRule type="expression" dxfId="3198" priority="3117">
      <formula>($D20=$A$2)</formula>
    </cfRule>
    <cfRule type="expression" dxfId="3197" priority="3118">
      <formula>OR($E20="토",$E20="일")</formula>
    </cfRule>
  </conditionalFormatting>
  <conditionalFormatting sqref="J23:M23">
    <cfRule type="expression" dxfId="3196" priority="3113">
      <formula>$D23=$A$2</formula>
    </cfRule>
  </conditionalFormatting>
  <conditionalFormatting sqref="J23:M23">
    <cfRule type="expression" dxfId="3195" priority="3114">
      <formula>($D23=$A$2)</formula>
    </cfRule>
    <cfRule type="expression" dxfId="3194" priority="3115">
      <formula>OR($E23="토",$E23="일")</formula>
    </cfRule>
  </conditionalFormatting>
  <conditionalFormatting sqref="J23:M23">
    <cfRule type="expression" dxfId="3193" priority="3107">
      <formula>$D23=$A$2</formula>
    </cfRule>
  </conditionalFormatting>
  <conditionalFormatting sqref="J23:M23">
    <cfRule type="expression" dxfId="3192" priority="3108">
      <formula>($D23=$A$2)</formula>
    </cfRule>
    <cfRule type="expression" dxfId="3191" priority="3109">
      <formula>OR($E23="토",$E23="일")</formula>
    </cfRule>
  </conditionalFormatting>
  <conditionalFormatting sqref="L26:M26">
    <cfRule type="expression" dxfId="3190" priority="3104">
      <formula>$D26=$A$2</formula>
    </cfRule>
  </conditionalFormatting>
  <conditionalFormatting sqref="L26:M26">
    <cfRule type="expression" dxfId="3189" priority="3105">
      <formula>($D26=$A$2)</formula>
    </cfRule>
    <cfRule type="expression" dxfId="3188" priority="3106">
      <formula>OR($E26="토",$E26="일")</formula>
    </cfRule>
  </conditionalFormatting>
  <conditionalFormatting sqref="G24:H24">
    <cfRule type="expression" dxfId="3187" priority="3101">
      <formula>$D24=$A$2</formula>
    </cfRule>
  </conditionalFormatting>
  <conditionalFormatting sqref="G24:H24">
    <cfRule type="expression" dxfId="3186" priority="3102">
      <formula>($D24=$A$2)</formula>
    </cfRule>
    <cfRule type="expression" dxfId="3185" priority="3103">
      <formula>OR($E24="토",$E24="일")</formula>
    </cfRule>
  </conditionalFormatting>
  <conditionalFormatting sqref="G23:H23">
    <cfRule type="expression" dxfId="3184" priority="3098">
      <formula>$D23=$A$2</formula>
    </cfRule>
  </conditionalFormatting>
  <conditionalFormatting sqref="G23:H23">
    <cfRule type="expression" dxfId="3183" priority="3099">
      <formula>($D23=$A$2)</formula>
    </cfRule>
    <cfRule type="expression" dxfId="3182" priority="3100">
      <formula>OR($E23="토",$E23="일")</formula>
    </cfRule>
  </conditionalFormatting>
  <conditionalFormatting sqref="J24:M24">
    <cfRule type="expression" dxfId="3181" priority="3095">
      <formula>$D24=$A$2</formula>
    </cfRule>
  </conditionalFormatting>
  <conditionalFormatting sqref="J24:M24">
    <cfRule type="expression" dxfId="3180" priority="3096">
      <formula>($D24=$A$2)</formula>
    </cfRule>
    <cfRule type="expression" dxfId="3179" priority="3097">
      <formula>OR($E24="토",$E24="일")</formula>
    </cfRule>
  </conditionalFormatting>
  <conditionalFormatting sqref="L23:M23">
    <cfRule type="expression" dxfId="3178" priority="3092">
      <formula>$D23=$A$2</formula>
    </cfRule>
  </conditionalFormatting>
  <conditionalFormatting sqref="L23:M23">
    <cfRule type="expression" dxfId="3177" priority="3093">
      <formula>($D23=$A$2)</formula>
    </cfRule>
    <cfRule type="expression" dxfId="3176" priority="3094">
      <formula>OR($E23="토",$E23="일")</formula>
    </cfRule>
  </conditionalFormatting>
  <conditionalFormatting sqref="L26:M26">
    <cfRule type="expression" dxfId="3175" priority="3089">
      <formula>$D26=$A$2</formula>
    </cfRule>
  </conditionalFormatting>
  <conditionalFormatting sqref="L26:M26">
    <cfRule type="expression" dxfId="3174" priority="3090">
      <formula>($D26=$A$2)</formula>
    </cfRule>
    <cfRule type="expression" dxfId="3173" priority="3091">
      <formula>OR($E26="토",$E26="일")</formula>
    </cfRule>
  </conditionalFormatting>
  <conditionalFormatting sqref="L26:M26">
    <cfRule type="expression" dxfId="3172" priority="3086">
      <formula>$D26=$A$2</formula>
    </cfRule>
  </conditionalFormatting>
  <conditionalFormatting sqref="L26:M26">
    <cfRule type="expression" dxfId="3171" priority="3087">
      <formula>($D26=$A$2)</formula>
    </cfRule>
    <cfRule type="expression" dxfId="3170" priority="3088">
      <formula>OR($E26="토",$E26="일")</formula>
    </cfRule>
  </conditionalFormatting>
  <conditionalFormatting sqref="J26:M26">
    <cfRule type="expression" dxfId="3169" priority="3083">
      <formula>$D26=$A$2</formula>
    </cfRule>
  </conditionalFormatting>
  <conditionalFormatting sqref="J26:M26">
    <cfRule type="expression" dxfId="3168" priority="3084">
      <formula>($D26=$A$2)</formula>
    </cfRule>
    <cfRule type="expression" dxfId="3167" priority="3085">
      <formula>OR($E26="토",$E26="일")</formula>
    </cfRule>
  </conditionalFormatting>
  <conditionalFormatting sqref="G25:H25">
    <cfRule type="expression" dxfId="3166" priority="3080">
      <formula>$D25=$A$2</formula>
    </cfRule>
  </conditionalFormatting>
  <conditionalFormatting sqref="G25:H25">
    <cfRule type="expression" dxfId="3165" priority="3081">
      <formula>($D25=$A$2)</formula>
    </cfRule>
    <cfRule type="expression" dxfId="3164" priority="3082">
      <formula>OR($E25="토",$E25="일")</formula>
    </cfRule>
  </conditionalFormatting>
  <conditionalFormatting sqref="J25:M25">
    <cfRule type="expression" dxfId="3163" priority="3077">
      <formula>$D25=$A$2</formula>
    </cfRule>
  </conditionalFormatting>
  <conditionalFormatting sqref="J25:M25">
    <cfRule type="expression" dxfId="3162" priority="3078">
      <formula>($D25=$A$2)</formula>
    </cfRule>
    <cfRule type="expression" dxfId="3161" priority="3079">
      <formula>OR($E25="토",$E25="일")</formula>
    </cfRule>
  </conditionalFormatting>
  <conditionalFormatting sqref="J23:M23">
    <cfRule type="expression" dxfId="3160" priority="3074">
      <formula>$D23=$A$2</formula>
    </cfRule>
  </conditionalFormatting>
  <conditionalFormatting sqref="J23:M23">
    <cfRule type="expression" dxfId="3159" priority="3075">
      <formula>($D23=$A$2)</formula>
    </cfRule>
    <cfRule type="expression" dxfId="3158" priority="3076">
      <formula>OR($E23="토",$E23="일")</formula>
    </cfRule>
  </conditionalFormatting>
  <conditionalFormatting sqref="L21:M21">
    <cfRule type="expression" dxfId="3157" priority="3068">
      <formula>$D21=$A$2</formula>
    </cfRule>
  </conditionalFormatting>
  <conditionalFormatting sqref="L21:M21">
    <cfRule type="expression" dxfId="3156" priority="3069">
      <formula>($D21=$A$2)</formula>
    </cfRule>
    <cfRule type="expression" dxfId="3155" priority="3070">
      <formula>OR($E21="토",$E21="일")</formula>
    </cfRule>
  </conditionalFormatting>
  <conditionalFormatting sqref="J24:M24">
    <cfRule type="expression" dxfId="3154" priority="3065">
      <formula>$D24=$A$2</formula>
    </cfRule>
  </conditionalFormatting>
  <conditionalFormatting sqref="J24:M24">
    <cfRule type="expression" dxfId="3153" priority="3066">
      <formula>($D24=$A$2)</formula>
    </cfRule>
    <cfRule type="expression" dxfId="3152" priority="3067">
      <formula>OR($E24="토",$E24="일")</formula>
    </cfRule>
  </conditionalFormatting>
  <conditionalFormatting sqref="L23:M23">
    <cfRule type="expression" dxfId="3151" priority="3062">
      <formula>$D23=$A$2</formula>
    </cfRule>
  </conditionalFormatting>
  <conditionalFormatting sqref="L23:M23">
    <cfRule type="expression" dxfId="3150" priority="3063">
      <formula>($D23=$A$2)</formula>
    </cfRule>
    <cfRule type="expression" dxfId="3149" priority="3064">
      <formula>OR($E23="토",$E23="일")</formula>
    </cfRule>
  </conditionalFormatting>
  <conditionalFormatting sqref="J24:M24">
    <cfRule type="expression" dxfId="3148" priority="3059">
      <formula>$D24=$A$2</formula>
    </cfRule>
  </conditionalFormatting>
  <conditionalFormatting sqref="J24:M24">
    <cfRule type="expression" dxfId="3147" priority="3060">
      <formula>($D24=$A$2)</formula>
    </cfRule>
    <cfRule type="expression" dxfId="3146" priority="3061">
      <formula>OR($E24="토",$E24="일")</formula>
    </cfRule>
  </conditionalFormatting>
  <conditionalFormatting sqref="J25:M25">
    <cfRule type="expression" dxfId="3145" priority="3056">
      <formula>$D25=$A$2</formula>
    </cfRule>
  </conditionalFormatting>
  <conditionalFormatting sqref="J25:M25">
    <cfRule type="expression" dxfId="3144" priority="3057">
      <formula>($D25=$A$2)</formula>
    </cfRule>
    <cfRule type="expression" dxfId="3143" priority="3058">
      <formula>OR($E25="토",$E25="일")</formula>
    </cfRule>
  </conditionalFormatting>
  <conditionalFormatting sqref="L24:M24">
    <cfRule type="expression" dxfId="3142" priority="3053">
      <formula>$D24=$A$2</formula>
    </cfRule>
  </conditionalFormatting>
  <conditionalFormatting sqref="L24:M24">
    <cfRule type="expression" dxfId="3141" priority="3054">
      <formula>($D24=$A$2)</formula>
    </cfRule>
    <cfRule type="expression" dxfId="3140" priority="3055">
      <formula>OR($E24="토",$E24="일")</formula>
    </cfRule>
  </conditionalFormatting>
  <conditionalFormatting sqref="J26:M26">
    <cfRule type="expression" dxfId="3139" priority="3050">
      <formula>$D26=$A$2</formula>
    </cfRule>
  </conditionalFormatting>
  <conditionalFormatting sqref="J26:M26">
    <cfRule type="expression" dxfId="3138" priority="3051">
      <formula>($D26=$A$2)</formula>
    </cfRule>
    <cfRule type="expression" dxfId="3137" priority="3052">
      <formula>OR($E26="토",$E26="일")</formula>
    </cfRule>
  </conditionalFormatting>
  <conditionalFormatting sqref="L25:M25">
    <cfRule type="expression" dxfId="3136" priority="3035">
      <formula>$D25=$A$2</formula>
    </cfRule>
  </conditionalFormatting>
  <conditionalFormatting sqref="L25:M25">
    <cfRule type="expression" dxfId="3135" priority="3036">
      <formula>($D25=$A$2)</formula>
    </cfRule>
    <cfRule type="expression" dxfId="3134" priority="3037">
      <formula>OR($E25="토",$E25="일")</formula>
    </cfRule>
  </conditionalFormatting>
  <conditionalFormatting sqref="L25:M25">
    <cfRule type="expression" dxfId="3133" priority="3032">
      <formula>$D25=$A$2</formula>
    </cfRule>
  </conditionalFormatting>
  <conditionalFormatting sqref="L25:M25">
    <cfRule type="expression" dxfId="3132" priority="3033">
      <formula>($D25=$A$2)</formula>
    </cfRule>
    <cfRule type="expression" dxfId="3131" priority="3034">
      <formula>OR($E25="토",$E25="일")</formula>
    </cfRule>
  </conditionalFormatting>
  <conditionalFormatting sqref="L25:M25">
    <cfRule type="expression" dxfId="3130" priority="3029">
      <formula>$D25=$A$2</formula>
    </cfRule>
  </conditionalFormatting>
  <conditionalFormatting sqref="L25:M25">
    <cfRule type="expression" dxfId="3129" priority="3030">
      <formula>($D25=$A$2)</formula>
    </cfRule>
    <cfRule type="expression" dxfId="3128" priority="3031">
      <formula>OR($E25="토",$E25="일")</formula>
    </cfRule>
  </conditionalFormatting>
  <conditionalFormatting sqref="J25:M25">
    <cfRule type="expression" dxfId="3127" priority="3026">
      <formula>$D25=$A$2</formula>
    </cfRule>
  </conditionalFormatting>
  <conditionalFormatting sqref="J25:M25">
    <cfRule type="expression" dxfId="3126" priority="3027">
      <formula>($D25=$A$2)</formula>
    </cfRule>
    <cfRule type="expression" dxfId="3125" priority="3028">
      <formula>OR($E25="토",$E25="일")</formula>
    </cfRule>
  </conditionalFormatting>
  <conditionalFormatting sqref="L26:M26">
    <cfRule type="expression" dxfId="3124" priority="3023">
      <formula>$D26=$A$2</formula>
    </cfRule>
  </conditionalFormatting>
  <conditionalFormatting sqref="L26:M26">
    <cfRule type="expression" dxfId="3123" priority="3024">
      <formula>($D26=$A$2)</formula>
    </cfRule>
    <cfRule type="expression" dxfId="3122" priority="3025">
      <formula>OR($E26="토",$E26="일")</formula>
    </cfRule>
  </conditionalFormatting>
  <conditionalFormatting sqref="L26:M26">
    <cfRule type="expression" dxfId="3121" priority="3020">
      <formula>$D26=$A$2</formula>
    </cfRule>
  </conditionalFormatting>
  <conditionalFormatting sqref="L26:M26">
    <cfRule type="expression" dxfId="3120" priority="3021">
      <formula>($D26=$A$2)</formula>
    </cfRule>
    <cfRule type="expression" dxfId="3119" priority="3022">
      <formula>OR($E26="토",$E26="일")</formula>
    </cfRule>
  </conditionalFormatting>
  <conditionalFormatting sqref="L26:M26">
    <cfRule type="expression" dxfId="3118" priority="3017">
      <formula>$D26=$A$2</formula>
    </cfRule>
  </conditionalFormatting>
  <conditionalFormatting sqref="L26:M26">
    <cfRule type="expression" dxfId="3117" priority="3018">
      <formula>($D26=$A$2)</formula>
    </cfRule>
    <cfRule type="expression" dxfId="3116" priority="3019">
      <formula>OR($E26="토",$E26="일")</formula>
    </cfRule>
  </conditionalFormatting>
  <conditionalFormatting sqref="J26:M26">
    <cfRule type="expression" dxfId="3115" priority="3014">
      <formula>$D26=$A$2</formula>
    </cfRule>
  </conditionalFormatting>
  <conditionalFormatting sqref="J26:M26">
    <cfRule type="expression" dxfId="3114" priority="3015">
      <formula>($D26=$A$2)</formula>
    </cfRule>
    <cfRule type="expression" dxfId="3113" priority="3016">
      <formula>OR($E26="토",$E26="일")</formula>
    </cfRule>
  </conditionalFormatting>
  <conditionalFormatting sqref="J25:M25">
    <cfRule type="expression" dxfId="3112" priority="3011">
      <formula>$D25=$A$2</formula>
    </cfRule>
  </conditionalFormatting>
  <conditionalFormatting sqref="J25:M25">
    <cfRule type="expression" dxfId="3111" priority="3012">
      <formula>($D25=$A$2)</formula>
    </cfRule>
    <cfRule type="expression" dxfId="3110" priority="3013">
      <formula>OR($E25="토",$E25="일")</formula>
    </cfRule>
  </conditionalFormatting>
  <conditionalFormatting sqref="L25:M25">
    <cfRule type="expression" dxfId="3109" priority="2975">
      <formula>$D25=$A$2</formula>
    </cfRule>
  </conditionalFormatting>
  <conditionalFormatting sqref="L25:M25">
    <cfRule type="expression" dxfId="3108" priority="2976">
      <formula>($D25=$A$2)</formula>
    </cfRule>
    <cfRule type="expression" dxfId="3107" priority="2977">
      <formula>OR($E25="토",$E25="일")</formula>
    </cfRule>
  </conditionalFormatting>
  <conditionalFormatting sqref="L25:M25">
    <cfRule type="expression" dxfId="3106" priority="2972">
      <formula>$D25=$A$2</formula>
    </cfRule>
  </conditionalFormatting>
  <conditionalFormatting sqref="L25:M25">
    <cfRule type="expression" dxfId="3105" priority="2973">
      <formula>($D25=$A$2)</formula>
    </cfRule>
    <cfRule type="expression" dxfId="3104" priority="2974">
      <formula>OR($E25="토",$E25="일")</formula>
    </cfRule>
  </conditionalFormatting>
  <conditionalFormatting sqref="L25:M25">
    <cfRule type="expression" dxfId="3103" priority="2969">
      <formula>$D25=$A$2</formula>
    </cfRule>
  </conditionalFormatting>
  <conditionalFormatting sqref="L25:M25">
    <cfRule type="expression" dxfId="3102" priority="2970">
      <formula>($D25=$A$2)</formula>
    </cfRule>
    <cfRule type="expression" dxfId="3101" priority="2971">
      <formula>OR($E25="토",$E25="일")</formula>
    </cfRule>
  </conditionalFormatting>
  <conditionalFormatting sqref="J25:M25">
    <cfRule type="expression" dxfId="3100" priority="2966">
      <formula>$D25=$A$2</formula>
    </cfRule>
  </conditionalFormatting>
  <conditionalFormatting sqref="J25:M25">
    <cfRule type="expression" dxfId="3099" priority="2967">
      <formula>($D25=$A$2)</formula>
    </cfRule>
    <cfRule type="expression" dxfId="3098" priority="2968">
      <formula>OR($E25="토",$E25="일")</formula>
    </cfRule>
  </conditionalFormatting>
  <conditionalFormatting sqref="G24:H24">
    <cfRule type="expression" dxfId="3097" priority="2963">
      <formula>$D24=$A$2</formula>
    </cfRule>
  </conditionalFormatting>
  <conditionalFormatting sqref="G24:H24">
    <cfRule type="expression" dxfId="3096" priority="2964">
      <formula>($D24=$A$2)</formula>
    </cfRule>
    <cfRule type="expression" dxfId="3095" priority="2965">
      <formula>OR($E24="토",$E24="일")</formula>
    </cfRule>
  </conditionalFormatting>
  <conditionalFormatting sqref="J24:M24">
    <cfRule type="expression" dxfId="3094" priority="2960">
      <formula>$D24=$A$2</formula>
    </cfRule>
  </conditionalFormatting>
  <conditionalFormatting sqref="J24:M24">
    <cfRule type="expression" dxfId="3093" priority="2961">
      <formula>($D24=$A$2)</formula>
    </cfRule>
    <cfRule type="expression" dxfId="3092" priority="2962">
      <formula>OR($E24="토",$E24="일")</formula>
    </cfRule>
  </conditionalFormatting>
  <conditionalFormatting sqref="J24:M24">
    <cfRule type="expression" dxfId="3091" priority="2957">
      <formula>$D24=$A$2</formula>
    </cfRule>
  </conditionalFormatting>
  <conditionalFormatting sqref="J24:M24">
    <cfRule type="expression" dxfId="3090" priority="2958">
      <formula>($D24=$A$2)</formula>
    </cfRule>
    <cfRule type="expression" dxfId="3089" priority="2959">
      <formula>OR($E24="토",$E24="일")</formula>
    </cfRule>
  </conditionalFormatting>
  <conditionalFormatting sqref="J25:M25">
    <cfRule type="expression" dxfId="3088" priority="2954">
      <formula>$D25=$A$2</formula>
    </cfRule>
  </conditionalFormatting>
  <conditionalFormatting sqref="J25:M25">
    <cfRule type="expression" dxfId="3087" priority="2955">
      <formula>($D25=$A$2)</formula>
    </cfRule>
    <cfRule type="expression" dxfId="3086" priority="2956">
      <formula>OR($E25="토",$E25="일")</formula>
    </cfRule>
  </conditionalFormatting>
  <conditionalFormatting sqref="L24:M24">
    <cfRule type="expression" dxfId="3085" priority="2951">
      <formula>$D24=$A$2</formula>
    </cfRule>
  </conditionalFormatting>
  <conditionalFormatting sqref="L24:M24">
    <cfRule type="expression" dxfId="3084" priority="2952">
      <formula>($D24=$A$2)</formula>
    </cfRule>
    <cfRule type="expression" dxfId="3083" priority="2953">
      <formula>OR($E24="토",$E24="일")</formula>
    </cfRule>
  </conditionalFormatting>
  <conditionalFormatting sqref="L24:M24">
    <cfRule type="expression" dxfId="3082" priority="2948">
      <formula>$D24=$A$2</formula>
    </cfRule>
  </conditionalFormatting>
  <conditionalFormatting sqref="L24:M24">
    <cfRule type="expression" dxfId="3081" priority="2949">
      <formula>($D24=$A$2)</formula>
    </cfRule>
    <cfRule type="expression" dxfId="3080" priority="2950">
      <formula>OR($E24="토",$E24="일")</formula>
    </cfRule>
  </conditionalFormatting>
  <conditionalFormatting sqref="L24:M24">
    <cfRule type="expression" dxfId="3079" priority="2945">
      <formula>$D24=$A$2</formula>
    </cfRule>
  </conditionalFormatting>
  <conditionalFormatting sqref="L24:M24">
    <cfRule type="expression" dxfId="3078" priority="2946">
      <formula>($D24=$A$2)</formula>
    </cfRule>
    <cfRule type="expression" dxfId="3077" priority="2947">
      <formula>OR($E24="토",$E24="일")</formula>
    </cfRule>
  </conditionalFormatting>
  <conditionalFormatting sqref="J24:M24">
    <cfRule type="expression" dxfId="3076" priority="2942">
      <formula>$D24=$A$2</formula>
    </cfRule>
  </conditionalFormatting>
  <conditionalFormatting sqref="J24:M24">
    <cfRule type="expression" dxfId="3075" priority="2943">
      <formula>($D24=$A$2)</formula>
    </cfRule>
    <cfRule type="expression" dxfId="3074" priority="2944">
      <formula>OR($E24="토",$E24="일")</formula>
    </cfRule>
  </conditionalFormatting>
  <conditionalFormatting sqref="L25:M25">
    <cfRule type="expression" dxfId="3073" priority="2939">
      <formula>$D25=$A$2</formula>
    </cfRule>
  </conditionalFormatting>
  <conditionalFormatting sqref="L25:M25">
    <cfRule type="expression" dxfId="3072" priority="2940">
      <formula>($D25=$A$2)</formula>
    </cfRule>
    <cfRule type="expression" dxfId="3071" priority="2941">
      <formula>OR($E25="토",$E25="일")</formula>
    </cfRule>
  </conditionalFormatting>
  <conditionalFormatting sqref="L25:M25">
    <cfRule type="expression" dxfId="3070" priority="2936">
      <formula>$D25=$A$2</formula>
    </cfRule>
  </conditionalFormatting>
  <conditionalFormatting sqref="L25:M25">
    <cfRule type="expression" dxfId="3069" priority="2937">
      <formula>($D25=$A$2)</formula>
    </cfRule>
    <cfRule type="expression" dxfId="3068" priority="2938">
      <formula>OR($E25="토",$E25="일")</formula>
    </cfRule>
  </conditionalFormatting>
  <conditionalFormatting sqref="L25:M25">
    <cfRule type="expression" dxfId="3067" priority="2933">
      <formula>$D25=$A$2</formula>
    </cfRule>
  </conditionalFormatting>
  <conditionalFormatting sqref="L25:M25">
    <cfRule type="expression" dxfId="3066" priority="2934">
      <formula>($D25=$A$2)</formula>
    </cfRule>
    <cfRule type="expression" dxfId="3065" priority="2935">
      <formula>OR($E25="토",$E25="일")</formula>
    </cfRule>
  </conditionalFormatting>
  <conditionalFormatting sqref="J25:M25">
    <cfRule type="expression" dxfId="3064" priority="2930">
      <formula>$D25=$A$2</formula>
    </cfRule>
  </conditionalFormatting>
  <conditionalFormatting sqref="J25:M25">
    <cfRule type="expression" dxfId="3063" priority="2931">
      <formula>($D25=$A$2)</formula>
    </cfRule>
    <cfRule type="expression" dxfId="3062" priority="2932">
      <formula>OR($E25="토",$E25="일")</formula>
    </cfRule>
  </conditionalFormatting>
  <conditionalFormatting sqref="J24:M24">
    <cfRule type="expression" dxfId="3061" priority="2927">
      <formula>$D24=$A$2</formula>
    </cfRule>
  </conditionalFormatting>
  <conditionalFormatting sqref="J24:M24">
    <cfRule type="expression" dxfId="3060" priority="2928">
      <formula>($D24=$A$2)</formula>
    </cfRule>
    <cfRule type="expression" dxfId="3059" priority="2929">
      <formula>OR($E24="토",$E24="일")</formula>
    </cfRule>
  </conditionalFormatting>
  <conditionalFormatting sqref="L26:M26">
    <cfRule type="expression" dxfId="3058" priority="2924">
      <formula>$D26=$A$2</formula>
    </cfRule>
  </conditionalFormatting>
  <conditionalFormatting sqref="L26:M26">
    <cfRule type="expression" dxfId="3057" priority="2925">
      <formula>($D26=$A$2)</formula>
    </cfRule>
    <cfRule type="expression" dxfId="3056" priority="2926">
      <formula>OR($E26="토",$E26="일")</formula>
    </cfRule>
  </conditionalFormatting>
  <conditionalFormatting sqref="L26:M26">
    <cfRule type="expression" dxfId="3055" priority="2921">
      <formula>$D26=$A$2</formula>
    </cfRule>
  </conditionalFormatting>
  <conditionalFormatting sqref="L26:M26">
    <cfRule type="expression" dxfId="3054" priority="2922">
      <formula>($D26=$A$2)</formula>
    </cfRule>
    <cfRule type="expression" dxfId="3053" priority="2923">
      <formula>OR($E26="토",$E26="일")</formula>
    </cfRule>
  </conditionalFormatting>
  <conditionalFormatting sqref="L26:M26">
    <cfRule type="expression" dxfId="3052" priority="2918">
      <formula>$D26=$A$2</formula>
    </cfRule>
  </conditionalFormatting>
  <conditionalFormatting sqref="L26:M26">
    <cfRule type="expression" dxfId="3051" priority="2919">
      <formula>($D26=$A$2)</formula>
    </cfRule>
    <cfRule type="expression" dxfId="3050" priority="2920">
      <formula>OR($E26="토",$E26="일")</formula>
    </cfRule>
  </conditionalFormatting>
  <conditionalFormatting sqref="L26:M26">
    <cfRule type="expression" dxfId="3049" priority="2915">
      <formula>$D26=$A$2</formula>
    </cfRule>
  </conditionalFormatting>
  <conditionalFormatting sqref="L26:M26">
    <cfRule type="expression" dxfId="3048" priority="2916">
      <formula>($D26=$A$2)</formula>
    </cfRule>
    <cfRule type="expression" dxfId="3047" priority="2917">
      <formula>OR($E26="토",$E26="일")</formula>
    </cfRule>
  </conditionalFormatting>
  <conditionalFormatting sqref="L26:M26">
    <cfRule type="expression" dxfId="3046" priority="2912">
      <formula>$D26=$A$2</formula>
    </cfRule>
  </conditionalFormatting>
  <conditionalFormatting sqref="L26:M26">
    <cfRule type="expression" dxfId="3045" priority="2913">
      <formula>($D26=$A$2)</formula>
    </cfRule>
    <cfRule type="expression" dxfId="3044" priority="2914">
      <formula>OR($E26="토",$E26="일")</formula>
    </cfRule>
  </conditionalFormatting>
  <conditionalFormatting sqref="J26:M26">
    <cfRule type="expression" dxfId="3043" priority="2909">
      <formula>$D26=$A$2</formula>
    </cfRule>
  </conditionalFormatting>
  <conditionalFormatting sqref="J26:M26">
    <cfRule type="expression" dxfId="3042" priority="2910">
      <formula>($D26=$A$2)</formula>
    </cfRule>
    <cfRule type="expression" dxfId="3041" priority="2911">
      <formula>OR($E26="토",$E26="일")</formula>
    </cfRule>
  </conditionalFormatting>
  <conditionalFormatting sqref="J26:M26">
    <cfRule type="expression" dxfId="3040" priority="2906">
      <formula>$D26=$A$2</formula>
    </cfRule>
  </conditionalFormatting>
  <conditionalFormatting sqref="J26:M26">
    <cfRule type="expression" dxfId="3039" priority="2907">
      <formula>($D26=$A$2)</formula>
    </cfRule>
    <cfRule type="expression" dxfId="3038" priority="2908">
      <formula>OR($E26="토",$E26="일")</formula>
    </cfRule>
  </conditionalFormatting>
  <conditionalFormatting sqref="L26:M26">
    <cfRule type="expression" dxfId="3037" priority="2903">
      <formula>$D26=$A$2</formula>
    </cfRule>
  </conditionalFormatting>
  <conditionalFormatting sqref="L26:M26">
    <cfRule type="expression" dxfId="3036" priority="2904">
      <formula>($D26=$A$2)</formula>
    </cfRule>
    <cfRule type="expression" dxfId="3035" priority="2905">
      <formula>OR($E26="토",$E26="일")</formula>
    </cfRule>
  </conditionalFormatting>
  <conditionalFormatting sqref="L26:M26">
    <cfRule type="expression" dxfId="3034" priority="2900">
      <formula>$D26=$A$2</formula>
    </cfRule>
  </conditionalFormatting>
  <conditionalFormatting sqref="L26:M26">
    <cfRule type="expression" dxfId="3033" priority="2901">
      <formula>($D26=$A$2)</formula>
    </cfRule>
    <cfRule type="expression" dxfId="3032" priority="2902">
      <formula>OR($E26="토",$E26="일")</formula>
    </cfRule>
  </conditionalFormatting>
  <conditionalFormatting sqref="L26:M26">
    <cfRule type="expression" dxfId="3031" priority="2897">
      <formula>$D26=$A$2</formula>
    </cfRule>
  </conditionalFormatting>
  <conditionalFormatting sqref="L26:M26">
    <cfRule type="expression" dxfId="3030" priority="2898">
      <formula>($D26=$A$2)</formula>
    </cfRule>
    <cfRule type="expression" dxfId="3029" priority="2899">
      <formula>OR($E26="토",$E26="일")</formula>
    </cfRule>
  </conditionalFormatting>
  <conditionalFormatting sqref="J26:M26">
    <cfRule type="expression" dxfId="3028" priority="2894">
      <formula>$D26=$A$2</formula>
    </cfRule>
  </conditionalFormatting>
  <conditionalFormatting sqref="J26:M26">
    <cfRule type="expression" dxfId="3027" priority="2895">
      <formula>($D26=$A$2)</formula>
    </cfRule>
    <cfRule type="expression" dxfId="3026" priority="2896">
      <formula>OR($E26="토",$E26="일")</formula>
    </cfRule>
  </conditionalFormatting>
  <conditionalFormatting sqref="G24:H24">
    <cfRule type="expression" dxfId="3025" priority="2891">
      <formula>$D24=$A$2</formula>
    </cfRule>
  </conditionalFormatting>
  <conditionalFormatting sqref="G24:H24">
    <cfRule type="expression" dxfId="3024" priority="2892">
      <formula>($D24=$A$2)</formula>
    </cfRule>
    <cfRule type="expression" dxfId="3023" priority="2893">
      <formula>OR($E24="토",$E24="일")</formula>
    </cfRule>
  </conditionalFormatting>
  <conditionalFormatting sqref="J24:M24">
    <cfRule type="expression" dxfId="3022" priority="2888">
      <formula>$D24=$A$2</formula>
    </cfRule>
  </conditionalFormatting>
  <conditionalFormatting sqref="J24:M24">
    <cfRule type="expression" dxfId="3021" priority="2889">
      <formula>($D24=$A$2)</formula>
    </cfRule>
    <cfRule type="expression" dxfId="3020" priority="2890">
      <formula>OR($E24="토",$E24="일")</formula>
    </cfRule>
  </conditionalFormatting>
  <conditionalFormatting sqref="J24:M24">
    <cfRule type="expression" dxfId="3019" priority="2885">
      <formula>$D24=$A$2</formula>
    </cfRule>
  </conditionalFormatting>
  <conditionalFormatting sqref="J24:M24">
    <cfRule type="expression" dxfId="3018" priority="2886">
      <formula>($D24=$A$2)</formula>
    </cfRule>
    <cfRule type="expression" dxfId="3017" priority="2887">
      <formula>OR($E24="토",$E24="일")</formula>
    </cfRule>
  </conditionalFormatting>
  <conditionalFormatting sqref="G25:H25">
    <cfRule type="expression" dxfId="3016" priority="2879">
      <formula>$D25=$A$2</formula>
    </cfRule>
  </conditionalFormatting>
  <conditionalFormatting sqref="G25:H25">
    <cfRule type="expression" dxfId="3015" priority="2880">
      <formula>($D25=$A$2)</formula>
    </cfRule>
    <cfRule type="expression" dxfId="3014" priority="2881">
      <formula>OR($E25="토",$E25="일")</formula>
    </cfRule>
  </conditionalFormatting>
  <conditionalFormatting sqref="G24:H24">
    <cfRule type="expression" dxfId="3013" priority="2876">
      <formula>$D24=$A$2</formula>
    </cfRule>
  </conditionalFormatting>
  <conditionalFormatting sqref="G24:H24">
    <cfRule type="expression" dxfId="3012" priority="2877">
      <formula>($D24=$A$2)</formula>
    </cfRule>
    <cfRule type="expression" dxfId="3011" priority="2878">
      <formula>OR($E24="토",$E24="일")</formula>
    </cfRule>
  </conditionalFormatting>
  <conditionalFormatting sqref="J25:M25">
    <cfRule type="expression" dxfId="3010" priority="2873">
      <formula>$D25=$A$2</formula>
    </cfRule>
  </conditionalFormatting>
  <conditionalFormatting sqref="J25:M25">
    <cfRule type="expression" dxfId="3009" priority="2874">
      <formula>($D25=$A$2)</formula>
    </cfRule>
    <cfRule type="expression" dxfId="3008" priority="2875">
      <formula>OR($E25="토",$E25="일")</formula>
    </cfRule>
  </conditionalFormatting>
  <conditionalFormatting sqref="L24:M24">
    <cfRule type="expression" dxfId="3007" priority="2870">
      <formula>$D24=$A$2</formula>
    </cfRule>
  </conditionalFormatting>
  <conditionalFormatting sqref="L24:M24">
    <cfRule type="expression" dxfId="3006" priority="2871">
      <formula>($D24=$A$2)</formula>
    </cfRule>
    <cfRule type="expression" dxfId="3005" priority="2872">
      <formula>OR($E24="토",$E24="일")</formula>
    </cfRule>
  </conditionalFormatting>
  <conditionalFormatting sqref="G26:H26">
    <cfRule type="expression" dxfId="3004" priority="2858">
      <formula>$D26=$A$2</formula>
    </cfRule>
  </conditionalFormatting>
  <conditionalFormatting sqref="G26:H26">
    <cfRule type="expression" dxfId="3003" priority="2859">
      <formula>($D26=$A$2)</formula>
    </cfRule>
    <cfRule type="expression" dxfId="3002" priority="2860">
      <formula>OR($E26="토",$E26="일")</formula>
    </cfRule>
  </conditionalFormatting>
  <conditionalFormatting sqref="J26:M26">
    <cfRule type="expression" dxfId="3001" priority="2855">
      <formula>$D26=$A$2</formula>
    </cfRule>
  </conditionalFormatting>
  <conditionalFormatting sqref="J26:M26">
    <cfRule type="expression" dxfId="3000" priority="2856">
      <formula>($D26=$A$2)</formula>
    </cfRule>
    <cfRule type="expression" dxfId="2999" priority="2857">
      <formula>OR($E26="토",$E26="일")</formula>
    </cfRule>
  </conditionalFormatting>
  <conditionalFormatting sqref="J24:M24">
    <cfRule type="expression" dxfId="2998" priority="2852">
      <formula>$D24=$A$2</formula>
    </cfRule>
  </conditionalFormatting>
  <conditionalFormatting sqref="J24:M24">
    <cfRule type="expression" dxfId="2997" priority="2853">
      <formula>($D24=$A$2)</formula>
    </cfRule>
    <cfRule type="expression" dxfId="2996" priority="2854">
      <formula>OR($E24="토",$E24="일")</formula>
    </cfRule>
  </conditionalFormatting>
  <conditionalFormatting sqref="J25:M25">
    <cfRule type="expression" dxfId="2995" priority="2849">
      <formula>$D25=$A$2</formula>
    </cfRule>
  </conditionalFormatting>
  <conditionalFormatting sqref="J25:M25">
    <cfRule type="expression" dxfId="2994" priority="2850">
      <formula>($D25=$A$2)</formula>
    </cfRule>
    <cfRule type="expression" dxfId="2993" priority="2851">
      <formula>OR($E25="토",$E25="일")</formula>
    </cfRule>
  </conditionalFormatting>
  <conditionalFormatting sqref="L24:M24">
    <cfRule type="expression" dxfId="2992" priority="2846">
      <formula>$D24=$A$2</formula>
    </cfRule>
  </conditionalFormatting>
  <conditionalFormatting sqref="L24:M24">
    <cfRule type="expression" dxfId="2991" priority="2847">
      <formula>($D24=$A$2)</formula>
    </cfRule>
    <cfRule type="expression" dxfId="2990" priority="2848">
      <formula>OR($E24="토",$E24="일")</formula>
    </cfRule>
  </conditionalFormatting>
  <conditionalFormatting sqref="J25:M25">
    <cfRule type="expression" dxfId="2989" priority="2843">
      <formula>$D25=$A$2</formula>
    </cfRule>
  </conditionalFormatting>
  <conditionalFormatting sqref="J25:M25">
    <cfRule type="expression" dxfId="2988" priority="2844">
      <formula>($D25=$A$2)</formula>
    </cfRule>
    <cfRule type="expression" dxfId="2987" priority="2845">
      <formula>OR($E25="토",$E25="일")</formula>
    </cfRule>
  </conditionalFormatting>
  <conditionalFormatting sqref="J26:M26">
    <cfRule type="expression" dxfId="2986" priority="2840">
      <formula>$D26=$A$2</formula>
    </cfRule>
  </conditionalFormatting>
  <conditionalFormatting sqref="J26:M26">
    <cfRule type="expression" dxfId="2985" priority="2841">
      <formula>($D26=$A$2)</formula>
    </cfRule>
    <cfRule type="expression" dxfId="2984" priority="2842">
      <formula>OR($E26="토",$E26="일")</formula>
    </cfRule>
  </conditionalFormatting>
  <conditionalFormatting sqref="L25:M25">
    <cfRule type="expression" dxfId="2983" priority="2837">
      <formula>$D25=$A$2</formula>
    </cfRule>
  </conditionalFormatting>
  <conditionalFormatting sqref="L25:M25">
    <cfRule type="expression" dxfId="2982" priority="2838">
      <formula>($D25=$A$2)</formula>
    </cfRule>
    <cfRule type="expression" dxfId="2981" priority="2839">
      <formula>OR($E25="토",$E25="일")</formula>
    </cfRule>
  </conditionalFormatting>
  <conditionalFormatting sqref="L26:M26">
    <cfRule type="expression" dxfId="2980" priority="2831">
      <formula>$D26=$A$2</formula>
    </cfRule>
  </conditionalFormatting>
  <conditionalFormatting sqref="L26:M26">
    <cfRule type="expression" dxfId="2979" priority="2832">
      <formula>($D26=$A$2)</formula>
    </cfRule>
    <cfRule type="expression" dxfId="2978" priority="2833">
      <formula>OR($E26="토",$E26="일")</formula>
    </cfRule>
  </conditionalFormatting>
  <conditionalFormatting sqref="L26:M26">
    <cfRule type="expression" dxfId="2977" priority="2828">
      <formula>$D26=$A$2</formula>
    </cfRule>
  </conditionalFormatting>
  <conditionalFormatting sqref="L26:M26">
    <cfRule type="expression" dxfId="2976" priority="2829">
      <formula>($D26=$A$2)</formula>
    </cfRule>
    <cfRule type="expression" dxfId="2975" priority="2830">
      <formula>OR($E26="토",$E26="일")</formula>
    </cfRule>
  </conditionalFormatting>
  <conditionalFormatting sqref="L26:M26">
    <cfRule type="expression" dxfId="2974" priority="2825">
      <formula>$D26=$A$2</formula>
    </cfRule>
  </conditionalFormatting>
  <conditionalFormatting sqref="L26:M26">
    <cfRule type="expression" dxfId="2973" priority="2826">
      <formula>($D26=$A$2)</formula>
    </cfRule>
    <cfRule type="expression" dxfId="2972" priority="2827">
      <formula>OR($E26="토",$E26="일")</formula>
    </cfRule>
  </conditionalFormatting>
  <conditionalFormatting sqref="J26:M26">
    <cfRule type="expression" dxfId="2971" priority="2822">
      <formula>$D26=$A$2</formula>
    </cfRule>
  </conditionalFormatting>
  <conditionalFormatting sqref="J26:M26">
    <cfRule type="expression" dxfId="2970" priority="2823">
      <formula>($D26=$A$2)</formula>
    </cfRule>
    <cfRule type="expression" dxfId="2969" priority="2824">
      <formula>OR($E26="토",$E26="일")</formula>
    </cfRule>
  </conditionalFormatting>
  <conditionalFormatting sqref="J26:M26">
    <cfRule type="expression" dxfId="2968" priority="2807">
      <formula>$D26=$A$2</formula>
    </cfRule>
  </conditionalFormatting>
  <conditionalFormatting sqref="J26:M26">
    <cfRule type="expression" dxfId="2967" priority="2808">
      <formula>($D26=$A$2)</formula>
    </cfRule>
    <cfRule type="expression" dxfId="2966" priority="2809">
      <formula>OR($E26="토",$E26="일")</formula>
    </cfRule>
  </conditionalFormatting>
  <conditionalFormatting sqref="L27:M27">
    <cfRule type="expression" dxfId="2965" priority="2771">
      <formula>$D27=$A$2</formula>
    </cfRule>
  </conditionalFormatting>
  <conditionalFormatting sqref="L27:M27">
    <cfRule type="expression" dxfId="2964" priority="2772">
      <formula>($D27=$A$2)</formula>
    </cfRule>
    <cfRule type="expression" dxfId="2963" priority="2773">
      <formula>OR($E27="토",$E27="일")</formula>
    </cfRule>
  </conditionalFormatting>
  <conditionalFormatting sqref="L27:M27">
    <cfRule type="expression" dxfId="2962" priority="2768">
      <formula>$D27=$A$2</formula>
    </cfRule>
  </conditionalFormatting>
  <conditionalFormatting sqref="L27:M27">
    <cfRule type="expression" dxfId="2961" priority="2769">
      <formula>($D27=$A$2)</formula>
    </cfRule>
    <cfRule type="expression" dxfId="2960" priority="2770">
      <formula>OR($E27="토",$E27="일")</formula>
    </cfRule>
  </conditionalFormatting>
  <conditionalFormatting sqref="L27:M27">
    <cfRule type="expression" dxfId="2959" priority="2765">
      <formula>$D27=$A$2</formula>
    </cfRule>
  </conditionalFormatting>
  <conditionalFormatting sqref="L27:M27">
    <cfRule type="expression" dxfId="2958" priority="2766">
      <formula>($D27=$A$2)</formula>
    </cfRule>
    <cfRule type="expression" dxfId="2957" priority="2767">
      <formula>OR($E27="토",$E27="일")</formula>
    </cfRule>
  </conditionalFormatting>
  <conditionalFormatting sqref="L27:M27">
    <cfRule type="expression" dxfId="2956" priority="2762">
      <formula>$D27=$A$2</formula>
    </cfRule>
  </conditionalFormatting>
  <conditionalFormatting sqref="L27:M27">
    <cfRule type="expression" dxfId="2955" priority="2763">
      <formula>($D27=$A$2)</formula>
    </cfRule>
    <cfRule type="expression" dxfId="2954" priority="2764">
      <formula>OR($E27="토",$E27="일")</formula>
    </cfRule>
  </conditionalFormatting>
  <conditionalFormatting sqref="L27:M27">
    <cfRule type="expression" dxfId="2953" priority="2759">
      <formula>$D27=$A$2</formula>
    </cfRule>
  </conditionalFormatting>
  <conditionalFormatting sqref="L27:M27">
    <cfRule type="expression" dxfId="2952" priority="2760">
      <formula>($D27=$A$2)</formula>
    </cfRule>
    <cfRule type="expression" dxfId="2951" priority="2761">
      <formula>OR($E27="토",$E27="일")</formula>
    </cfRule>
  </conditionalFormatting>
  <conditionalFormatting sqref="J27:M27">
    <cfRule type="expression" dxfId="2950" priority="2756">
      <formula>$D27=$A$2</formula>
    </cfRule>
  </conditionalFormatting>
  <conditionalFormatting sqref="J27:M27">
    <cfRule type="expression" dxfId="2949" priority="2757">
      <formula>($D27=$A$2)</formula>
    </cfRule>
    <cfRule type="expression" dxfId="2948" priority="2758">
      <formula>OR($E27="토",$E27="일")</formula>
    </cfRule>
  </conditionalFormatting>
  <conditionalFormatting sqref="J27:M27">
    <cfRule type="expression" dxfId="2947" priority="2753">
      <formula>$D27=$A$2</formula>
    </cfRule>
  </conditionalFormatting>
  <conditionalFormatting sqref="J27:M27">
    <cfRule type="expression" dxfId="2946" priority="2754">
      <formula>($D27=$A$2)</formula>
    </cfRule>
    <cfRule type="expression" dxfId="2945" priority="2755">
      <formula>OR($E27="토",$E27="일")</formula>
    </cfRule>
  </conditionalFormatting>
  <conditionalFormatting sqref="L27:M27">
    <cfRule type="expression" dxfId="2944" priority="2750">
      <formula>$D27=$A$2</formula>
    </cfRule>
  </conditionalFormatting>
  <conditionalFormatting sqref="L27:M27">
    <cfRule type="expression" dxfId="2943" priority="2751">
      <formula>($D27=$A$2)</formula>
    </cfRule>
    <cfRule type="expression" dxfId="2942" priority="2752">
      <formula>OR($E27="토",$E27="일")</formula>
    </cfRule>
  </conditionalFormatting>
  <conditionalFormatting sqref="L27:M27">
    <cfRule type="expression" dxfId="2941" priority="2747">
      <formula>$D27=$A$2</formula>
    </cfRule>
  </conditionalFormatting>
  <conditionalFormatting sqref="L27:M27">
    <cfRule type="expression" dxfId="2940" priority="2748">
      <formula>($D27=$A$2)</formula>
    </cfRule>
    <cfRule type="expression" dxfId="2939" priority="2749">
      <formula>OR($E27="토",$E27="일")</formula>
    </cfRule>
  </conditionalFormatting>
  <conditionalFormatting sqref="L27:M27">
    <cfRule type="expression" dxfId="2938" priority="2744">
      <formula>$D27=$A$2</formula>
    </cfRule>
  </conditionalFormatting>
  <conditionalFormatting sqref="L27:M27">
    <cfRule type="expression" dxfId="2937" priority="2745">
      <formula>($D27=$A$2)</formula>
    </cfRule>
    <cfRule type="expression" dxfId="2936" priority="2746">
      <formula>OR($E27="토",$E27="일")</formula>
    </cfRule>
  </conditionalFormatting>
  <conditionalFormatting sqref="J27:M27">
    <cfRule type="expression" dxfId="2935" priority="2741">
      <formula>$D27=$A$2</formula>
    </cfRule>
  </conditionalFormatting>
  <conditionalFormatting sqref="J27:M27">
    <cfRule type="expression" dxfId="2934" priority="2742">
      <formula>($D27=$A$2)</formula>
    </cfRule>
    <cfRule type="expression" dxfId="2933" priority="2743">
      <formula>OR($E27="토",$E27="일")</formula>
    </cfRule>
  </conditionalFormatting>
  <conditionalFormatting sqref="K23:K25">
    <cfRule type="expression" dxfId="2932" priority="2738">
      <formula>$D23=$A$2</formula>
    </cfRule>
  </conditionalFormatting>
  <conditionalFormatting sqref="K23:K25">
    <cfRule type="expression" dxfId="2931" priority="2739">
      <formula>($D23=$A$2)</formula>
    </cfRule>
    <cfRule type="expression" dxfId="2930" priority="2740">
      <formula>OR($E23="토",$E23="일")</formula>
    </cfRule>
  </conditionalFormatting>
  <conditionalFormatting sqref="K23:K25">
    <cfRule type="expression" dxfId="2929" priority="2735">
      <formula>$D23=$A$2</formula>
    </cfRule>
  </conditionalFormatting>
  <conditionalFormatting sqref="K23:K25">
    <cfRule type="expression" dxfId="2928" priority="2736">
      <formula>($D23=$A$2)</formula>
    </cfRule>
    <cfRule type="expression" dxfId="2927" priority="2737">
      <formula>OR($E23="토",$E23="일")</formula>
    </cfRule>
  </conditionalFormatting>
  <conditionalFormatting sqref="K23:K25">
    <cfRule type="expression" dxfId="2926" priority="2732">
      <formula>$D23=$A$2</formula>
    </cfRule>
  </conditionalFormatting>
  <conditionalFormatting sqref="K23:K25">
    <cfRule type="expression" dxfId="2925" priority="2733">
      <formula>($D23=$A$2)</formula>
    </cfRule>
    <cfRule type="expression" dxfId="2924" priority="2734">
      <formula>OR($E23="토",$E23="일")</formula>
    </cfRule>
  </conditionalFormatting>
  <conditionalFormatting sqref="K23:K25">
    <cfRule type="expression" dxfId="2923" priority="2729">
      <formula>$D23=$A$2</formula>
    </cfRule>
  </conditionalFormatting>
  <conditionalFormatting sqref="K23:K25">
    <cfRule type="expression" dxfId="2922" priority="2730">
      <formula>($D23=$A$2)</formula>
    </cfRule>
    <cfRule type="expression" dxfId="2921" priority="2731">
      <formula>OR($E23="토",$E23="일")</formula>
    </cfRule>
  </conditionalFormatting>
  <conditionalFormatting sqref="K23:K25">
    <cfRule type="expression" dxfId="2920" priority="2726">
      <formula>$D23=$A$2</formula>
    </cfRule>
  </conditionalFormatting>
  <conditionalFormatting sqref="K23:K25">
    <cfRule type="expression" dxfId="2919" priority="2727">
      <formula>($D23=$A$2)</formula>
    </cfRule>
    <cfRule type="expression" dxfId="2918" priority="2728">
      <formula>OR($E23="토",$E23="일")</formula>
    </cfRule>
  </conditionalFormatting>
  <conditionalFormatting sqref="K23:K25">
    <cfRule type="expression" dxfId="2917" priority="2723">
      <formula>$D23=$A$2</formula>
    </cfRule>
  </conditionalFormatting>
  <conditionalFormatting sqref="K23:K25">
    <cfRule type="expression" dxfId="2916" priority="2724">
      <formula>($D23=$A$2)</formula>
    </cfRule>
    <cfRule type="expression" dxfId="2915" priority="2725">
      <formula>OR($E23="토",$E23="일")</formula>
    </cfRule>
  </conditionalFormatting>
  <conditionalFormatting sqref="K23:K25">
    <cfRule type="expression" dxfId="2914" priority="2720">
      <formula>$D23=$A$2</formula>
    </cfRule>
  </conditionalFormatting>
  <conditionalFormatting sqref="K23:K25">
    <cfRule type="expression" dxfId="2913" priority="2721">
      <formula>($D23=$A$2)</formula>
    </cfRule>
    <cfRule type="expression" dxfId="2912" priority="2722">
      <formula>OR($E23="토",$E23="일")</formula>
    </cfRule>
  </conditionalFormatting>
  <conditionalFormatting sqref="K23:K25">
    <cfRule type="expression" dxfId="2911" priority="2717">
      <formula>$D23=$A$2</formula>
    </cfRule>
  </conditionalFormatting>
  <conditionalFormatting sqref="K23:K25">
    <cfRule type="expression" dxfId="2910" priority="2718">
      <formula>($D23=$A$2)</formula>
    </cfRule>
    <cfRule type="expression" dxfId="2909" priority="2719">
      <formula>OR($E23="토",$E23="일")</formula>
    </cfRule>
  </conditionalFormatting>
  <conditionalFormatting sqref="K23:K25">
    <cfRule type="expression" dxfId="2908" priority="2714">
      <formula>$D23=$A$2</formula>
    </cfRule>
  </conditionalFormatting>
  <conditionalFormatting sqref="K23:K25">
    <cfRule type="expression" dxfId="2907" priority="2715">
      <formula>($D23=$A$2)</formula>
    </cfRule>
    <cfRule type="expression" dxfId="2906" priority="2716">
      <formula>OR($E23="토",$E23="일")</formula>
    </cfRule>
  </conditionalFormatting>
  <conditionalFormatting sqref="K23:K25">
    <cfRule type="expression" dxfId="2905" priority="2711">
      <formula>$D23=$A$2</formula>
    </cfRule>
  </conditionalFormatting>
  <conditionalFormatting sqref="K23:K25">
    <cfRule type="expression" dxfId="2904" priority="2712">
      <formula>($D23=$A$2)</formula>
    </cfRule>
    <cfRule type="expression" dxfId="2903" priority="2713">
      <formula>OR($E23="토",$E23="일")</formula>
    </cfRule>
  </conditionalFormatting>
  <conditionalFormatting sqref="K23:K25">
    <cfRule type="expression" dxfId="2902" priority="2708">
      <formula>$D23=$A$2</formula>
    </cfRule>
  </conditionalFormatting>
  <conditionalFormatting sqref="K23:K25">
    <cfRule type="expression" dxfId="2901" priority="2709">
      <formula>($D23=$A$2)</formula>
    </cfRule>
    <cfRule type="expression" dxfId="2900" priority="2710">
      <formula>OR($E23="토",$E23="일")</formula>
    </cfRule>
  </conditionalFormatting>
  <conditionalFormatting sqref="K23:K25">
    <cfRule type="expression" dxfId="2899" priority="2705">
      <formula>$D23=$A$2</formula>
    </cfRule>
  </conditionalFormatting>
  <conditionalFormatting sqref="K23:K25">
    <cfRule type="expression" dxfId="2898" priority="2706">
      <formula>($D23=$A$2)</formula>
    </cfRule>
    <cfRule type="expression" dxfId="2897" priority="2707">
      <formula>OR($E23="토",$E23="일")</formula>
    </cfRule>
  </conditionalFormatting>
  <conditionalFormatting sqref="K23:K25">
    <cfRule type="expression" dxfId="2896" priority="2702">
      <formula>$D23=$A$2</formula>
    </cfRule>
  </conditionalFormatting>
  <conditionalFormatting sqref="K23:K25">
    <cfRule type="expression" dxfId="2895" priority="2703">
      <formula>($D23=$A$2)</formula>
    </cfRule>
    <cfRule type="expression" dxfId="2894" priority="2704">
      <formula>OR($E23="토",$E23="일")</formula>
    </cfRule>
  </conditionalFormatting>
  <conditionalFormatting sqref="K23:K25">
    <cfRule type="expression" dxfId="2893" priority="2699">
      <formula>$D23=$A$2</formula>
    </cfRule>
  </conditionalFormatting>
  <conditionalFormatting sqref="K23:K25">
    <cfRule type="expression" dxfId="2892" priority="2700">
      <formula>($D23=$A$2)</formula>
    </cfRule>
    <cfRule type="expression" dxfId="2891" priority="2701">
      <formula>OR($E23="토",$E23="일")</formula>
    </cfRule>
  </conditionalFormatting>
  <conditionalFormatting sqref="K23:K25">
    <cfRule type="expression" dxfId="2890" priority="2696">
      <formula>$D23=$A$2</formula>
    </cfRule>
  </conditionalFormatting>
  <conditionalFormatting sqref="K23:K25">
    <cfRule type="expression" dxfId="2889" priority="2697">
      <formula>($D23=$A$2)</formula>
    </cfRule>
    <cfRule type="expression" dxfId="2888" priority="2698">
      <formula>OR($E23="토",$E23="일")</formula>
    </cfRule>
  </conditionalFormatting>
  <conditionalFormatting sqref="K23:K25">
    <cfRule type="expression" dxfId="2887" priority="2693">
      <formula>$D23=$A$2</formula>
    </cfRule>
  </conditionalFormatting>
  <conditionalFormatting sqref="K23:K25">
    <cfRule type="expression" dxfId="2886" priority="2694">
      <formula>($D23=$A$2)</formula>
    </cfRule>
    <cfRule type="expression" dxfId="2885" priority="2695">
      <formula>OR($E23="토",$E23="일")</formula>
    </cfRule>
  </conditionalFormatting>
  <conditionalFormatting sqref="K23:K25">
    <cfRule type="expression" dxfId="2884" priority="2690">
      <formula>$D23=$A$2</formula>
    </cfRule>
  </conditionalFormatting>
  <conditionalFormatting sqref="K23:K25">
    <cfRule type="expression" dxfId="2883" priority="2691">
      <formula>($D23=$A$2)</formula>
    </cfRule>
    <cfRule type="expression" dxfId="2882" priority="2692">
      <formula>OR($E23="토",$E23="일")</formula>
    </cfRule>
  </conditionalFormatting>
  <conditionalFormatting sqref="K23:K25">
    <cfRule type="expression" dxfId="2881" priority="2687">
      <formula>$D23=$A$2</formula>
    </cfRule>
  </conditionalFormatting>
  <conditionalFormatting sqref="K23:K25">
    <cfRule type="expression" dxfId="2880" priority="2688">
      <formula>($D23=$A$2)</formula>
    </cfRule>
    <cfRule type="expression" dxfId="2879" priority="2689">
      <formula>OR($E23="토",$E23="일")</formula>
    </cfRule>
  </conditionalFormatting>
  <conditionalFormatting sqref="K23:K25">
    <cfRule type="expression" dxfId="2878" priority="2684">
      <formula>$D23=$A$2</formula>
    </cfRule>
  </conditionalFormatting>
  <conditionalFormatting sqref="K23:K25">
    <cfRule type="expression" dxfId="2877" priority="2685">
      <formula>($D23=$A$2)</formula>
    </cfRule>
    <cfRule type="expression" dxfId="2876" priority="2686">
      <formula>OR($E23="토",$E23="일")</formula>
    </cfRule>
  </conditionalFormatting>
  <conditionalFormatting sqref="K23:K25">
    <cfRule type="expression" dxfId="2875" priority="2681">
      <formula>$D23=$A$2</formula>
    </cfRule>
  </conditionalFormatting>
  <conditionalFormatting sqref="K23:K25">
    <cfRule type="expression" dxfId="2874" priority="2682">
      <formula>($D23=$A$2)</formula>
    </cfRule>
    <cfRule type="expression" dxfId="2873" priority="2683">
      <formula>OR($E23="토",$E23="일")</formula>
    </cfRule>
  </conditionalFormatting>
  <conditionalFormatting sqref="K23:K25">
    <cfRule type="expression" dxfId="2872" priority="2678">
      <formula>$D23=$A$2</formula>
    </cfRule>
  </conditionalFormatting>
  <conditionalFormatting sqref="K23:K25">
    <cfRule type="expression" dxfId="2871" priority="2679">
      <formula>($D23=$A$2)</formula>
    </cfRule>
    <cfRule type="expression" dxfId="2870" priority="2680">
      <formula>OR($E23="토",$E23="일")</formula>
    </cfRule>
  </conditionalFormatting>
  <conditionalFormatting sqref="K23:K25">
    <cfRule type="expression" dxfId="2869" priority="2675">
      <formula>$D23=$A$2</formula>
    </cfRule>
  </conditionalFormatting>
  <conditionalFormatting sqref="K23:K25">
    <cfRule type="expression" dxfId="2868" priority="2676">
      <formula>($D23=$A$2)</formula>
    </cfRule>
    <cfRule type="expression" dxfId="2867" priority="2677">
      <formula>OR($E23="토",$E23="일")</formula>
    </cfRule>
  </conditionalFormatting>
  <conditionalFormatting sqref="K23:K25">
    <cfRule type="expression" dxfId="2866" priority="2672">
      <formula>$D23=$A$2</formula>
    </cfRule>
  </conditionalFormatting>
  <conditionalFormatting sqref="K23:K25">
    <cfRule type="expression" dxfId="2865" priority="2673">
      <formula>($D23=$A$2)</formula>
    </cfRule>
    <cfRule type="expression" dxfId="2864" priority="2674">
      <formula>OR($E23="토",$E23="일")</formula>
    </cfRule>
  </conditionalFormatting>
  <conditionalFormatting sqref="G19:H19">
    <cfRule type="expression" dxfId="2863" priority="2669">
      <formula>$D19=$A$2</formula>
    </cfRule>
  </conditionalFormatting>
  <conditionalFormatting sqref="G19:H19">
    <cfRule type="expression" dxfId="2862" priority="2670">
      <formula>($D19=$A$2)</formula>
    </cfRule>
    <cfRule type="expression" dxfId="2861" priority="2671">
      <formula>OR($E19="토",$E19="일")</formula>
    </cfRule>
  </conditionalFormatting>
  <conditionalFormatting sqref="J19:K19">
    <cfRule type="expression" dxfId="2860" priority="2666">
      <formula>$D19=$A$2</formula>
    </cfRule>
  </conditionalFormatting>
  <conditionalFormatting sqref="J19:K19">
    <cfRule type="expression" dxfId="2859" priority="2667">
      <formula>($D19=$A$2)</formula>
    </cfRule>
    <cfRule type="expression" dxfId="2858" priority="2668">
      <formula>OR($E19="토",$E19="일")</formula>
    </cfRule>
  </conditionalFormatting>
  <conditionalFormatting sqref="J19:K19">
    <cfRule type="expression" dxfId="2857" priority="2663">
      <formula>$D19=$A$2</formula>
    </cfRule>
  </conditionalFormatting>
  <conditionalFormatting sqref="J19:K19">
    <cfRule type="expression" dxfId="2856" priority="2664">
      <formula>($D19=$A$2)</formula>
    </cfRule>
    <cfRule type="expression" dxfId="2855" priority="2665">
      <formula>OR($E19="토",$E19="일")</formula>
    </cfRule>
  </conditionalFormatting>
  <conditionalFormatting sqref="G19:H19">
    <cfRule type="expression" dxfId="2854" priority="2660">
      <formula>$D19=$A$2</formula>
    </cfRule>
  </conditionalFormatting>
  <conditionalFormatting sqref="G19:H19">
    <cfRule type="expression" dxfId="2853" priority="2661">
      <formula>($D19=$A$2)</formula>
    </cfRule>
    <cfRule type="expression" dxfId="2852" priority="2662">
      <formula>OR($E19="토",$E19="일")</formula>
    </cfRule>
  </conditionalFormatting>
  <conditionalFormatting sqref="J19:K19">
    <cfRule type="expression" dxfId="2851" priority="2657">
      <formula>$D19=$A$2</formula>
    </cfRule>
  </conditionalFormatting>
  <conditionalFormatting sqref="J19:K19">
    <cfRule type="expression" dxfId="2850" priority="2658">
      <formula>($D19=$A$2)</formula>
    </cfRule>
    <cfRule type="expression" dxfId="2849" priority="2659">
      <formula>OR($E19="토",$E19="일")</formula>
    </cfRule>
  </conditionalFormatting>
  <conditionalFormatting sqref="K19:K20">
    <cfRule type="expression" dxfId="2848" priority="2654">
      <formula>$D19=$A$2</formula>
    </cfRule>
  </conditionalFormatting>
  <conditionalFormatting sqref="K19:K20">
    <cfRule type="expression" dxfId="2847" priority="2655">
      <formula>($D19=$A$2)</formula>
    </cfRule>
    <cfRule type="expression" dxfId="2846" priority="2656">
      <formula>OR($E19="토",$E19="일")</formula>
    </cfRule>
  </conditionalFormatting>
  <conditionalFormatting sqref="J19:K19">
    <cfRule type="expression" dxfId="2845" priority="2652">
      <formula>($D19=$A$2)</formula>
    </cfRule>
    <cfRule type="expression" dxfId="2844" priority="2653">
      <formula>OR($E19="토",$E19="일")</formula>
    </cfRule>
  </conditionalFormatting>
  <conditionalFormatting sqref="G19:H19">
    <cfRule type="expression" dxfId="2843" priority="2649">
      <formula>$D19=$A$2</formula>
    </cfRule>
  </conditionalFormatting>
  <conditionalFormatting sqref="G19:H19">
    <cfRule type="expression" dxfId="2842" priority="2650">
      <formula>($D19=$A$2)</formula>
    </cfRule>
    <cfRule type="expression" dxfId="2841" priority="2651">
      <formula>OR($E19="토",$E19="일")</formula>
    </cfRule>
  </conditionalFormatting>
  <conditionalFormatting sqref="K19:K20">
    <cfRule type="expression" dxfId="2840" priority="2646">
      <formula>$D19=$A$2</formula>
    </cfRule>
  </conditionalFormatting>
  <conditionalFormatting sqref="K19:K20">
    <cfRule type="expression" dxfId="2839" priority="2647">
      <formula>($D19=$A$2)</formula>
    </cfRule>
    <cfRule type="expression" dxfId="2838" priority="2648">
      <formula>OR($E19="토",$E19="일")</formula>
    </cfRule>
  </conditionalFormatting>
  <conditionalFormatting sqref="L20:M20">
    <cfRule type="expression" dxfId="2837" priority="2579">
      <formula>($D20=$A$2)</formula>
    </cfRule>
    <cfRule type="expression" dxfId="2836" priority="2580">
      <formula>OR($E20="토",$E20="일")</formula>
    </cfRule>
  </conditionalFormatting>
  <conditionalFormatting sqref="K19:M19">
    <cfRule type="expression" dxfId="2835" priority="2576">
      <formula>$D19=$A$2</formula>
    </cfRule>
  </conditionalFormatting>
  <conditionalFormatting sqref="K19:M19">
    <cfRule type="expression" dxfId="2834" priority="2577">
      <formula>($D19=$A$2)</formula>
    </cfRule>
    <cfRule type="expression" dxfId="2833" priority="2578">
      <formula>OR($E19="토",$E19="일")</formula>
    </cfRule>
  </conditionalFormatting>
  <conditionalFormatting sqref="G21:H21">
    <cfRule type="expression" dxfId="2832" priority="2573">
      <formula>$D21=$A$2</formula>
    </cfRule>
  </conditionalFormatting>
  <conditionalFormatting sqref="G21:H21">
    <cfRule type="expression" dxfId="2831" priority="2574">
      <formula>($D21=$A$2)</formula>
    </cfRule>
    <cfRule type="expression" dxfId="2830" priority="2575">
      <formula>OR($E21="토",$E21="일")</formula>
    </cfRule>
  </conditionalFormatting>
  <conditionalFormatting sqref="L18:M18">
    <cfRule type="expression" dxfId="2829" priority="2570">
      <formula>$D18=$A$2</formula>
    </cfRule>
  </conditionalFormatting>
  <conditionalFormatting sqref="L18:M18">
    <cfRule type="expression" dxfId="2828" priority="2571">
      <formula>($D18=$A$2)</formula>
    </cfRule>
    <cfRule type="expression" dxfId="2827" priority="2572">
      <formula>OR($E18="토",$E18="일")</formula>
    </cfRule>
  </conditionalFormatting>
  <conditionalFormatting sqref="J21:M21">
    <cfRule type="expression" dxfId="2826" priority="2567">
      <formula>$D21=$A$2</formula>
    </cfRule>
  </conditionalFormatting>
  <conditionalFormatting sqref="J21:M21">
    <cfRule type="expression" dxfId="2825" priority="2568">
      <formula>($D21=$A$2)</formula>
    </cfRule>
    <cfRule type="expression" dxfId="2824" priority="2569">
      <formula>OR($E21="토",$E21="일")</formula>
    </cfRule>
  </conditionalFormatting>
  <conditionalFormatting sqref="L20:M20">
    <cfRule type="expression" dxfId="2823" priority="2564">
      <formula>$D20=$A$2</formula>
    </cfRule>
  </conditionalFormatting>
  <conditionalFormatting sqref="L20:M20">
    <cfRule type="expression" dxfId="2822" priority="2565">
      <formula>($D20=$A$2)</formula>
    </cfRule>
    <cfRule type="expression" dxfId="2821" priority="2566">
      <formula>OR($E20="토",$E20="일")</formula>
    </cfRule>
  </conditionalFormatting>
  <conditionalFormatting sqref="J21:M21">
    <cfRule type="expression" dxfId="2820" priority="2561">
      <formula>$D21=$A$2</formula>
    </cfRule>
  </conditionalFormatting>
  <conditionalFormatting sqref="J21:M21">
    <cfRule type="expression" dxfId="2819" priority="2562">
      <formula>($D21=$A$2)</formula>
    </cfRule>
    <cfRule type="expression" dxfId="2818" priority="2563">
      <formula>OR($E21="토",$E21="일")</formula>
    </cfRule>
  </conditionalFormatting>
  <conditionalFormatting sqref="L24:M24">
    <cfRule type="expression" dxfId="2817" priority="2558">
      <formula>$D24=$A$2</formula>
    </cfRule>
  </conditionalFormatting>
  <conditionalFormatting sqref="L24:M24">
    <cfRule type="expression" dxfId="2816" priority="2559">
      <formula>($D24=$A$2)</formula>
    </cfRule>
    <cfRule type="expression" dxfId="2815" priority="2560">
      <formula>OR($E24="토",$E24="일")</formula>
    </cfRule>
  </conditionalFormatting>
  <conditionalFormatting sqref="G21:H21">
    <cfRule type="expression" dxfId="2814" priority="2552">
      <formula>$D21=$A$2</formula>
    </cfRule>
  </conditionalFormatting>
  <conditionalFormatting sqref="G21:H21">
    <cfRule type="expression" dxfId="2813" priority="2553">
      <formula>($D21=$A$2)</formula>
    </cfRule>
    <cfRule type="expression" dxfId="2812" priority="2554">
      <formula>OR($E21="토",$E21="일")</formula>
    </cfRule>
  </conditionalFormatting>
  <conditionalFormatting sqref="L21:M21">
    <cfRule type="expression" dxfId="2811" priority="2546">
      <formula>$D21=$A$2</formula>
    </cfRule>
  </conditionalFormatting>
  <conditionalFormatting sqref="L21:M21">
    <cfRule type="expression" dxfId="2810" priority="2547">
      <formula>($D21=$A$2)</formula>
    </cfRule>
    <cfRule type="expression" dxfId="2809" priority="2548">
      <formula>OR($E21="토",$E21="일")</formula>
    </cfRule>
  </conditionalFormatting>
  <conditionalFormatting sqref="L24:M24">
    <cfRule type="expression" dxfId="2808" priority="2543">
      <formula>$D24=$A$2</formula>
    </cfRule>
  </conditionalFormatting>
  <conditionalFormatting sqref="L24:M24">
    <cfRule type="expression" dxfId="2807" priority="2544">
      <formula>($D24=$A$2)</formula>
    </cfRule>
    <cfRule type="expression" dxfId="2806" priority="2545">
      <formula>OR($E24="토",$E24="일")</formula>
    </cfRule>
  </conditionalFormatting>
  <conditionalFormatting sqref="L24:M24">
    <cfRule type="expression" dxfId="2805" priority="2540">
      <formula>$D24=$A$2</formula>
    </cfRule>
  </conditionalFormatting>
  <conditionalFormatting sqref="L24:M24">
    <cfRule type="expression" dxfId="2804" priority="2541">
      <formula>($D24=$A$2)</formula>
    </cfRule>
    <cfRule type="expression" dxfId="2803" priority="2542">
      <formula>OR($E24="토",$E24="일")</formula>
    </cfRule>
  </conditionalFormatting>
  <conditionalFormatting sqref="J24:M24">
    <cfRule type="expression" dxfId="2802" priority="2537">
      <formula>$D24=$A$2</formula>
    </cfRule>
  </conditionalFormatting>
  <conditionalFormatting sqref="J24:M24">
    <cfRule type="expression" dxfId="2801" priority="2538">
      <formula>($D24=$A$2)</formula>
    </cfRule>
    <cfRule type="expression" dxfId="2800" priority="2539">
      <formula>OR($E24="토",$E24="일")</formula>
    </cfRule>
  </conditionalFormatting>
  <conditionalFormatting sqref="J21:M21">
    <cfRule type="expression" dxfId="2799" priority="2534">
      <formula>$D21=$A$2</formula>
    </cfRule>
  </conditionalFormatting>
  <conditionalFormatting sqref="J21:M21">
    <cfRule type="expression" dxfId="2798" priority="2535">
      <formula>($D21=$A$2)</formula>
    </cfRule>
    <cfRule type="expression" dxfId="2797" priority="2536">
      <formula>OR($E21="토",$E21="일")</formula>
    </cfRule>
  </conditionalFormatting>
  <conditionalFormatting sqref="L20:M20">
    <cfRule type="expression" dxfId="2796" priority="2531">
      <formula>$D20=$A$2</formula>
    </cfRule>
  </conditionalFormatting>
  <conditionalFormatting sqref="L20:M20">
    <cfRule type="expression" dxfId="2795" priority="2532">
      <formula>($D20=$A$2)</formula>
    </cfRule>
    <cfRule type="expression" dxfId="2794" priority="2533">
      <formula>OR($E20="토",$E20="일")</formula>
    </cfRule>
  </conditionalFormatting>
  <conditionalFormatting sqref="L19:M19">
    <cfRule type="expression" dxfId="2793" priority="2528">
      <formula>$D19=$A$2</formula>
    </cfRule>
  </conditionalFormatting>
  <conditionalFormatting sqref="L19:M19">
    <cfRule type="expression" dxfId="2792" priority="2529">
      <formula>($D19=$A$2)</formula>
    </cfRule>
    <cfRule type="expression" dxfId="2791" priority="2530">
      <formula>OR($E19="토",$E19="일")</formula>
    </cfRule>
  </conditionalFormatting>
  <conditionalFormatting sqref="L21:M21">
    <cfRule type="expression" dxfId="2790" priority="2522">
      <formula>$D21=$A$2</formula>
    </cfRule>
  </conditionalFormatting>
  <conditionalFormatting sqref="L21:M21">
    <cfRule type="expression" dxfId="2789" priority="2523">
      <formula>($D21=$A$2)</formula>
    </cfRule>
    <cfRule type="expression" dxfId="2788" priority="2524">
      <formula>OR($E21="토",$E21="일")</formula>
    </cfRule>
  </conditionalFormatting>
  <conditionalFormatting sqref="J24:M24">
    <cfRule type="expression" dxfId="2787" priority="2513">
      <formula>$D24=$A$2</formula>
    </cfRule>
  </conditionalFormatting>
  <conditionalFormatting sqref="J24:M24">
    <cfRule type="expression" dxfId="2786" priority="2514">
      <formula>($D24=$A$2)</formula>
    </cfRule>
    <cfRule type="expression" dxfId="2785" priority="2515">
      <formula>OR($E24="토",$E24="일")</formula>
    </cfRule>
  </conditionalFormatting>
  <conditionalFormatting sqref="L20:M20">
    <cfRule type="expression" dxfId="2784" priority="2510">
      <formula>$D20=$A$2</formula>
    </cfRule>
  </conditionalFormatting>
  <conditionalFormatting sqref="L20:M20">
    <cfRule type="expression" dxfId="2783" priority="2511">
      <formula>($D20=$A$2)</formula>
    </cfRule>
    <cfRule type="expression" dxfId="2782" priority="2512">
      <formula>OR($E20="토",$E20="일")</formula>
    </cfRule>
  </conditionalFormatting>
  <conditionalFormatting sqref="L20:M20">
    <cfRule type="expression" dxfId="2781" priority="2507">
      <formula>$D20=$A$2</formula>
    </cfRule>
  </conditionalFormatting>
  <conditionalFormatting sqref="L20:M20">
    <cfRule type="expression" dxfId="2780" priority="2508">
      <formula>($D20=$A$2)</formula>
    </cfRule>
    <cfRule type="expression" dxfId="2779" priority="2509">
      <formula>OR($E20="토",$E20="일")</formula>
    </cfRule>
  </conditionalFormatting>
  <conditionalFormatting sqref="L20:M20">
    <cfRule type="expression" dxfId="2778" priority="2504">
      <formula>$D20=$A$2</formula>
    </cfRule>
  </conditionalFormatting>
  <conditionalFormatting sqref="L20:M20">
    <cfRule type="expression" dxfId="2777" priority="2505">
      <formula>($D20=$A$2)</formula>
    </cfRule>
    <cfRule type="expression" dxfId="2776" priority="2506">
      <formula>OR($E20="토",$E20="일")</formula>
    </cfRule>
  </conditionalFormatting>
  <conditionalFormatting sqref="L20:M20">
    <cfRule type="expression" dxfId="2775" priority="2501">
      <formula>$D20=$A$2</formula>
    </cfRule>
  </conditionalFormatting>
  <conditionalFormatting sqref="L20:M20">
    <cfRule type="expression" dxfId="2774" priority="2502">
      <formula>($D20=$A$2)</formula>
    </cfRule>
    <cfRule type="expression" dxfId="2773" priority="2503">
      <formula>OR($E20="토",$E20="일")</formula>
    </cfRule>
  </conditionalFormatting>
  <conditionalFormatting sqref="L24:M24">
    <cfRule type="expression" dxfId="2772" priority="2498">
      <formula>$D24=$A$2</formula>
    </cfRule>
  </conditionalFormatting>
  <conditionalFormatting sqref="L24:M24">
    <cfRule type="expression" dxfId="2771" priority="2499">
      <formula>($D24=$A$2)</formula>
    </cfRule>
    <cfRule type="expression" dxfId="2770" priority="2500">
      <formula>OR($E24="토",$E24="일")</formula>
    </cfRule>
  </conditionalFormatting>
  <conditionalFormatting sqref="L24:M24">
    <cfRule type="expression" dxfId="2769" priority="2495">
      <formula>$D24=$A$2</formula>
    </cfRule>
  </conditionalFormatting>
  <conditionalFormatting sqref="L24:M24">
    <cfRule type="expression" dxfId="2768" priority="2496">
      <formula>($D24=$A$2)</formula>
    </cfRule>
    <cfRule type="expression" dxfId="2767" priority="2497">
      <formula>OR($E24="토",$E24="일")</formula>
    </cfRule>
  </conditionalFormatting>
  <conditionalFormatting sqref="L24:M24">
    <cfRule type="expression" dxfId="2766" priority="2492">
      <formula>$D24=$A$2</formula>
    </cfRule>
  </conditionalFormatting>
  <conditionalFormatting sqref="L24:M24">
    <cfRule type="expression" dxfId="2765" priority="2493">
      <formula>($D24=$A$2)</formula>
    </cfRule>
    <cfRule type="expression" dxfId="2764" priority="2494">
      <formula>OR($E24="토",$E24="일")</formula>
    </cfRule>
  </conditionalFormatting>
  <conditionalFormatting sqref="J24:M24">
    <cfRule type="expression" dxfId="2763" priority="2489">
      <formula>$D24=$A$2</formula>
    </cfRule>
  </conditionalFormatting>
  <conditionalFormatting sqref="J24:M24">
    <cfRule type="expression" dxfId="2762" priority="2490">
      <formula>($D24=$A$2)</formula>
    </cfRule>
    <cfRule type="expression" dxfId="2761" priority="2491">
      <formula>OR($E24="토",$E24="일")</formula>
    </cfRule>
  </conditionalFormatting>
  <conditionalFormatting sqref="L25:M25">
    <cfRule type="expression" dxfId="2760" priority="2486">
      <formula>$D25=$A$2</formula>
    </cfRule>
  </conditionalFormatting>
  <conditionalFormatting sqref="L25:M25">
    <cfRule type="expression" dxfId="2759" priority="2487">
      <formula>($D25=$A$2)</formula>
    </cfRule>
    <cfRule type="expression" dxfId="2758" priority="2488">
      <formula>OR($E25="토",$E25="일")</formula>
    </cfRule>
  </conditionalFormatting>
  <conditionalFormatting sqref="L25:M25">
    <cfRule type="expression" dxfId="2757" priority="2483">
      <formula>$D25=$A$2</formula>
    </cfRule>
  </conditionalFormatting>
  <conditionalFormatting sqref="L25:M25">
    <cfRule type="expression" dxfId="2756" priority="2484">
      <formula>($D25=$A$2)</formula>
    </cfRule>
    <cfRule type="expression" dxfId="2755" priority="2485">
      <formula>OR($E25="토",$E25="일")</formula>
    </cfRule>
  </conditionalFormatting>
  <conditionalFormatting sqref="L25:M25">
    <cfRule type="expression" dxfId="2754" priority="2480">
      <formula>$D25=$A$2</formula>
    </cfRule>
  </conditionalFormatting>
  <conditionalFormatting sqref="L25:M25">
    <cfRule type="expression" dxfId="2753" priority="2481">
      <formula>($D25=$A$2)</formula>
    </cfRule>
    <cfRule type="expression" dxfId="2752" priority="2482">
      <formula>OR($E25="토",$E25="일")</formula>
    </cfRule>
  </conditionalFormatting>
  <conditionalFormatting sqref="L25:M25">
    <cfRule type="expression" dxfId="2751" priority="2477">
      <formula>$D25=$A$2</formula>
    </cfRule>
  </conditionalFormatting>
  <conditionalFormatting sqref="L25:M25">
    <cfRule type="expression" dxfId="2750" priority="2478">
      <formula>($D25=$A$2)</formula>
    </cfRule>
    <cfRule type="expression" dxfId="2749" priority="2479">
      <formula>OR($E25="토",$E25="일")</formula>
    </cfRule>
  </conditionalFormatting>
  <conditionalFormatting sqref="L25:M25">
    <cfRule type="expression" dxfId="2748" priority="2474">
      <formula>$D25=$A$2</formula>
    </cfRule>
  </conditionalFormatting>
  <conditionalFormatting sqref="L25:M25">
    <cfRule type="expression" dxfId="2747" priority="2475">
      <formula>($D25=$A$2)</formula>
    </cfRule>
    <cfRule type="expression" dxfId="2746" priority="2476">
      <formula>OR($E25="토",$E25="일")</formula>
    </cfRule>
  </conditionalFormatting>
  <conditionalFormatting sqref="J25:M25">
    <cfRule type="expression" dxfId="2745" priority="2471">
      <formula>$D25=$A$2</formula>
    </cfRule>
  </conditionalFormatting>
  <conditionalFormatting sqref="J25:M25">
    <cfRule type="expression" dxfId="2744" priority="2472">
      <formula>($D25=$A$2)</formula>
    </cfRule>
    <cfRule type="expression" dxfId="2743" priority="2473">
      <formula>OR($E25="토",$E25="일")</formula>
    </cfRule>
  </conditionalFormatting>
  <conditionalFormatting sqref="J25:M25">
    <cfRule type="expression" dxfId="2742" priority="2468">
      <formula>$D25=$A$2</formula>
    </cfRule>
  </conditionalFormatting>
  <conditionalFormatting sqref="J25:M25">
    <cfRule type="expression" dxfId="2741" priority="2469">
      <formula>($D25=$A$2)</formula>
    </cfRule>
    <cfRule type="expression" dxfId="2740" priority="2470">
      <formula>OR($E25="토",$E25="일")</formula>
    </cfRule>
  </conditionalFormatting>
  <conditionalFormatting sqref="L25:M25">
    <cfRule type="expression" dxfId="2739" priority="2465">
      <formula>$D25=$A$2</formula>
    </cfRule>
  </conditionalFormatting>
  <conditionalFormatting sqref="L25:M25">
    <cfRule type="expression" dxfId="2738" priority="2466">
      <formula>($D25=$A$2)</formula>
    </cfRule>
    <cfRule type="expression" dxfId="2737" priority="2467">
      <formula>OR($E25="토",$E25="일")</formula>
    </cfRule>
  </conditionalFormatting>
  <conditionalFormatting sqref="L25:M25">
    <cfRule type="expression" dxfId="2736" priority="2462">
      <formula>$D25=$A$2</formula>
    </cfRule>
  </conditionalFormatting>
  <conditionalFormatting sqref="L25:M25">
    <cfRule type="expression" dxfId="2735" priority="2463">
      <formula>($D25=$A$2)</formula>
    </cfRule>
    <cfRule type="expression" dxfId="2734" priority="2464">
      <formula>OR($E25="토",$E25="일")</formula>
    </cfRule>
  </conditionalFormatting>
  <conditionalFormatting sqref="L25:M25">
    <cfRule type="expression" dxfId="2733" priority="2459">
      <formula>$D25=$A$2</formula>
    </cfRule>
  </conditionalFormatting>
  <conditionalFormatting sqref="L25:M25">
    <cfRule type="expression" dxfId="2732" priority="2460">
      <formula>($D25=$A$2)</formula>
    </cfRule>
    <cfRule type="expression" dxfId="2731" priority="2461">
      <formula>OR($E25="토",$E25="일")</formula>
    </cfRule>
  </conditionalFormatting>
  <conditionalFormatting sqref="J25:M25">
    <cfRule type="expression" dxfId="2730" priority="2456">
      <formula>$D25=$A$2</formula>
    </cfRule>
  </conditionalFormatting>
  <conditionalFormatting sqref="J25:M25">
    <cfRule type="expression" dxfId="2729" priority="2457">
      <formula>($D25=$A$2)</formula>
    </cfRule>
    <cfRule type="expression" dxfId="2728" priority="2458">
      <formula>OR($E25="토",$E25="일")</formula>
    </cfRule>
  </conditionalFormatting>
  <conditionalFormatting sqref="K21:M21">
    <cfRule type="expression" dxfId="2727" priority="2451">
      <formula>$D21=$A$2</formula>
    </cfRule>
  </conditionalFormatting>
  <conditionalFormatting sqref="K21:M21">
    <cfRule type="expression" dxfId="2726" priority="2452">
      <formula>($D21=$A$2)</formula>
    </cfRule>
    <cfRule type="expression" dxfId="2725" priority="2453">
      <formula>OR($E21="토",$E21="일")</formula>
    </cfRule>
  </conditionalFormatting>
  <conditionalFormatting sqref="L20:M20">
    <cfRule type="expression" dxfId="2724" priority="2445">
      <formula>$D20=$A$2</formula>
    </cfRule>
  </conditionalFormatting>
  <conditionalFormatting sqref="L20:M20">
    <cfRule type="expression" dxfId="2723" priority="2446">
      <formula>($D20=$A$2)</formula>
    </cfRule>
    <cfRule type="expression" dxfId="2722" priority="2447">
      <formula>OR($E20="토",$E20="일")</formula>
    </cfRule>
  </conditionalFormatting>
  <conditionalFormatting sqref="L26:M26">
    <cfRule type="expression" dxfId="2721" priority="2439">
      <formula>$D26=$A$2</formula>
    </cfRule>
  </conditionalFormatting>
  <conditionalFormatting sqref="L26:M26">
    <cfRule type="expression" dxfId="2720" priority="2440">
      <formula>($D26=$A$2)</formula>
    </cfRule>
    <cfRule type="expression" dxfId="2719" priority="2441">
      <formula>OR($E26="토",$E26="일")</formula>
    </cfRule>
  </conditionalFormatting>
  <conditionalFormatting sqref="G24:H24">
    <cfRule type="expression" dxfId="2718" priority="2436">
      <formula>$D24=$A$2</formula>
    </cfRule>
  </conditionalFormatting>
  <conditionalFormatting sqref="G24:H24">
    <cfRule type="expression" dxfId="2717" priority="2437">
      <formula>($D24=$A$2)</formula>
    </cfRule>
    <cfRule type="expression" dxfId="2716" priority="2438">
      <formula>OR($E24="토",$E24="일")</formula>
    </cfRule>
  </conditionalFormatting>
  <conditionalFormatting sqref="J24:M24">
    <cfRule type="expression" dxfId="2715" priority="2433">
      <formula>$D24=$A$2</formula>
    </cfRule>
  </conditionalFormatting>
  <conditionalFormatting sqref="J24:M24">
    <cfRule type="expression" dxfId="2714" priority="2434">
      <formula>($D24=$A$2)</formula>
    </cfRule>
    <cfRule type="expression" dxfId="2713" priority="2435">
      <formula>OR($E24="토",$E24="일")</formula>
    </cfRule>
  </conditionalFormatting>
  <conditionalFormatting sqref="L26:M26">
    <cfRule type="expression" dxfId="2712" priority="2430">
      <formula>$D26=$A$2</formula>
    </cfRule>
  </conditionalFormatting>
  <conditionalFormatting sqref="L26:M26">
    <cfRule type="expression" dxfId="2711" priority="2431">
      <formula>($D26=$A$2)</formula>
    </cfRule>
    <cfRule type="expression" dxfId="2710" priority="2432">
      <formula>OR($E26="토",$E26="일")</formula>
    </cfRule>
  </conditionalFormatting>
  <conditionalFormatting sqref="L26:M26">
    <cfRule type="expression" dxfId="2709" priority="2427">
      <formula>$D26=$A$2</formula>
    </cfRule>
  </conditionalFormatting>
  <conditionalFormatting sqref="L26:M26">
    <cfRule type="expression" dxfId="2708" priority="2428">
      <formula>($D26=$A$2)</formula>
    </cfRule>
    <cfRule type="expression" dxfId="2707" priority="2429">
      <formula>OR($E26="토",$E26="일")</formula>
    </cfRule>
  </conditionalFormatting>
  <conditionalFormatting sqref="J26:M26">
    <cfRule type="expression" dxfId="2706" priority="2424">
      <formula>$D26=$A$2</formula>
    </cfRule>
  </conditionalFormatting>
  <conditionalFormatting sqref="J26:M26">
    <cfRule type="expression" dxfId="2705" priority="2425">
      <formula>($D26=$A$2)</formula>
    </cfRule>
    <cfRule type="expression" dxfId="2704" priority="2426">
      <formula>OR($E26="토",$E26="일")</formula>
    </cfRule>
  </conditionalFormatting>
  <conditionalFormatting sqref="G25:H25">
    <cfRule type="expression" dxfId="2703" priority="2421">
      <formula>$D25=$A$2</formula>
    </cfRule>
  </conditionalFormatting>
  <conditionalFormatting sqref="G25:H25">
    <cfRule type="expression" dxfId="2702" priority="2422">
      <formula>($D25=$A$2)</formula>
    </cfRule>
    <cfRule type="expression" dxfId="2701" priority="2423">
      <formula>OR($E25="토",$E25="일")</formula>
    </cfRule>
  </conditionalFormatting>
  <conditionalFormatting sqref="J25:M25">
    <cfRule type="expression" dxfId="2700" priority="2418">
      <formula>$D25=$A$2</formula>
    </cfRule>
  </conditionalFormatting>
  <conditionalFormatting sqref="J25:M25">
    <cfRule type="expression" dxfId="2699" priority="2419">
      <formula>($D25=$A$2)</formula>
    </cfRule>
    <cfRule type="expression" dxfId="2698" priority="2420">
      <formula>OR($E25="토",$E25="일")</formula>
    </cfRule>
  </conditionalFormatting>
  <conditionalFormatting sqref="L21:M21">
    <cfRule type="expression" dxfId="2697" priority="2412">
      <formula>$D21=$A$2</formula>
    </cfRule>
  </conditionalFormatting>
  <conditionalFormatting sqref="L21:M21">
    <cfRule type="expression" dxfId="2696" priority="2413">
      <formula>($D21=$A$2)</formula>
    </cfRule>
    <cfRule type="expression" dxfId="2695" priority="2414">
      <formula>OR($E21="토",$E21="일")</formula>
    </cfRule>
  </conditionalFormatting>
  <conditionalFormatting sqref="J24:M24">
    <cfRule type="expression" dxfId="2694" priority="2409">
      <formula>$D24=$A$2</formula>
    </cfRule>
  </conditionalFormatting>
  <conditionalFormatting sqref="J24:M24">
    <cfRule type="expression" dxfId="2693" priority="2410">
      <formula>($D24=$A$2)</formula>
    </cfRule>
    <cfRule type="expression" dxfId="2692" priority="2411">
      <formula>OR($E24="토",$E24="일")</formula>
    </cfRule>
  </conditionalFormatting>
  <conditionalFormatting sqref="J24:M24">
    <cfRule type="expression" dxfId="2691" priority="2406">
      <formula>$D24=$A$2</formula>
    </cfRule>
  </conditionalFormatting>
  <conditionalFormatting sqref="J24:M24">
    <cfRule type="expression" dxfId="2690" priority="2407">
      <formula>($D24=$A$2)</formula>
    </cfRule>
    <cfRule type="expression" dxfId="2689" priority="2408">
      <formula>OR($E24="토",$E24="일")</formula>
    </cfRule>
  </conditionalFormatting>
  <conditionalFormatting sqref="J25:M25">
    <cfRule type="expression" dxfId="2688" priority="2403">
      <formula>$D25=$A$2</formula>
    </cfRule>
  </conditionalFormatting>
  <conditionalFormatting sqref="J25:M25">
    <cfRule type="expression" dxfId="2687" priority="2404">
      <formula>($D25=$A$2)</formula>
    </cfRule>
    <cfRule type="expression" dxfId="2686" priority="2405">
      <formula>OR($E25="토",$E25="일")</formula>
    </cfRule>
  </conditionalFormatting>
  <conditionalFormatting sqref="L24:M24">
    <cfRule type="expression" dxfId="2685" priority="2400">
      <formula>$D24=$A$2</formula>
    </cfRule>
  </conditionalFormatting>
  <conditionalFormatting sqref="L24:M24">
    <cfRule type="expression" dxfId="2684" priority="2401">
      <formula>($D24=$A$2)</formula>
    </cfRule>
    <cfRule type="expression" dxfId="2683" priority="2402">
      <formula>OR($E24="토",$E24="일")</formula>
    </cfRule>
  </conditionalFormatting>
  <conditionalFormatting sqref="J26:M26">
    <cfRule type="expression" dxfId="2682" priority="2397">
      <formula>$D26=$A$2</formula>
    </cfRule>
  </conditionalFormatting>
  <conditionalFormatting sqref="J26:M26">
    <cfRule type="expression" dxfId="2681" priority="2398">
      <formula>($D26=$A$2)</formula>
    </cfRule>
    <cfRule type="expression" dxfId="2680" priority="2399">
      <formula>OR($E26="토",$E26="일")</formula>
    </cfRule>
  </conditionalFormatting>
  <conditionalFormatting sqref="L25:M25">
    <cfRule type="expression" dxfId="2679" priority="2382">
      <formula>$D25=$A$2</formula>
    </cfRule>
  </conditionalFormatting>
  <conditionalFormatting sqref="L25:M25">
    <cfRule type="expression" dxfId="2678" priority="2383">
      <formula>($D25=$A$2)</formula>
    </cfRule>
    <cfRule type="expression" dxfId="2677" priority="2384">
      <formula>OR($E25="토",$E25="일")</formula>
    </cfRule>
  </conditionalFormatting>
  <conditionalFormatting sqref="L25:M25">
    <cfRule type="expression" dxfId="2676" priority="2379">
      <formula>$D25=$A$2</formula>
    </cfRule>
  </conditionalFormatting>
  <conditionalFormatting sqref="L25:M25">
    <cfRule type="expression" dxfId="2675" priority="2380">
      <formula>($D25=$A$2)</formula>
    </cfRule>
    <cfRule type="expression" dxfId="2674" priority="2381">
      <formula>OR($E25="토",$E25="일")</formula>
    </cfRule>
  </conditionalFormatting>
  <conditionalFormatting sqref="L25:M25">
    <cfRule type="expression" dxfId="2673" priority="2376">
      <formula>$D25=$A$2</formula>
    </cfRule>
  </conditionalFormatting>
  <conditionalFormatting sqref="L25:M25">
    <cfRule type="expression" dxfId="2672" priority="2377">
      <formula>($D25=$A$2)</formula>
    </cfRule>
    <cfRule type="expression" dxfId="2671" priority="2378">
      <formula>OR($E25="토",$E25="일")</formula>
    </cfRule>
  </conditionalFormatting>
  <conditionalFormatting sqref="J25:M25">
    <cfRule type="expression" dxfId="2670" priority="2373">
      <formula>$D25=$A$2</formula>
    </cfRule>
  </conditionalFormatting>
  <conditionalFormatting sqref="J25:M25">
    <cfRule type="expression" dxfId="2669" priority="2374">
      <formula>($D25=$A$2)</formula>
    </cfRule>
    <cfRule type="expression" dxfId="2668" priority="2375">
      <formula>OR($E25="토",$E25="일")</formula>
    </cfRule>
  </conditionalFormatting>
  <conditionalFormatting sqref="L26:M26">
    <cfRule type="expression" dxfId="2667" priority="2370">
      <formula>$D26=$A$2</formula>
    </cfRule>
  </conditionalFormatting>
  <conditionalFormatting sqref="L26:M26">
    <cfRule type="expression" dxfId="2666" priority="2371">
      <formula>($D26=$A$2)</formula>
    </cfRule>
    <cfRule type="expression" dxfId="2665" priority="2372">
      <formula>OR($E26="토",$E26="일")</formula>
    </cfRule>
  </conditionalFormatting>
  <conditionalFormatting sqref="L26:M26">
    <cfRule type="expression" dxfId="2664" priority="2367">
      <formula>$D26=$A$2</formula>
    </cfRule>
  </conditionalFormatting>
  <conditionalFormatting sqref="L26:M26">
    <cfRule type="expression" dxfId="2663" priority="2368">
      <formula>($D26=$A$2)</formula>
    </cfRule>
    <cfRule type="expression" dxfId="2662" priority="2369">
      <formula>OR($E26="토",$E26="일")</formula>
    </cfRule>
  </conditionalFormatting>
  <conditionalFormatting sqref="L26:M26">
    <cfRule type="expression" dxfId="2661" priority="2364">
      <formula>$D26=$A$2</formula>
    </cfRule>
  </conditionalFormatting>
  <conditionalFormatting sqref="L26:M26">
    <cfRule type="expression" dxfId="2660" priority="2365">
      <formula>($D26=$A$2)</formula>
    </cfRule>
    <cfRule type="expression" dxfId="2659" priority="2366">
      <formula>OR($E26="토",$E26="일")</formula>
    </cfRule>
  </conditionalFormatting>
  <conditionalFormatting sqref="J26:M26">
    <cfRule type="expression" dxfId="2658" priority="2361">
      <formula>$D26=$A$2</formula>
    </cfRule>
  </conditionalFormatting>
  <conditionalFormatting sqref="J26:M26">
    <cfRule type="expression" dxfId="2657" priority="2362">
      <formula>($D26=$A$2)</formula>
    </cfRule>
    <cfRule type="expression" dxfId="2656" priority="2363">
      <formula>OR($E26="토",$E26="일")</formula>
    </cfRule>
  </conditionalFormatting>
  <conditionalFormatting sqref="J25:M25">
    <cfRule type="expression" dxfId="2655" priority="2358">
      <formula>$D25=$A$2</formula>
    </cfRule>
  </conditionalFormatting>
  <conditionalFormatting sqref="J25:M25">
    <cfRule type="expression" dxfId="2654" priority="2359">
      <formula>($D25=$A$2)</formula>
    </cfRule>
    <cfRule type="expression" dxfId="2653" priority="2360">
      <formula>OR($E25="토",$E25="일")</formula>
    </cfRule>
  </conditionalFormatting>
  <conditionalFormatting sqref="L27:M27">
    <cfRule type="expression" dxfId="2652" priority="2355">
      <formula>$D27=$A$2</formula>
    </cfRule>
  </conditionalFormatting>
  <conditionalFormatting sqref="L27:M27">
    <cfRule type="expression" dxfId="2651" priority="2356">
      <formula>($D27=$A$2)</formula>
    </cfRule>
    <cfRule type="expression" dxfId="2650" priority="2357">
      <formula>OR($E27="토",$E27="일")</formula>
    </cfRule>
  </conditionalFormatting>
  <conditionalFormatting sqref="L27:M27">
    <cfRule type="expression" dxfId="2649" priority="2352">
      <formula>$D27=$A$2</formula>
    </cfRule>
  </conditionalFormatting>
  <conditionalFormatting sqref="L27:M27">
    <cfRule type="expression" dxfId="2648" priority="2353">
      <formula>($D27=$A$2)</formula>
    </cfRule>
    <cfRule type="expression" dxfId="2647" priority="2354">
      <formula>OR($E27="토",$E27="일")</formula>
    </cfRule>
  </conditionalFormatting>
  <conditionalFormatting sqref="L27:M27">
    <cfRule type="expression" dxfId="2646" priority="2349">
      <formula>$D27=$A$2</formula>
    </cfRule>
  </conditionalFormatting>
  <conditionalFormatting sqref="L27:M27">
    <cfRule type="expression" dxfId="2645" priority="2350">
      <formula>($D27=$A$2)</formula>
    </cfRule>
    <cfRule type="expression" dxfId="2644" priority="2351">
      <formula>OR($E27="토",$E27="일")</formula>
    </cfRule>
  </conditionalFormatting>
  <conditionalFormatting sqref="L27:M27">
    <cfRule type="expression" dxfId="2643" priority="2346">
      <formula>$D27=$A$2</formula>
    </cfRule>
  </conditionalFormatting>
  <conditionalFormatting sqref="L27:M27">
    <cfRule type="expression" dxfId="2642" priority="2347">
      <formula>($D27=$A$2)</formula>
    </cfRule>
    <cfRule type="expression" dxfId="2641" priority="2348">
      <formula>OR($E27="토",$E27="일")</formula>
    </cfRule>
  </conditionalFormatting>
  <conditionalFormatting sqref="L27:M27">
    <cfRule type="expression" dxfId="2640" priority="2343">
      <formula>$D27=$A$2</formula>
    </cfRule>
  </conditionalFormatting>
  <conditionalFormatting sqref="L27:M27">
    <cfRule type="expression" dxfId="2639" priority="2344">
      <formula>($D27=$A$2)</formula>
    </cfRule>
    <cfRule type="expression" dxfId="2638" priority="2345">
      <formula>OR($E27="토",$E27="일")</formula>
    </cfRule>
  </conditionalFormatting>
  <conditionalFormatting sqref="J27:M27">
    <cfRule type="expression" dxfId="2637" priority="2340">
      <formula>$D27=$A$2</formula>
    </cfRule>
  </conditionalFormatting>
  <conditionalFormatting sqref="J27:M27">
    <cfRule type="expression" dxfId="2636" priority="2341">
      <formula>($D27=$A$2)</formula>
    </cfRule>
    <cfRule type="expression" dxfId="2635" priority="2342">
      <formula>OR($E27="토",$E27="일")</formula>
    </cfRule>
  </conditionalFormatting>
  <conditionalFormatting sqref="J27:M27">
    <cfRule type="expression" dxfId="2634" priority="2337">
      <formula>$D27=$A$2</formula>
    </cfRule>
  </conditionalFormatting>
  <conditionalFormatting sqref="J27:M27">
    <cfRule type="expression" dxfId="2633" priority="2338">
      <formula>($D27=$A$2)</formula>
    </cfRule>
    <cfRule type="expression" dxfId="2632" priority="2339">
      <formula>OR($E27="토",$E27="일")</formula>
    </cfRule>
  </conditionalFormatting>
  <conditionalFormatting sqref="L27:M27">
    <cfRule type="expression" dxfId="2631" priority="2334">
      <formula>$D27=$A$2</formula>
    </cfRule>
  </conditionalFormatting>
  <conditionalFormatting sqref="L27:M27">
    <cfRule type="expression" dxfId="2630" priority="2335">
      <formula>($D27=$A$2)</formula>
    </cfRule>
    <cfRule type="expression" dxfId="2629" priority="2336">
      <formula>OR($E27="토",$E27="일")</formula>
    </cfRule>
  </conditionalFormatting>
  <conditionalFormatting sqref="L27:M27">
    <cfRule type="expression" dxfId="2628" priority="2331">
      <formula>$D27=$A$2</formula>
    </cfRule>
  </conditionalFormatting>
  <conditionalFormatting sqref="L27:M27">
    <cfRule type="expression" dxfId="2627" priority="2332">
      <formula>($D27=$A$2)</formula>
    </cfRule>
    <cfRule type="expression" dxfId="2626" priority="2333">
      <formula>OR($E27="토",$E27="일")</formula>
    </cfRule>
  </conditionalFormatting>
  <conditionalFormatting sqref="L27:M27">
    <cfRule type="expression" dxfId="2625" priority="2328">
      <formula>$D27=$A$2</formula>
    </cfRule>
  </conditionalFormatting>
  <conditionalFormatting sqref="L27:M27">
    <cfRule type="expression" dxfId="2624" priority="2329">
      <formula>($D27=$A$2)</formula>
    </cfRule>
    <cfRule type="expression" dxfId="2623" priority="2330">
      <formula>OR($E27="토",$E27="일")</formula>
    </cfRule>
  </conditionalFormatting>
  <conditionalFormatting sqref="J27:M27">
    <cfRule type="expression" dxfId="2622" priority="2325">
      <formula>$D27=$A$2</formula>
    </cfRule>
  </conditionalFormatting>
  <conditionalFormatting sqref="J27:M27">
    <cfRule type="expression" dxfId="2621" priority="2326">
      <formula>($D27=$A$2)</formula>
    </cfRule>
    <cfRule type="expression" dxfId="2620" priority="2327">
      <formula>OR($E27="토",$E27="일")</formula>
    </cfRule>
  </conditionalFormatting>
  <conditionalFormatting sqref="L25:M25">
    <cfRule type="expression" dxfId="2619" priority="2322">
      <formula>$D25=$A$2</formula>
    </cfRule>
  </conditionalFormatting>
  <conditionalFormatting sqref="L25:M25">
    <cfRule type="expression" dxfId="2618" priority="2323">
      <formula>($D25=$A$2)</formula>
    </cfRule>
    <cfRule type="expression" dxfId="2617" priority="2324">
      <formula>OR($E25="토",$E25="일")</formula>
    </cfRule>
  </conditionalFormatting>
  <conditionalFormatting sqref="L25:M25">
    <cfRule type="expression" dxfId="2616" priority="2319">
      <formula>$D25=$A$2</formula>
    </cfRule>
  </conditionalFormatting>
  <conditionalFormatting sqref="L25:M25">
    <cfRule type="expression" dxfId="2615" priority="2320">
      <formula>($D25=$A$2)</formula>
    </cfRule>
    <cfRule type="expression" dxfId="2614" priority="2321">
      <formula>OR($E25="토",$E25="일")</formula>
    </cfRule>
  </conditionalFormatting>
  <conditionalFormatting sqref="L25:M25">
    <cfRule type="expression" dxfId="2613" priority="2316">
      <formula>$D25=$A$2</formula>
    </cfRule>
  </conditionalFormatting>
  <conditionalFormatting sqref="L25:M25">
    <cfRule type="expression" dxfId="2612" priority="2317">
      <formula>($D25=$A$2)</formula>
    </cfRule>
    <cfRule type="expression" dxfId="2611" priority="2318">
      <formula>OR($E25="토",$E25="일")</formula>
    </cfRule>
  </conditionalFormatting>
  <conditionalFormatting sqref="J25:M25">
    <cfRule type="expression" dxfId="2610" priority="2313">
      <formula>$D25=$A$2</formula>
    </cfRule>
  </conditionalFormatting>
  <conditionalFormatting sqref="J25:M25">
    <cfRule type="expression" dxfId="2609" priority="2314">
      <formula>($D25=$A$2)</formula>
    </cfRule>
    <cfRule type="expression" dxfId="2608" priority="2315">
      <formula>OR($E25="토",$E25="일")</formula>
    </cfRule>
  </conditionalFormatting>
  <conditionalFormatting sqref="G24:H24">
    <cfRule type="expression" dxfId="2607" priority="2310">
      <formula>$D24=$A$2</formula>
    </cfRule>
  </conditionalFormatting>
  <conditionalFormatting sqref="G24:H24">
    <cfRule type="expression" dxfId="2606" priority="2311">
      <formula>($D24=$A$2)</formula>
    </cfRule>
    <cfRule type="expression" dxfId="2605" priority="2312">
      <formula>OR($E24="토",$E24="일")</formula>
    </cfRule>
  </conditionalFormatting>
  <conditionalFormatting sqref="J24:M24">
    <cfRule type="expression" dxfId="2604" priority="2307">
      <formula>$D24=$A$2</formula>
    </cfRule>
  </conditionalFormatting>
  <conditionalFormatting sqref="J24:M24">
    <cfRule type="expression" dxfId="2603" priority="2308">
      <formula>($D24=$A$2)</formula>
    </cfRule>
    <cfRule type="expression" dxfId="2602" priority="2309">
      <formula>OR($E24="토",$E24="일")</formula>
    </cfRule>
  </conditionalFormatting>
  <conditionalFormatting sqref="J24:M24">
    <cfRule type="expression" dxfId="2601" priority="2304">
      <formula>$D24=$A$2</formula>
    </cfRule>
  </conditionalFormatting>
  <conditionalFormatting sqref="J24:M24">
    <cfRule type="expression" dxfId="2600" priority="2305">
      <formula>($D24=$A$2)</formula>
    </cfRule>
    <cfRule type="expression" dxfId="2599" priority="2306">
      <formula>OR($E24="토",$E24="일")</formula>
    </cfRule>
  </conditionalFormatting>
  <conditionalFormatting sqref="J25:M25">
    <cfRule type="expression" dxfId="2598" priority="2301">
      <formula>$D25=$A$2</formula>
    </cfRule>
  </conditionalFormatting>
  <conditionalFormatting sqref="J25:M25">
    <cfRule type="expression" dxfId="2597" priority="2302">
      <formula>($D25=$A$2)</formula>
    </cfRule>
    <cfRule type="expression" dxfId="2596" priority="2303">
      <formula>OR($E25="토",$E25="일")</formula>
    </cfRule>
  </conditionalFormatting>
  <conditionalFormatting sqref="L24:M24">
    <cfRule type="expression" dxfId="2595" priority="2298">
      <formula>$D24=$A$2</formula>
    </cfRule>
  </conditionalFormatting>
  <conditionalFormatting sqref="L24:M24">
    <cfRule type="expression" dxfId="2594" priority="2299">
      <formula>($D24=$A$2)</formula>
    </cfRule>
    <cfRule type="expression" dxfId="2593" priority="2300">
      <formula>OR($E24="토",$E24="일")</formula>
    </cfRule>
  </conditionalFormatting>
  <conditionalFormatting sqref="L24:M24">
    <cfRule type="expression" dxfId="2592" priority="2295">
      <formula>$D24=$A$2</formula>
    </cfRule>
  </conditionalFormatting>
  <conditionalFormatting sqref="L24:M24">
    <cfRule type="expression" dxfId="2591" priority="2296">
      <formula>($D24=$A$2)</formula>
    </cfRule>
    <cfRule type="expression" dxfId="2590" priority="2297">
      <formula>OR($E24="토",$E24="일")</formula>
    </cfRule>
  </conditionalFormatting>
  <conditionalFormatting sqref="L24:M24">
    <cfRule type="expression" dxfId="2589" priority="2292">
      <formula>$D24=$A$2</formula>
    </cfRule>
  </conditionalFormatting>
  <conditionalFormatting sqref="L24:M24">
    <cfRule type="expression" dxfId="2588" priority="2293">
      <formula>($D24=$A$2)</formula>
    </cfRule>
    <cfRule type="expression" dxfId="2587" priority="2294">
      <formula>OR($E24="토",$E24="일")</formula>
    </cfRule>
  </conditionalFormatting>
  <conditionalFormatting sqref="J24:M24">
    <cfRule type="expression" dxfId="2586" priority="2289">
      <formula>$D24=$A$2</formula>
    </cfRule>
  </conditionalFormatting>
  <conditionalFormatting sqref="J24:M24">
    <cfRule type="expression" dxfId="2585" priority="2290">
      <formula>($D24=$A$2)</formula>
    </cfRule>
    <cfRule type="expression" dxfId="2584" priority="2291">
      <formula>OR($E24="토",$E24="일")</formula>
    </cfRule>
  </conditionalFormatting>
  <conditionalFormatting sqref="L25:M25">
    <cfRule type="expression" dxfId="2583" priority="2286">
      <formula>$D25=$A$2</formula>
    </cfRule>
  </conditionalFormatting>
  <conditionalFormatting sqref="L25:M25">
    <cfRule type="expression" dxfId="2582" priority="2287">
      <formula>($D25=$A$2)</formula>
    </cfRule>
    <cfRule type="expression" dxfId="2581" priority="2288">
      <formula>OR($E25="토",$E25="일")</formula>
    </cfRule>
  </conditionalFormatting>
  <conditionalFormatting sqref="L25:M25">
    <cfRule type="expression" dxfId="2580" priority="2283">
      <formula>$D25=$A$2</formula>
    </cfRule>
  </conditionalFormatting>
  <conditionalFormatting sqref="L25:M25">
    <cfRule type="expression" dxfId="2579" priority="2284">
      <formula>($D25=$A$2)</formula>
    </cfRule>
    <cfRule type="expression" dxfId="2578" priority="2285">
      <formula>OR($E25="토",$E25="일")</formula>
    </cfRule>
  </conditionalFormatting>
  <conditionalFormatting sqref="L25:M25">
    <cfRule type="expression" dxfId="2577" priority="2280">
      <formula>$D25=$A$2</formula>
    </cfRule>
  </conditionalFormatting>
  <conditionalFormatting sqref="L25:M25">
    <cfRule type="expression" dxfId="2576" priority="2281">
      <formula>($D25=$A$2)</formula>
    </cfRule>
    <cfRule type="expression" dxfId="2575" priority="2282">
      <formula>OR($E25="토",$E25="일")</formula>
    </cfRule>
  </conditionalFormatting>
  <conditionalFormatting sqref="J25:M25">
    <cfRule type="expression" dxfId="2574" priority="2277">
      <formula>$D25=$A$2</formula>
    </cfRule>
  </conditionalFormatting>
  <conditionalFormatting sqref="J25:M25">
    <cfRule type="expression" dxfId="2573" priority="2278">
      <formula>($D25=$A$2)</formula>
    </cfRule>
    <cfRule type="expression" dxfId="2572" priority="2279">
      <formula>OR($E25="토",$E25="일")</formula>
    </cfRule>
  </conditionalFormatting>
  <conditionalFormatting sqref="J24:M24">
    <cfRule type="expression" dxfId="2571" priority="2274">
      <formula>$D24=$A$2</formula>
    </cfRule>
  </conditionalFormatting>
  <conditionalFormatting sqref="J24:M24">
    <cfRule type="expression" dxfId="2570" priority="2275">
      <formula>($D24=$A$2)</formula>
    </cfRule>
    <cfRule type="expression" dxfId="2569" priority="2276">
      <formula>OR($E24="토",$E24="일")</formula>
    </cfRule>
  </conditionalFormatting>
  <conditionalFormatting sqref="L26:M26">
    <cfRule type="expression" dxfId="2568" priority="2271">
      <formula>$D26=$A$2</formula>
    </cfRule>
  </conditionalFormatting>
  <conditionalFormatting sqref="L26:M26">
    <cfRule type="expression" dxfId="2567" priority="2272">
      <formula>($D26=$A$2)</formula>
    </cfRule>
    <cfRule type="expression" dxfId="2566" priority="2273">
      <formula>OR($E26="토",$E26="일")</formula>
    </cfRule>
  </conditionalFormatting>
  <conditionalFormatting sqref="L26:M26">
    <cfRule type="expression" dxfId="2565" priority="2268">
      <formula>$D26=$A$2</formula>
    </cfRule>
  </conditionalFormatting>
  <conditionalFormatting sqref="L26:M26">
    <cfRule type="expression" dxfId="2564" priority="2269">
      <formula>($D26=$A$2)</formula>
    </cfRule>
    <cfRule type="expression" dxfId="2563" priority="2270">
      <formula>OR($E26="토",$E26="일")</formula>
    </cfRule>
  </conditionalFormatting>
  <conditionalFormatting sqref="L26:M26">
    <cfRule type="expression" dxfId="2562" priority="2265">
      <formula>$D26=$A$2</formula>
    </cfRule>
  </conditionalFormatting>
  <conditionalFormatting sqref="L26:M26">
    <cfRule type="expression" dxfId="2561" priority="2266">
      <formula>($D26=$A$2)</formula>
    </cfRule>
    <cfRule type="expression" dxfId="2560" priority="2267">
      <formula>OR($E26="토",$E26="일")</formula>
    </cfRule>
  </conditionalFormatting>
  <conditionalFormatting sqref="L26:M26">
    <cfRule type="expression" dxfId="2559" priority="2262">
      <formula>$D26=$A$2</formula>
    </cfRule>
  </conditionalFormatting>
  <conditionalFormatting sqref="L26:M26">
    <cfRule type="expression" dxfId="2558" priority="2263">
      <formula>($D26=$A$2)</formula>
    </cfRule>
    <cfRule type="expression" dxfId="2557" priority="2264">
      <formula>OR($E26="토",$E26="일")</formula>
    </cfRule>
  </conditionalFormatting>
  <conditionalFormatting sqref="L26:M26">
    <cfRule type="expression" dxfId="2556" priority="2259">
      <formula>$D26=$A$2</formula>
    </cfRule>
  </conditionalFormatting>
  <conditionalFormatting sqref="L26:M26">
    <cfRule type="expression" dxfId="2555" priority="2260">
      <formula>($D26=$A$2)</formula>
    </cfRule>
    <cfRule type="expression" dxfId="2554" priority="2261">
      <formula>OR($E26="토",$E26="일")</formula>
    </cfRule>
  </conditionalFormatting>
  <conditionalFormatting sqref="J26:M26">
    <cfRule type="expression" dxfId="2553" priority="2256">
      <formula>$D26=$A$2</formula>
    </cfRule>
  </conditionalFormatting>
  <conditionalFormatting sqref="J26:M26">
    <cfRule type="expression" dxfId="2552" priority="2257">
      <formula>($D26=$A$2)</formula>
    </cfRule>
    <cfRule type="expression" dxfId="2551" priority="2258">
      <formula>OR($E26="토",$E26="일")</formula>
    </cfRule>
  </conditionalFormatting>
  <conditionalFormatting sqref="J26:M26">
    <cfRule type="expression" dxfId="2550" priority="2253">
      <formula>$D26=$A$2</formula>
    </cfRule>
  </conditionalFormatting>
  <conditionalFormatting sqref="J26:M26">
    <cfRule type="expression" dxfId="2549" priority="2254">
      <formula>($D26=$A$2)</formula>
    </cfRule>
    <cfRule type="expression" dxfId="2548" priority="2255">
      <formula>OR($E26="토",$E26="일")</formula>
    </cfRule>
  </conditionalFormatting>
  <conditionalFormatting sqref="L26:M26">
    <cfRule type="expression" dxfId="2547" priority="2250">
      <formula>$D26=$A$2</formula>
    </cfRule>
  </conditionalFormatting>
  <conditionalFormatting sqref="L26:M26">
    <cfRule type="expression" dxfId="2546" priority="2251">
      <formula>($D26=$A$2)</formula>
    </cfRule>
    <cfRule type="expression" dxfId="2545" priority="2252">
      <formula>OR($E26="토",$E26="일")</formula>
    </cfRule>
  </conditionalFormatting>
  <conditionalFormatting sqref="L26:M26">
    <cfRule type="expression" dxfId="2544" priority="2247">
      <formula>$D26=$A$2</formula>
    </cfRule>
  </conditionalFormatting>
  <conditionalFormatting sqref="L26:M26">
    <cfRule type="expression" dxfId="2543" priority="2248">
      <formula>($D26=$A$2)</formula>
    </cfRule>
    <cfRule type="expression" dxfId="2542" priority="2249">
      <formula>OR($E26="토",$E26="일")</formula>
    </cfRule>
  </conditionalFormatting>
  <conditionalFormatting sqref="L26:M26">
    <cfRule type="expression" dxfId="2541" priority="2244">
      <formula>$D26=$A$2</formula>
    </cfRule>
  </conditionalFormatting>
  <conditionalFormatting sqref="L26:M26">
    <cfRule type="expression" dxfId="2540" priority="2245">
      <formula>($D26=$A$2)</formula>
    </cfRule>
    <cfRule type="expression" dxfId="2539" priority="2246">
      <formula>OR($E26="토",$E26="일")</formula>
    </cfRule>
  </conditionalFormatting>
  <conditionalFormatting sqref="J26:M26">
    <cfRule type="expression" dxfId="2538" priority="2241">
      <formula>$D26=$A$2</formula>
    </cfRule>
  </conditionalFormatting>
  <conditionalFormatting sqref="J26:M26">
    <cfRule type="expression" dxfId="2537" priority="2242">
      <formula>($D26=$A$2)</formula>
    </cfRule>
    <cfRule type="expression" dxfId="2536" priority="2243">
      <formula>OR($E26="토",$E26="일")</formula>
    </cfRule>
  </conditionalFormatting>
  <conditionalFormatting sqref="G24:H24">
    <cfRule type="expression" dxfId="2535" priority="2238">
      <formula>$D24=$A$2</formula>
    </cfRule>
  </conditionalFormatting>
  <conditionalFormatting sqref="G24:H24">
    <cfRule type="expression" dxfId="2534" priority="2239">
      <formula>($D24=$A$2)</formula>
    </cfRule>
    <cfRule type="expression" dxfId="2533" priority="2240">
      <formula>OR($E24="토",$E24="일")</formula>
    </cfRule>
  </conditionalFormatting>
  <conditionalFormatting sqref="J24:M24">
    <cfRule type="expression" dxfId="2532" priority="2235">
      <formula>$D24=$A$2</formula>
    </cfRule>
  </conditionalFormatting>
  <conditionalFormatting sqref="J24:M24">
    <cfRule type="expression" dxfId="2531" priority="2236">
      <formula>($D24=$A$2)</formula>
    </cfRule>
    <cfRule type="expression" dxfId="2530" priority="2237">
      <formula>OR($E24="토",$E24="일")</formula>
    </cfRule>
  </conditionalFormatting>
  <conditionalFormatting sqref="J24:M24">
    <cfRule type="expression" dxfId="2529" priority="2232">
      <formula>$D24=$A$2</formula>
    </cfRule>
  </conditionalFormatting>
  <conditionalFormatting sqref="J24:M24">
    <cfRule type="expression" dxfId="2528" priority="2233">
      <formula>($D24=$A$2)</formula>
    </cfRule>
    <cfRule type="expression" dxfId="2527" priority="2234">
      <formula>OR($E24="토",$E24="일")</formula>
    </cfRule>
  </conditionalFormatting>
  <conditionalFormatting sqref="L27:M27">
    <cfRule type="expression" dxfId="2526" priority="2229">
      <formula>$D27=$A$2</formula>
    </cfRule>
  </conditionalFormatting>
  <conditionalFormatting sqref="L27:M27">
    <cfRule type="expression" dxfId="2525" priority="2230">
      <formula>($D27=$A$2)</formula>
    </cfRule>
    <cfRule type="expression" dxfId="2524" priority="2231">
      <formula>OR($E27="토",$E27="일")</formula>
    </cfRule>
  </conditionalFormatting>
  <conditionalFormatting sqref="G25:H25">
    <cfRule type="expression" dxfId="2523" priority="2226">
      <formula>$D25=$A$2</formula>
    </cfRule>
  </conditionalFormatting>
  <conditionalFormatting sqref="G25:H25">
    <cfRule type="expression" dxfId="2522" priority="2227">
      <formula>($D25=$A$2)</formula>
    </cfRule>
    <cfRule type="expression" dxfId="2521" priority="2228">
      <formula>OR($E25="토",$E25="일")</formula>
    </cfRule>
  </conditionalFormatting>
  <conditionalFormatting sqref="G24:H24">
    <cfRule type="expression" dxfId="2520" priority="2223">
      <formula>$D24=$A$2</formula>
    </cfRule>
  </conditionalFormatting>
  <conditionalFormatting sqref="G24:H24">
    <cfRule type="expression" dxfId="2519" priority="2224">
      <formula>($D24=$A$2)</formula>
    </cfRule>
    <cfRule type="expression" dxfId="2518" priority="2225">
      <formula>OR($E24="토",$E24="일")</formula>
    </cfRule>
  </conditionalFormatting>
  <conditionalFormatting sqref="J25:M25">
    <cfRule type="expression" dxfId="2517" priority="2220">
      <formula>$D25=$A$2</formula>
    </cfRule>
  </conditionalFormatting>
  <conditionalFormatting sqref="J25:M25">
    <cfRule type="expression" dxfId="2516" priority="2221">
      <formula>($D25=$A$2)</formula>
    </cfRule>
    <cfRule type="expression" dxfId="2515" priority="2222">
      <formula>OR($E25="토",$E25="일")</formula>
    </cfRule>
  </conditionalFormatting>
  <conditionalFormatting sqref="L24:M24">
    <cfRule type="expression" dxfId="2514" priority="2217">
      <formula>$D24=$A$2</formula>
    </cfRule>
  </conditionalFormatting>
  <conditionalFormatting sqref="L24:M24">
    <cfRule type="expression" dxfId="2513" priority="2218">
      <formula>($D24=$A$2)</formula>
    </cfRule>
    <cfRule type="expression" dxfId="2512" priority="2219">
      <formula>OR($E24="토",$E24="일")</formula>
    </cfRule>
  </conditionalFormatting>
  <conditionalFormatting sqref="L27:M27">
    <cfRule type="expression" dxfId="2511" priority="2214">
      <formula>$D27=$A$2</formula>
    </cfRule>
  </conditionalFormatting>
  <conditionalFormatting sqref="L27:M27">
    <cfRule type="expression" dxfId="2510" priority="2215">
      <formula>($D27=$A$2)</formula>
    </cfRule>
    <cfRule type="expression" dxfId="2509" priority="2216">
      <formula>OR($E27="토",$E27="일")</formula>
    </cfRule>
  </conditionalFormatting>
  <conditionalFormatting sqref="L27:M27">
    <cfRule type="expression" dxfId="2508" priority="2211">
      <formula>$D27=$A$2</formula>
    </cfRule>
  </conditionalFormatting>
  <conditionalFormatting sqref="L27:M27">
    <cfRule type="expression" dxfId="2507" priority="2212">
      <formula>($D27=$A$2)</formula>
    </cfRule>
    <cfRule type="expression" dxfId="2506" priority="2213">
      <formula>OR($E27="토",$E27="일")</formula>
    </cfRule>
  </conditionalFormatting>
  <conditionalFormatting sqref="J27:M27">
    <cfRule type="expression" dxfId="2505" priority="2208">
      <formula>$D27=$A$2</formula>
    </cfRule>
  </conditionalFormatting>
  <conditionalFormatting sqref="J27:M27">
    <cfRule type="expression" dxfId="2504" priority="2209">
      <formula>($D27=$A$2)</formula>
    </cfRule>
    <cfRule type="expression" dxfId="2503" priority="2210">
      <formula>OR($E27="토",$E27="일")</formula>
    </cfRule>
  </conditionalFormatting>
  <conditionalFormatting sqref="G26:H26">
    <cfRule type="expression" dxfId="2502" priority="2205">
      <formula>$D26=$A$2</formula>
    </cfRule>
  </conditionalFormatting>
  <conditionalFormatting sqref="G26:H26">
    <cfRule type="expression" dxfId="2501" priority="2206">
      <formula>($D26=$A$2)</formula>
    </cfRule>
    <cfRule type="expression" dxfId="2500" priority="2207">
      <formula>OR($E26="토",$E26="일")</formula>
    </cfRule>
  </conditionalFormatting>
  <conditionalFormatting sqref="J26:M26">
    <cfRule type="expression" dxfId="2499" priority="2202">
      <formula>$D26=$A$2</formula>
    </cfRule>
  </conditionalFormatting>
  <conditionalFormatting sqref="J26:M26">
    <cfRule type="expression" dxfId="2498" priority="2203">
      <formula>($D26=$A$2)</formula>
    </cfRule>
    <cfRule type="expression" dxfId="2497" priority="2204">
      <formula>OR($E26="토",$E26="일")</formula>
    </cfRule>
  </conditionalFormatting>
  <conditionalFormatting sqref="J24:M24">
    <cfRule type="expression" dxfId="2496" priority="2199">
      <formula>$D24=$A$2</formula>
    </cfRule>
  </conditionalFormatting>
  <conditionalFormatting sqref="J24:M24">
    <cfRule type="expression" dxfId="2495" priority="2200">
      <formula>($D24=$A$2)</formula>
    </cfRule>
    <cfRule type="expression" dxfId="2494" priority="2201">
      <formula>OR($E24="토",$E24="일")</formula>
    </cfRule>
  </conditionalFormatting>
  <conditionalFormatting sqref="J25:M25">
    <cfRule type="expression" dxfId="2493" priority="2196">
      <formula>$D25=$A$2</formula>
    </cfRule>
  </conditionalFormatting>
  <conditionalFormatting sqref="J25:M25">
    <cfRule type="expression" dxfId="2492" priority="2197">
      <formula>($D25=$A$2)</formula>
    </cfRule>
    <cfRule type="expression" dxfId="2491" priority="2198">
      <formula>OR($E25="토",$E25="일")</formula>
    </cfRule>
  </conditionalFormatting>
  <conditionalFormatting sqref="L24:M24">
    <cfRule type="expression" dxfId="2490" priority="2193">
      <formula>$D24=$A$2</formula>
    </cfRule>
  </conditionalFormatting>
  <conditionalFormatting sqref="L24:M24">
    <cfRule type="expression" dxfId="2489" priority="2194">
      <formula>($D24=$A$2)</formula>
    </cfRule>
    <cfRule type="expression" dxfId="2488" priority="2195">
      <formula>OR($E24="토",$E24="일")</formula>
    </cfRule>
  </conditionalFormatting>
  <conditionalFormatting sqref="J25:M25">
    <cfRule type="expression" dxfId="2487" priority="2190">
      <formula>$D25=$A$2</formula>
    </cfRule>
  </conditionalFormatting>
  <conditionalFormatting sqref="J25:M25">
    <cfRule type="expression" dxfId="2486" priority="2191">
      <formula>($D25=$A$2)</formula>
    </cfRule>
    <cfRule type="expression" dxfId="2485" priority="2192">
      <formula>OR($E25="토",$E25="일")</formula>
    </cfRule>
  </conditionalFormatting>
  <conditionalFormatting sqref="J26:M26">
    <cfRule type="expression" dxfId="2484" priority="2187">
      <formula>$D26=$A$2</formula>
    </cfRule>
  </conditionalFormatting>
  <conditionalFormatting sqref="J26:M26">
    <cfRule type="expression" dxfId="2483" priority="2188">
      <formula>($D26=$A$2)</formula>
    </cfRule>
    <cfRule type="expression" dxfId="2482" priority="2189">
      <formula>OR($E26="토",$E26="일")</formula>
    </cfRule>
  </conditionalFormatting>
  <conditionalFormatting sqref="L25:M25">
    <cfRule type="expression" dxfId="2481" priority="2184">
      <formula>$D25=$A$2</formula>
    </cfRule>
  </conditionalFormatting>
  <conditionalFormatting sqref="L25:M25">
    <cfRule type="expression" dxfId="2480" priority="2185">
      <formula>($D25=$A$2)</formula>
    </cfRule>
    <cfRule type="expression" dxfId="2479" priority="2186">
      <formula>OR($E25="토",$E25="일")</formula>
    </cfRule>
  </conditionalFormatting>
  <conditionalFormatting sqref="J27:M27">
    <cfRule type="expression" dxfId="2478" priority="2181">
      <formula>$D27=$A$2</formula>
    </cfRule>
  </conditionalFormatting>
  <conditionalFormatting sqref="J27:M27">
    <cfRule type="expression" dxfId="2477" priority="2182">
      <formula>($D27=$A$2)</formula>
    </cfRule>
    <cfRule type="expression" dxfId="2476" priority="2183">
      <formula>OR($E27="토",$E27="일")</formula>
    </cfRule>
  </conditionalFormatting>
  <conditionalFormatting sqref="L26:M26">
    <cfRule type="expression" dxfId="2475" priority="2178">
      <formula>$D26=$A$2</formula>
    </cfRule>
  </conditionalFormatting>
  <conditionalFormatting sqref="L26:M26">
    <cfRule type="expression" dxfId="2474" priority="2179">
      <formula>($D26=$A$2)</formula>
    </cfRule>
    <cfRule type="expression" dxfId="2473" priority="2180">
      <formula>OR($E26="토",$E26="일")</formula>
    </cfRule>
  </conditionalFormatting>
  <conditionalFormatting sqref="L26:M26">
    <cfRule type="expression" dxfId="2472" priority="2175">
      <formula>$D26=$A$2</formula>
    </cfRule>
  </conditionalFormatting>
  <conditionalFormatting sqref="L26:M26">
    <cfRule type="expression" dxfId="2471" priority="2176">
      <formula>($D26=$A$2)</formula>
    </cfRule>
    <cfRule type="expression" dxfId="2470" priority="2177">
      <formula>OR($E26="토",$E26="일")</formula>
    </cfRule>
  </conditionalFormatting>
  <conditionalFormatting sqref="L26:M26">
    <cfRule type="expression" dxfId="2469" priority="2172">
      <formula>$D26=$A$2</formula>
    </cfRule>
  </conditionalFormatting>
  <conditionalFormatting sqref="L26:M26">
    <cfRule type="expression" dxfId="2468" priority="2173">
      <formula>($D26=$A$2)</formula>
    </cfRule>
    <cfRule type="expression" dxfId="2467" priority="2174">
      <formula>OR($E26="토",$E26="일")</formula>
    </cfRule>
  </conditionalFormatting>
  <conditionalFormatting sqref="J26:M26">
    <cfRule type="expression" dxfId="2466" priority="2169">
      <formula>$D26=$A$2</formula>
    </cfRule>
  </conditionalFormatting>
  <conditionalFormatting sqref="J26:M26">
    <cfRule type="expression" dxfId="2465" priority="2170">
      <formula>($D26=$A$2)</formula>
    </cfRule>
    <cfRule type="expression" dxfId="2464" priority="2171">
      <formula>OR($E26="토",$E26="일")</formula>
    </cfRule>
  </conditionalFormatting>
  <conditionalFormatting sqref="L27:M27">
    <cfRule type="expression" dxfId="2463" priority="2166">
      <formula>$D27=$A$2</formula>
    </cfRule>
  </conditionalFormatting>
  <conditionalFormatting sqref="L27:M27">
    <cfRule type="expression" dxfId="2462" priority="2167">
      <formula>($D27=$A$2)</formula>
    </cfRule>
    <cfRule type="expression" dxfId="2461" priority="2168">
      <formula>OR($E27="토",$E27="일")</formula>
    </cfRule>
  </conditionalFormatting>
  <conditionalFormatting sqref="L27:M27">
    <cfRule type="expression" dxfId="2460" priority="2163">
      <formula>$D27=$A$2</formula>
    </cfRule>
  </conditionalFormatting>
  <conditionalFormatting sqref="L27:M27">
    <cfRule type="expression" dxfId="2459" priority="2164">
      <formula>($D27=$A$2)</formula>
    </cfRule>
    <cfRule type="expression" dxfId="2458" priority="2165">
      <formula>OR($E27="토",$E27="일")</formula>
    </cfRule>
  </conditionalFormatting>
  <conditionalFormatting sqref="L27:M27">
    <cfRule type="expression" dxfId="2457" priority="2160">
      <formula>$D27=$A$2</formula>
    </cfRule>
  </conditionalFormatting>
  <conditionalFormatting sqref="L27:M27">
    <cfRule type="expression" dxfId="2456" priority="2161">
      <formula>($D27=$A$2)</formula>
    </cfRule>
    <cfRule type="expression" dxfId="2455" priority="2162">
      <formula>OR($E27="토",$E27="일")</formula>
    </cfRule>
  </conditionalFormatting>
  <conditionalFormatting sqref="J27:M27">
    <cfRule type="expression" dxfId="2454" priority="2157">
      <formula>$D27=$A$2</formula>
    </cfRule>
  </conditionalFormatting>
  <conditionalFormatting sqref="J27:M27">
    <cfRule type="expression" dxfId="2453" priority="2158">
      <formula>($D27=$A$2)</formula>
    </cfRule>
    <cfRule type="expression" dxfId="2452" priority="2159">
      <formula>OR($E27="토",$E27="일")</formula>
    </cfRule>
  </conditionalFormatting>
  <conditionalFormatting sqref="J26:M26">
    <cfRule type="expression" dxfId="2451" priority="2154">
      <formula>$D26=$A$2</formula>
    </cfRule>
  </conditionalFormatting>
  <conditionalFormatting sqref="J26:M26">
    <cfRule type="expression" dxfId="2450" priority="2155">
      <formula>($D26=$A$2)</formula>
    </cfRule>
    <cfRule type="expression" dxfId="2449" priority="2156">
      <formula>OR($E26="토",$E26="일")</formula>
    </cfRule>
  </conditionalFormatting>
  <conditionalFormatting sqref="J21:M21">
    <cfRule type="expression" dxfId="2448" priority="2152">
      <formula>($D21=$A$2)</formula>
    </cfRule>
    <cfRule type="expression" dxfId="2447" priority="2153">
      <formula>OR($E21="토",$E21="일")</formula>
    </cfRule>
  </conditionalFormatting>
  <conditionalFormatting sqref="L20:M20">
    <cfRule type="expression" dxfId="2446" priority="2149">
      <formula>$D20=$A$2</formula>
    </cfRule>
  </conditionalFormatting>
  <conditionalFormatting sqref="L20:M20">
    <cfRule type="expression" dxfId="2445" priority="2150">
      <formula>($D20=$A$2)</formula>
    </cfRule>
    <cfRule type="expression" dxfId="2444" priority="2151">
      <formula>OR($E20="토",$E20="일")</formula>
    </cfRule>
  </conditionalFormatting>
  <conditionalFormatting sqref="G21:H21">
    <cfRule type="expression" dxfId="2443" priority="2143">
      <formula>$D21=$A$2</formula>
    </cfRule>
  </conditionalFormatting>
  <conditionalFormatting sqref="G21:H21">
    <cfRule type="expression" dxfId="2442" priority="2144">
      <formula>($D21=$A$2)</formula>
    </cfRule>
    <cfRule type="expression" dxfId="2441" priority="2145">
      <formula>OR($E21="토",$E21="일")</formula>
    </cfRule>
  </conditionalFormatting>
  <conditionalFormatting sqref="L19:M19">
    <cfRule type="expression" dxfId="2440" priority="2140">
      <formula>$D19=$A$2</formula>
    </cfRule>
  </conditionalFormatting>
  <conditionalFormatting sqref="L19:M19">
    <cfRule type="expression" dxfId="2439" priority="2141">
      <formula>($D19=$A$2)</formula>
    </cfRule>
    <cfRule type="expression" dxfId="2438" priority="2142">
      <formula>OR($E19="토",$E19="일")</formula>
    </cfRule>
  </conditionalFormatting>
  <conditionalFormatting sqref="L21:M21">
    <cfRule type="expression" dxfId="2437" priority="2134">
      <formula>$D21=$A$2</formula>
    </cfRule>
  </conditionalFormatting>
  <conditionalFormatting sqref="L21:M21">
    <cfRule type="expression" dxfId="2436" priority="2135">
      <formula>($D21=$A$2)</formula>
    </cfRule>
    <cfRule type="expression" dxfId="2435" priority="2136">
      <formula>OR($E21="토",$E21="일")</formula>
    </cfRule>
  </conditionalFormatting>
  <conditionalFormatting sqref="L25:M25">
    <cfRule type="expression" dxfId="2434" priority="2128">
      <formula>$D25=$A$2</formula>
    </cfRule>
  </conditionalFormatting>
  <conditionalFormatting sqref="L25:M25">
    <cfRule type="expression" dxfId="2433" priority="2129">
      <formula>($D25=$A$2)</formula>
    </cfRule>
    <cfRule type="expression" dxfId="2432" priority="2130">
      <formula>OR($E25="토",$E25="일")</formula>
    </cfRule>
  </conditionalFormatting>
  <conditionalFormatting sqref="L25:M25">
    <cfRule type="expression" dxfId="2431" priority="2119">
      <formula>$D25=$A$2</formula>
    </cfRule>
  </conditionalFormatting>
  <conditionalFormatting sqref="L25:M25">
    <cfRule type="expression" dxfId="2430" priority="2120">
      <formula>($D25=$A$2)</formula>
    </cfRule>
    <cfRule type="expression" dxfId="2429" priority="2121">
      <formula>OR($E25="토",$E25="일")</formula>
    </cfRule>
  </conditionalFormatting>
  <conditionalFormatting sqref="L25:M25">
    <cfRule type="expression" dxfId="2428" priority="2116">
      <formula>$D25=$A$2</formula>
    </cfRule>
  </conditionalFormatting>
  <conditionalFormatting sqref="L25:M25">
    <cfRule type="expression" dxfId="2427" priority="2117">
      <formula>($D25=$A$2)</formula>
    </cfRule>
    <cfRule type="expression" dxfId="2426" priority="2118">
      <formula>OR($E25="토",$E25="일")</formula>
    </cfRule>
  </conditionalFormatting>
  <conditionalFormatting sqref="J25:M25">
    <cfRule type="expression" dxfId="2425" priority="2113">
      <formula>$D25=$A$2</formula>
    </cfRule>
  </conditionalFormatting>
  <conditionalFormatting sqref="J25:M25">
    <cfRule type="expression" dxfId="2424" priority="2114">
      <formula>($D25=$A$2)</formula>
    </cfRule>
    <cfRule type="expression" dxfId="2423" priority="2115">
      <formula>OR($E25="토",$E25="일")</formula>
    </cfRule>
  </conditionalFormatting>
  <conditionalFormatting sqref="G24:H24">
    <cfRule type="expression" dxfId="2422" priority="2110">
      <formula>$D24=$A$2</formula>
    </cfRule>
  </conditionalFormatting>
  <conditionalFormatting sqref="G24:H24">
    <cfRule type="expression" dxfId="2421" priority="2111">
      <formula>($D24=$A$2)</formula>
    </cfRule>
    <cfRule type="expression" dxfId="2420" priority="2112">
      <formula>OR($E24="토",$E24="일")</formula>
    </cfRule>
  </conditionalFormatting>
  <conditionalFormatting sqref="J24:M24">
    <cfRule type="expression" dxfId="2419" priority="2107">
      <formula>$D24=$A$2</formula>
    </cfRule>
  </conditionalFormatting>
  <conditionalFormatting sqref="J24:M24">
    <cfRule type="expression" dxfId="2418" priority="2108">
      <formula>($D24=$A$2)</formula>
    </cfRule>
    <cfRule type="expression" dxfId="2417" priority="2109">
      <formula>OR($E24="토",$E24="일")</formula>
    </cfRule>
  </conditionalFormatting>
  <conditionalFormatting sqref="K21:M21">
    <cfRule type="expression" dxfId="2416" priority="2101">
      <formula>$D21=$A$2</formula>
    </cfRule>
  </conditionalFormatting>
  <conditionalFormatting sqref="K21:M21">
    <cfRule type="expression" dxfId="2415" priority="2102">
      <formula>($D21=$A$2)</formula>
    </cfRule>
    <cfRule type="expression" dxfId="2414" priority="2103">
      <formula>OR($E21="토",$E21="일")</formula>
    </cfRule>
  </conditionalFormatting>
  <conditionalFormatting sqref="L20:M20">
    <cfRule type="expression" dxfId="2413" priority="2098">
      <formula>$D20=$A$2</formula>
    </cfRule>
  </conditionalFormatting>
  <conditionalFormatting sqref="L20:M20">
    <cfRule type="expression" dxfId="2412" priority="2099">
      <formula>($D20=$A$2)</formula>
    </cfRule>
    <cfRule type="expression" dxfId="2411" priority="2100">
      <formula>OR($E20="토",$E20="일")</formula>
    </cfRule>
  </conditionalFormatting>
  <conditionalFormatting sqref="J24:M24">
    <cfRule type="expression" dxfId="2410" priority="2092">
      <formula>$D24=$A$2</formula>
    </cfRule>
  </conditionalFormatting>
  <conditionalFormatting sqref="J24:M24">
    <cfRule type="expression" dxfId="2409" priority="2093">
      <formula>($D24=$A$2)</formula>
    </cfRule>
    <cfRule type="expression" dxfId="2408" priority="2094">
      <formula>OR($E24="토",$E24="일")</formula>
    </cfRule>
  </conditionalFormatting>
  <conditionalFormatting sqref="J25:M25">
    <cfRule type="expression" dxfId="2407" priority="2089">
      <formula>$D25=$A$2</formula>
    </cfRule>
  </conditionalFormatting>
  <conditionalFormatting sqref="J25:M25">
    <cfRule type="expression" dxfId="2406" priority="2090">
      <formula>($D25=$A$2)</formula>
    </cfRule>
    <cfRule type="expression" dxfId="2405" priority="2091">
      <formula>OR($E25="토",$E25="일")</formula>
    </cfRule>
  </conditionalFormatting>
  <conditionalFormatting sqref="L21:M21">
    <cfRule type="expression" dxfId="2404" priority="2086">
      <formula>$D21=$A$2</formula>
    </cfRule>
  </conditionalFormatting>
  <conditionalFormatting sqref="L21:M21">
    <cfRule type="expression" dxfId="2403" priority="2087">
      <formula>($D21=$A$2)</formula>
    </cfRule>
    <cfRule type="expression" dxfId="2402" priority="2088">
      <formula>OR($E21="토",$E21="일")</formula>
    </cfRule>
  </conditionalFormatting>
  <conditionalFormatting sqref="L21:M21">
    <cfRule type="expression" dxfId="2401" priority="2083">
      <formula>$D21=$A$2</formula>
    </cfRule>
  </conditionalFormatting>
  <conditionalFormatting sqref="L21:M21">
    <cfRule type="expression" dxfId="2400" priority="2084">
      <formula>($D21=$A$2)</formula>
    </cfRule>
    <cfRule type="expression" dxfId="2399" priority="2085">
      <formula>OR($E21="토",$E21="일")</formula>
    </cfRule>
  </conditionalFormatting>
  <conditionalFormatting sqref="L21:M21">
    <cfRule type="expression" dxfId="2398" priority="2080">
      <formula>$D21=$A$2</formula>
    </cfRule>
  </conditionalFormatting>
  <conditionalFormatting sqref="L21:M21">
    <cfRule type="expression" dxfId="2397" priority="2081">
      <formula>($D21=$A$2)</formula>
    </cfRule>
    <cfRule type="expression" dxfId="2396" priority="2082">
      <formula>OR($E21="토",$E21="일")</formula>
    </cfRule>
  </conditionalFormatting>
  <conditionalFormatting sqref="L21:M21">
    <cfRule type="expression" dxfId="2395" priority="2077">
      <formula>$D21=$A$2</formula>
    </cfRule>
  </conditionalFormatting>
  <conditionalFormatting sqref="L21:M21">
    <cfRule type="expression" dxfId="2394" priority="2078">
      <formula>($D21=$A$2)</formula>
    </cfRule>
    <cfRule type="expression" dxfId="2393" priority="2079">
      <formula>OR($E21="토",$E21="일")</formula>
    </cfRule>
  </conditionalFormatting>
  <conditionalFormatting sqref="L24:M24">
    <cfRule type="expression" dxfId="2392" priority="2074">
      <formula>$D24=$A$2</formula>
    </cfRule>
  </conditionalFormatting>
  <conditionalFormatting sqref="L24:M24">
    <cfRule type="expression" dxfId="2391" priority="2075">
      <formula>($D24=$A$2)</formula>
    </cfRule>
    <cfRule type="expression" dxfId="2390" priority="2076">
      <formula>OR($E24="토",$E24="일")</formula>
    </cfRule>
  </conditionalFormatting>
  <conditionalFormatting sqref="L24:M24">
    <cfRule type="expression" dxfId="2389" priority="2071">
      <formula>$D24=$A$2</formula>
    </cfRule>
  </conditionalFormatting>
  <conditionalFormatting sqref="L24:M24">
    <cfRule type="expression" dxfId="2388" priority="2072">
      <formula>($D24=$A$2)</formula>
    </cfRule>
    <cfRule type="expression" dxfId="2387" priority="2073">
      <formula>OR($E24="토",$E24="일")</formula>
    </cfRule>
  </conditionalFormatting>
  <conditionalFormatting sqref="L24:M24">
    <cfRule type="expression" dxfId="2386" priority="2068">
      <formula>$D24=$A$2</formula>
    </cfRule>
  </conditionalFormatting>
  <conditionalFormatting sqref="L24:M24">
    <cfRule type="expression" dxfId="2385" priority="2069">
      <formula>($D24=$A$2)</formula>
    </cfRule>
    <cfRule type="expression" dxfId="2384" priority="2070">
      <formula>OR($E24="토",$E24="일")</formula>
    </cfRule>
  </conditionalFormatting>
  <conditionalFormatting sqref="J24:M24">
    <cfRule type="expression" dxfId="2383" priority="2065">
      <formula>$D24=$A$2</formula>
    </cfRule>
  </conditionalFormatting>
  <conditionalFormatting sqref="J24:M24">
    <cfRule type="expression" dxfId="2382" priority="2066">
      <formula>($D24=$A$2)</formula>
    </cfRule>
    <cfRule type="expression" dxfId="2381" priority="2067">
      <formula>OR($E24="토",$E24="일")</formula>
    </cfRule>
  </conditionalFormatting>
  <conditionalFormatting sqref="L25:M25">
    <cfRule type="expression" dxfId="2380" priority="2062">
      <formula>$D25=$A$2</formula>
    </cfRule>
  </conditionalFormatting>
  <conditionalFormatting sqref="L25:M25">
    <cfRule type="expression" dxfId="2379" priority="2063">
      <formula>($D25=$A$2)</formula>
    </cfRule>
    <cfRule type="expression" dxfId="2378" priority="2064">
      <formula>OR($E25="토",$E25="일")</formula>
    </cfRule>
  </conditionalFormatting>
  <conditionalFormatting sqref="L25:M25">
    <cfRule type="expression" dxfId="2377" priority="2059">
      <formula>$D25=$A$2</formula>
    </cfRule>
  </conditionalFormatting>
  <conditionalFormatting sqref="L25:M25">
    <cfRule type="expression" dxfId="2376" priority="2060">
      <formula>($D25=$A$2)</formula>
    </cfRule>
    <cfRule type="expression" dxfId="2375" priority="2061">
      <formula>OR($E25="토",$E25="일")</formula>
    </cfRule>
  </conditionalFormatting>
  <conditionalFormatting sqref="L25:M25">
    <cfRule type="expression" dxfId="2374" priority="2056">
      <formula>$D25=$A$2</formula>
    </cfRule>
  </conditionalFormatting>
  <conditionalFormatting sqref="L25:M25">
    <cfRule type="expression" dxfId="2373" priority="2057">
      <formula>($D25=$A$2)</formula>
    </cfRule>
    <cfRule type="expression" dxfId="2372" priority="2058">
      <formula>OR($E25="토",$E25="일")</formula>
    </cfRule>
  </conditionalFormatting>
  <conditionalFormatting sqref="J25:M25">
    <cfRule type="expression" dxfId="2371" priority="2053">
      <formula>$D25=$A$2</formula>
    </cfRule>
  </conditionalFormatting>
  <conditionalFormatting sqref="J25:M25">
    <cfRule type="expression" dxfId="2370" priority="2054">
      <formula>($D25=$A$2)</formula>
    </cfRule>
    <cfRule type="expression" dxfId="2369" priority="2055">
      <formula>OR($E25="토",$E25="일")</formula>
    </cfRule>
  </conditionalFormatting>
  <conditionalFormatting sqref="J24:M24">
    <cfRule type="expression" dxfId="2368" priority="2050">
      <formula>$D24=$A$2</formula>
    </cfRule>
  </conditionalFormatting>
  <conditionalFormatting sqref="J24:M24">
    <cfRule type="expression" dxfId="2367" priority="2051">
      <formula>($D24=$A$2)</formula>
    </cfRule>
    <cfRule type="expression" dxfId="2366" priority="2052">
      <formula>OR($E24="토",$E24="일")</formula>
    </cfRule>
  </conditionalFormatting>
  <conditionalFormatting sqref="L26:M26">
    <cfRule type="expression" dxfId="2365" priority="2047">
      <formula>$D26=$A$2</formula>
    </cfRule>
  </conditionalFormatting>
  <conditionalFormatting sqref="L26:M26">
    <cfRule type="expression" dxfId="2364" priority="2048">
      <formula>($D26=$A$2)</formula>
    </cfRule>
    <cfRule type="expression" dxfId="2363" priority="2049">
      <formula>OR($E26="토",$E26="일")</formula>
    </cfRule>
  </conditionalFormatting>
  <conditionalFormatting sqref="L26:M26">
    <cfRule type="expression" dxfId="2362" priority="2044">
      <formula>$D26=$A$2</formula>
    </cfRule>
  </conditionalFormatting>
  <conditionalFormatting sqref="L26:M26">
    <cfRule type="expression" dxfId="2361" priority="2045">
      <formula>($D26=$A$2)</formula>
    </cfRule>
    <cfRule type="expression" dxfId="2360" priority="2046">
      <formula>OR($E26="토",$E26="일")</formula>
    </cfRule>
  </conditionalFormatting>
  <conditionalFormatting sqref="L26:M26">
    <cfRule type="expression" dxfId="2359" priority="2041">
      <formula>$D26=$A$2</formula>
    </cfRule>
  </conditionalFormatting>
  <conditionalFormatting sqref="L26:M26">
    <cfRule type="expression" dxfId="2358" priority="2042">
      <formula>($D26=$A$2)</formula>
    </cfRule>
    <cfRule type="expression" dxfId="2357" priority="2043">
      <formula>OR($E26="토",$E26="일")</formula>
    </cfRule>
  </conditionalFormatting>
  <conditionalFormatting sqref="L26:M26">
    <cfRule type="expression" dxfId="2356" priority="2038">
      <formula>$D26=$A$2</formula>
    </cfRule>
  </conditionalFormatting>
  <conditionalFormatting sqref="L26:M26">
    <cfRule type="expression" dxfId="2355" priority="2039">
      <formula>($D26=$A$2)</formula>
    </cfRule>
    <cfRule type="expression" dxfId="2354" priority="2040">
      <formula>OR($E26="토",$E26="일")</formula>
    </cfRule>
  </conditionalFormatting>
  <conditionalFormatting sqref="L26:M26">
    <cfRule type="expression" dxfId="2353" priority="2035">
      <formula>$D26=$A$2</formula>
    </cfRule>
  </conditionalFormatting>
  <conditionalFormatting sqref="L26:M26">
    <cfRule type="expression" dxfId="2352" priority="2036">
      <formula>($D26=$A$2)</formula>
    </cfRule>
    <cfRule type="expression" dxfId="2351" priority="2037">
      <formula>OR($E26="토",$E26="일")</formula>
    </cfRule>
  </conditionalFormatting>
  <conditionalFormatting sqref="J26:M26">
    <cfRule type="expression" dxfId="2350" priority="2032">
      <formula>$D26=$A$2</formula>
    </cfRule>
  </conditionalFormatting>
  <conditionalFormatting sqref="J26:M26">
    <cfRule type="expression" dxfId="2349" priority="2033">
      <formula>($D26=$A$2)</formula>
    </cfRule>
    <cfRule type="expression" dxfId="2348" priority="2034">
      <formula>OR($E26="토",$E26="일")</formula>
    </cfRule>
  </conditionalFormatting>
  <conditionalFormatting sqref="J26:M26">
    <cfRule type="expression" dxfId="2347" priority="2029">
      <formula>$D26=$A$2</formula>
    </cfRule>
  </conditionalFormatting>
  <conditionalFormatting sqref="J26:M26">
    <cfRule type="expression" dxfId="2346" priority="2030">
      <formula>($D26=$A$2)</formula>
    </cfRule>
    <cfRule type="expression" dxfId="2345" priority="2031">
      <formula>OR($E26="토",$E26="일")</formula>
    </cfRule>
  </conditionalFormatting>
  <conditionalFormatting sqref="L26:M26">
    <cfRule type="expression" dxfId="2344" priority="2026">
      <formula>$D26=$A$2</formula>
    </cfRule>
  </conditionalFormatting>
  <conditionalFormatting sqref="L26:M26">
    <cfRule type="expression" dxfId="2343" priority="2027">
      <formula>($D26=$A$2)</formula>
    </cfRule>
    <cfRule type="expression" dxfId="2342" priority="2028">
      <formula>OR($E26="토",$E26="일")</formula>
    </cfRule>
  </conditionalFormatting>
  <conditionalFormatting sqref="L26:M26">
    <cfRule type="expression" dxfId="2341" priority="2023">
      <formula>$D26=$A$2</formula>
    </cfRule>
  </conditionalFormatting>
  <conditionalFormatting sqref="L26:M26">
    <cfRule type="expression" dxfId="2340" priority="2024">
      <formula>($D26=$A$2)</formula>
    </cfRule>
    <cfRule type="expression" dxfId="2339" priority="2025">
      <formula>OR($E26="토",$E26="일")</formula>
    </cfRule>
  </conditionalFormatting>
  <conditionalFormatting sqref="L26:M26">
    <cfRule type="expression" dxfId="2338" priority="2020">
      <formula>$D26=$A$2</formula>
    </cfRule>
  </conditionalFormatting>
  <conditionalFormatting sqref="L26:M26">
    <cfRule type="expression" dxfId="2337" priority="2021">
      <formula>($D26=$A$2)</formula>
    </cfRule>
    <cfRule type="expression" dxfId="2336" priority="2022">
      <formula>OR($E26="토",$E26="일")</formula>
    </cfRule>
  </conditionalFormatting>
  <conditionalFormatting sqref="J26:M26">
    <cfRule type="expression" dxfId="2335" priority="2017">
      <formula>$D26=$A$2</formula>
    </cfRule>
  </conditionalFormatting>
  <conditionalFormatting sqref="J26:M26">
    <cfRule type="expression" dxfId="2334" priority="2018">
      <formula>($D26=$A$2)</formula>
    </cfRule>
    <cfRule type="expression" dxfId="2333" priority="2019">
      <formula>OR($E26="토",$E26="일")</formula>
    </cfRule>
  </conditionalFormatting>
  <conditionalFormatting sqref="G24:H24">
    <cfRule type="expression" dxfId="2332" priority="2011">
      <formula>$D24=$A$2</formula>
    </cfRule>
  </conditionalFormatting>
  <conditionalFormatting sqref="G24:H24">
    <cfRule type="expression" dxfId="2331" priority="2012">
      <formula>($D24=$A$2)</formula>
    </cfRule>
    <cfRule type="expression" dxfId="2330" priority="2013">
      <formula>OR($E24="토",$E24="일")</formula>
    </cfRule>
  </conditionalFormatting>
  <conditionalFormatting sqref="L21:M21">
    <cfRule type="expression" dxfId="2329" priority="2008">
      <formula>$D21=$A$2</formula>
    </cfRule>
  </conditionalFormatting>
  <conditionalFormatting sqref="L21:M21">
    <cfRule type="expression" dxfId="2328" priority="2009">
      <formula>($D21=$A$2)</formula>
    </cfRule>
    <cfRule type="expression" dxfId="2327" priority="2010">
      <formula>OR($E21="토",$E21="일")</formula>
    </cfRule>
  </conditionalFormatting>
  <conditionalFormatting sqref="J24:M24">
    <cfRule type="expression" dxfId="2326" priority="2005">
      <formula>$D24=$A$2</formula>
    </cfRule>
  </conditionalFormatting>
  <conditionalFormatting sqref="J24:M24">
    <cfRule type="expression" dxfId="2325" priority="2006">
      <formula>($D24=$A$2)</formula>
    </cfRule>
    <cfRule type="expression" dxfId="2324" priority="2007">
      <formula>OR($E24="토",$E24="일")</formula>
    </cfRule>
  </conditionalFormatting>
  <conditionalFormatting sqref="J24:M24">
    <cfRule type="expression" dxfId="2323" priority="2002">
      <formula>$D24=$A$2</formula>
    </cfRule>
  </conditionalFormatting>
  <conditionalFormatting sqref="J24:M24">
    <cfRule type="expression" dxfId="2322" priority="2003">
      <formula>($D24=$A$2)</formula>
    </cfRule>
    <cfRule type="expression" dxfId="2321" priority="2004">
      <formula>OR($E24="토",$E24="일")</formula>
    </cfRule>
  </conditionalFormatting>
  <conditionalFormatting sqref="L27:M27">
    <cfRule type="expression" dxfId="2320" priority="1999">
      <formula>$D27=$A$2</formula>
    </cfRule>
  </conditionalFormatting>
  <conditionalFormatting sqref="L27:M27">
    <cfRule type="expression" dxfId="2319" priority="2000">
      <formula>($D27=$A$2)</formula>
    </cfRule>
    <cfRule type="expression" dxfId="2318" priority="2001">
      <formula>OR($E27="토",$E27="일")</formula>
    </cfRule>
  </conditionalFormatting>
  <conditionalFormatting sqref="G25:H25">
    <cfRule type="expression" dxfId="2317" priority="1996">
      <formula>$D25=$A$2</formula>
    </cfRule>
  </conditionalFormatting>
  <conditionalFormatting sqref="G25:H25">
    <cfRule type="expression" dxfId="2316" priority="1997">
      <formula>($D25=$A$2)</formula>
    </cfRule>
    <cfRule type="expression" dxfId="2315" priority="1998">
      <formula>OR($E25="토",$E25="일")</formula>
    </cfRule>
  </conditionalFormatting>
  <conditionalFormatting sqref="G24:H24">
    <cfRule type="expression" dxfId="2314" priority="1993">
      <formula>$D24=$A$2</formula>
    </cfRule>
  </conditionalFormatting>
  <conditionalFormatting sqref="G24:H24">
    <cfRule type="expression" dxfId="2313" priority="1994">
      <formula>($D24=$A$2)</formula>
    </cfRule>
    <cfRule type="expression" dxfId="2312" priority="1995">
      <formula>OR($E24="토",$E24="일")</formula>
    </cfRule>
  </conditionalFormatting>
  <conditionalFormatting sqref="J25:M25">
    <cfRule type="expression" dxfId="2311" priority="1990">
      <formula>$D25=$A$2</formula>
    </cfRule>
  </conditionalFormatting>
  <conditionalFormatting sqref="J25:M25">
    <cfRule type="expression" dxfId="2310" priority="1991">
      <formula>($D25=$A$2)</formula>
    </cfRule>
    <cfRule type="expression" dxfId="2309" priority="1992">
      <formula>OR($E25="토",$E25="일")</formula>
    </cfRule>
  </conditionalFormatting>
  <conditionalFormatting sqref="L24:M24">
    <cfRule type="expression" dxfId="2308" priority="1987">
      <formula>$D24=$A$2</formula>
    </cfRule>
  </conditionalFormatting>
  <conditionalFormatting sqref="L24:M24">
    <cfRule type="expression" dxfId="2307" priority="1988">
      <formula>($D24=$A$2)</formula>
    </cfRule>
    <cfRule type="expression" dxfId="2306" priority="1989">
      <formula>OR($E24="토",$E24="일")</formula>
    </cfRule>
  </conditionalFormatting>
  <conditionalFormatting sqref="L27:M27">
    <cfRule type="expression" dxfId="2305" priority="1984">
      <formula>$D27=$A$2</formula>
    </cfRule>
  </conditionalFormatting>
  <conditionalFormatting sqref="L27:M27">
    <cfRule type="expression" dxfId="2304" priority="1985">
      <formula>($D27=$A$2)</formula>
    </cfRule>
    <cfRule type="expression" dxfId="2303" priority="1986">
      <formula>OR($E27="토",$E27="일")</formula>
    </cfRule>
  </conditionalFormatting>
  <conditionalFormatting sqref="L27:M27">
    <cfRule type="expression" dxfId="2302" priority="1981">
      <formula>$D27=$A$2</formula>
    </cfRule>
  </conditionalFormatting>
  <conditionalFormatting sqref="L27:M27">
    <cfRule type="expression" dxfId="2301" priority="1982">
      <formula>($D27=$A$2)</formula>
    </cfRule>
    <cfRule type="expression" dxfId="2300" priority="1983">
      <formula>OR($E27="토",$E27="일")</formula>
    </cfRule>
  </conditionalFormatting>
  <conditionalFormatting sqref="J27:M27">
    <cfRule type="expression" dxfId="2299" priority="1978">
      <formula>$D27=$A$2</formula>
    </cfRule>
  </conditionalFormatting>
  <conditionalFormatting sqref="J27:M27">
    <cfRule type="expression" dxfId="2298" priority="1979">
      <formula>($D27=$A$2)</formula>
    </cfRule>
    <cfRule type="expression" dxfId="2297" priority="1980">
      <formula>OR($E27="토",$E27="일")</formula>
    </cfRule>
  </conditionalFormatting>
  <conditionalFormatting sqref="G26:H26">
    <cfRule type="expression" dxfId="2296" priority="1975">
      <formula>$D26=$A$2</formula>
    </cfRule>
  </conditionalFormatting>
  <conditionalFormatting sqref="G26:H26">
    <cfRule type="expression" dxfId="2295" priority="1976">
      <formula>($D26=$A$2)</formula>
    </cfRule>
    <cfRule type="expression" dxfId="2294" priority="1977">
      <formula>OR($E26="토",$E26="일")</formula>
    </cfRule>
  </conditionalFormatting>
  <conditionalFormatting sqref="J26:M26">
    <cfRule type="expression" dxfId="2293" priority="1972">
      <formula>$D26=$A$2</formula>
    </cfRule>
  </conditionalFormatting>
  <conditionalFormatting sqref="J26:M26">
    <cfRule type="expression" dxfId="2292" priority="1973">
      <formula>($D26=$A$2)</formula>
    </cfRule>
    <cfRule type="expression" dxfId="2291" priority="1974">
      <formula>OR($E26="토",$E26="일")</formula>
    </cfRule>
  </conditionalFormatting>
  <conditionalFormatting sqref="J24:M24">
    <cfRule type="expression" dxfId="2290" priority="1969">
      <formula>$D24=$A$2</formula>
    </cfRule>
  </conditionalFormatting>
  <conditionalFormatting sqref="J24:M24">
    <cfRule type="expression" dxfId="2289" priority="1970">
      <formula>($D24=$A$2)</formula>
    </cfRule>
    <cfRule type="expression" dxfId="2288" priority="1971">
      <formula>OR($E24="토",$E24="일")</formula>
    </cfRule>
  </conditionalFormatting>
  <conditionalFormatting sqref="J25:M25">
    <cfRule type="expression" dxfId="2287" priority="1963">
      <formula>$D25=$A$2</formula>
    </cfRule>
  </conditionalFormatting>
  <conditionalFormatting sqref="J25:M25">
    <cfRule type="expression" dxfId="2286" priority="1964">
      <formula>($D25=$A$2)</formula>
    </cfRule>
    <cfRule type="expression" dxfId="2285" priority="1965">
      <formula>OR($E25="토",$E25="일")</formula>
    </cfRule>
  </conditionalFormatting>
  <conditionalFormatting sqref="L24:M24">
    <cfRule type="expression" dxfId="2284" priority="1960">
      <formula>$D24=$A$2</formula>
    </cfRule>
  </conditionalFormatting>
  <conditionalFormatting sqref="L24:M24">
    <cfRule type="expression" dxfId="2283" priority="1961">
      <formula>($D24=$A$2)</formula>
    </cfRule>
    <cfRule type="expression" dxfId="2282" priority="1962">
      <formula>OR($E24="토",$E24="일")</formula>
    </cfRule>
  </conditionalFormatting>
  <conditionalFormatting sqref="J25:M25">
    <cfRule type="expression" dxfId="2281" priority="1957">
      <formula>$D25=$A$2</formula>
    </cfRule>
  </conditionalFormatting>
  <conditionalFormatting sqref="J25:M25">
    <cfRule type="expression" dxfId="2280" priority="1958">
      <formula>($D25=$A$2)</formula>
    </cfRule>
    <cfRule type="expression" dxfId="2279" priority="1959">
      <formula>OR($E25="토",$E25="일")</formula>
    </cfRule>
  </conditionalFormatting>
  <conditionalFormatting sqref="J26:M26">
    <cfRule type="expression" dxfId="2278" priority="1954">
      <formula>$D26=$A$2</formula>
    </cfRule>
  </conditionalFormatting>
  <conditionalFormatting sqref="J26:M26">
    <cfRule type="expression" dxfId="2277" priority="1955">
      <formula>($D26=$A$2)</formula>
    </cfRule>
    <cfRule type="expression" dxfId="2276" priority="1956">
      <formula>OR($E26="토",$E26="일")</formula>
    </cfRule>
  </conditionalFormatting>
  <conditionalFormatting sqref="L25:M25">
    <cfRule type="expression" dxfId="2275" priority="1951">
      <formula>$D25=$A$2</formula>
    </cfRule>
  </conditionalFormatting>
  <conditionalFormatting sqref="L25:M25">
    <cfRule type="expression" dxfId="2274" priority="1952">
      <formula>($D25=$A$2)</formula>
    </cfRule>
    <cfRule type="expression" dxfId="2273" priority="1953">
      <formula>OR($E25="토",$E25="일")</formula>
    </cfRule>
  </conditionalFormatting>
  <conditionalFormatting sqref="J27:M27">
    <cfRule type="expression" dxfId="2272" priority="1948">
      <formula>$D27=$A$2</formula>
    </cfRule>
  </conditionalFormatting>
  <conditionalFormatting sqref="J27:M27">
    <cfRule type="expression" dxfId="2271" priority="1949">
      <formula>($D27=$A$2)</formula>
    </cfRule>
    <cfRule type="expression" dxfId="2270" priority="1950">
      <formula>OR($E27="토",$E27="일")</formula>
    </cfRule>
  </conditionalFormatting>
  <conditionalFormatting sqref="L26:M26">
    <cfRule type="expression" dxfId="2269" priority="1945">
      <formula>$D26=$A$2</formula>
    </cfRule>
  </conditionalFormatting>
  <conditionalFormatting sqref="L26:M26">
    <cfRule type="expression" dxfId="2268" priority="1946">
      <formula>($D26=$A$2)</formula>
    </cfRule>
    <cfRule type="expression" dxfId="2267" priority="1947">
      <formula>OR($E26="토",$E26="일")</formula>
    </cfRule>
  </conditionalFormatting>
  <conditionalFormatting sqref="L26:M26">
    <cfRule type="expression" dxfId="2266" priority="1942">
      <formula>$D26=$A$2</formula>
    </cfRule>
  </conditionalFormatting>
  <conditionalFormatting sqref="L26:M26">
    <cfRule type="expression" dxfId="2265" priority="1943">
      <formula>($D26=$A$2)</formula>
    </cfRule>
    <cfRule type="expression" dxfId="2264" priority="1944">
      <formula>OR($E26="토",$E26="일")</formula>
    </cfRule>
  </conditionalFormatting>
  <conditionalFormatting sqref="L26:M26">
    <cfRule type="expression" dxfId="2263" priority="1939">
      <formula>$D26=$A$2</formula>
    </cfRule>
  </conditionalFormatting>
  <conditionalFormatting sqref="L26:M26">
    <cfRule type="expression" dxfId="2262" priority="1940">
      <formula>($D26=$A$2)</formula>
    </cfRule>
    <cfRule type="expression" dxfId="2261" priority="1941">
      <formula>OR($E26="토",$E26="일")</formula>
    </cfRule>
  </conditionalFormatting>
  <conditionalFormatting sqref="J26:M26">
    <cfRule type="expression" dxfId="2260" priority="1936">
      <formula>$D26=$A$2</formula>
    </cfRule>
  </conditionalFormatting>
  <conditionalFormatting sqref="J26:M26">
    <cfRule type="expression" dxfId="2259" priority="1937">
      <formula>($D26=$A$2)</formula>
    </cfRule>
    <cfRule type="expression" dxfId="2258" priority="1938">
      <formula>OR($E26="토",$E26="일")</formula>
    </cfRule>
  </conditionalFormatting>
  <conditionalFormatting sqref="L27:M27">
    <cfRule type="expression" dxfId="2257" priority="1933">
      <formula>$D27=$A$2</formula>
    </cfRule>
  </conditionalFormatting>
  <conditionalFormatting sqref="L27:M27">
    <cfRule type="expression" dxfId="2256" priority="1934">
      <formula>($D27=$A$2)</formula>
    </cfRule>
    <cfRule type="expression" dxfId="2255" priority="1935">
      <formula>OR($E27="토",$E27="일")</formula>
    </cfRule>
  </conditionalFormatting>
  <conditionalFormatting sqref="L27:M27">
    <cfRule type="expression" dxfId="2254" priority="1930">
      <formula>$D27=$A$2</formula>
    </cfRule>
  </conditionalFormatting>
  <conditionalFormatting sqref="L27:M27">
    <cfRule type="expression" dxfId="2253" priority="1931">
      <formula>($D27=$A$2)</formula>
    </cfRule>
    <cfRule type="expression" dxfId="2252" priority="1932">
      <formula>OR($E27="토",$E27="일")</formula>
    </cfRule>
  </conditionalFormatting>
  <conditionalFormatting sqref="L27:M27">
    <cfRule type="expression" dxfId="2251" priority="1927">
      <formula>$D27=$A$2</formula>
    </cfRule>
  </conditionalFormatting>
  <conditionalFormatting sqref="L27:M27">
    <cfRule type="expression" dxfId="2250" priority="1928">
      <formula>($D27=$A$2)</formula>
    </cfRule>
    <cfRule type="expression" dxfId="2249" priority="1929">
      <formula>OR($E27="토",$E27="일")</formula>
    </cfRule>
  </conditionalFormatting>
  <conditionalFormatting sqref="J27:M27">
    <cfRule type="expression" dxfId="2248" priority="1924">
      <formula>$D27=$A$2</formula>
    </cfRule>
  </conditionalFormatting>
  <conditionalFormatting sqref="J27:M27">
    <cfRule type="expression" dxfId="2247" priority="1925">
      <formula>($D27=$A$2)</formula>
    </cfRule>
    <cfRule type="expression" dxfId="2246" priority="1926">
      <formula>OR($E27="토",$E27="일")</formula>
    </cfRule>
  </conditionalFormatting>
  <conditionalFormatting sqref="J26:M26">
    <cfRule type="expression" dxfId="2245" priority="1921">
      <formula>$D26=$A$2</formula>
    </cfRule>
  </conditionalFormatting>
  <conditionalFormatting sqref="J26:M26">
    <cfRule type="expression" dxfId="2244" priority="1922">
      <formula>($D26=$A$2)</formula>
    </cfRule>
    <cfRule type="expression" dxfId="2243" priority="1923">
      <formula>OR($E26="토",$E26="일")</formula>
    </cfRule>
  </conditionalFormatting>
  <conditionalFormatting sqref="L26:M26">
    <cfRule type="expression" dxfId="2242" priority="1918">
      <formula>$D26=$A$2</formula>
    </cfRule>
  </conditionalFormatting>
  <conditionalFormatting sqref="L26:M26">
    <cfRule type="expression" dxfId="2241" priority="1919">
      <formula>($D26=$A$2)</formula>
    </cfRule>
    <cfRule type="expression" dxfId="2240" priority="1920">
      <formula>OR($E26="토",$E26="일")</formula>
    </cfRule>
  </conditionalFormatting>
  <conditionalFormatting sqref="L26:M26">
    <cfRule type="expression" dxfId="2239" priority="1915">
      <formula>$D26=$A$2</formula>
    </cfRule>
  </conditionalFormatting>
  <conditionalFormatting sqref="L26:M26">
    <cfRule type="expression" dxfId="2238" priority="1916">
      <formula>($D26=$A$2)</formula>
    </cfRule>
    <cfRule type="expression" dxfId="2237" priority="1917">
      <formula>OR($E26="토",$E26="일")</formula>
    </cfRule>
  </conditionalFormatting>
  <conditionalFormatting sqref="L26:M26">
    <cfRule type="expression" dxfId="2236" priority="1912">
      <formula>$D26=$A$2</formula>
    </cfRule>
  </conditionalFormatting>
  <conditionalFormatting sqref="L26:M26">
    <cfRule type="expression" dxfId="2235" priority="1913">
      <formula>($D26=$A$2)</formula>
    </cfRule>
    <cfRule type="expression" dxfId="2234" priority="1914">
      <formula>OR($E26="토",$E26="일")</formula>
    </cfRule>
  </conditionalFormatting>
  <conditionalFormatting sqref="J26:M26">
    <cfRule type="expression" dxfId="2233" priority="1909">
      <formula>$D26=$A$2</formula>
    </cfRule>
  </conditionalFormatting>
  <conditionalFormatting sqref="J26:M26">
    <cfRule type="expression" dxfId="2232" priority="1910">
      <formula>($D26=$A$2)</formula>
    </cfRule>
    <cfRule type="expression" dxfId="2231" priority="1911">
      <formula>OR($E26="토",$E26="일")</formula>
    </cfRule>
  </conditionalFormatting>
  <conditionalFormatting sqref="G25:H25">
    <cfRule type="expression" dxfId="2230" priority="1906">
      <formula>$D25=$A$2</formula>
    </cfRule>
  </conditionalFormatting>
  <conditionalFormatting sqref="G25:H25">
    <cfRule type="expression" dxfId="2229" priority="1907">
      <formula>($D25=$A$2)</formula>
    </cfRule>
    <cfRule type="expression" dxfId="2228" priority="1908">
      <formula>OR($E25="토",$E25="일")</formula>
    </cfRule>
  </conditionalFormatting>
  <conditionalFormatting sqref="J25:M25">
    <cfRule type="expression" dxfId="2227" priority="1903">
      <formula>$D25=$A$2</formula>
    </cfRule>
  </conditionalFormatting>
  <conditionalFormatting sqref="J25:M25">
    <cfRule type="expression" dxfId="2226" priority="1904">
      <formula>($D25=$A$2)</formula>
    </cfRule>
    <cfRule type="expression" dxfId="2225" priority="1905">
      <formula>OR($E25="토",$E25="일")</formula>
    </cfRule>
  </conditionalFormatting>
  <conditionalFormatting sqref="J25:M25">
    <cfRule type="expression" dxfId="2224" priority="1900">
      <formula>$D25=$A$2</formula>
    </cfRule>
  </conditionalFormatting>
  <conditionalFormatting sqref="J25:M25">
    <cfRule type="expression" dxfId="2223" priority="1901">
      <formula>($D25=$A$2)</formula>
    </cfRule>
    <cfRule type="expression" dxfId="2222" priority="1902">
      <formula>OR($E25="토",$E25="일")</formula>
    </cfRule>
  </conditionalFormatting>
  <conditionalFormatting sqref="J26:M26">
    <cfRule type="expression" dxfId="2221" priority="1897">
      <formula>$D26=$A$2</formula>
    </cfRule>
  </conditionalFormatting>
  <conditionalFormatting sqref="J26:M26">
    <cfRule type="expression" dxfId="2220" priority="1898">
      <formula>($D26=$A$2)</formula>
    </cfRule>
    <cfRule type="expression" dxfId="2219" priority="1899">
      <formula>OR($E26="토",$E26="일")</formula>
    </cfRule>
  </conditionalFormatting>
  <conditionalFormatting sqref="L25:M25">
    <cfRule type="expression" dxfId="2218" priority="1894">
      <formula>$D25=$A$2</formula>
    </cfRule>
  </conditionalFormatting>
  <conditionalFormatting sqref="L25:M25">
    <cfRule type="expression" dxfId="2217" priority="1895">
      <formula>($D25=$A$2)</formula>
    </cfRule>
    <cfRule type="expression" dxfId="2216" priority="1896">
      <formula>OR($E25="토",$E25="일")</formula>
    </cfRule>
  </conditionalFormatting>
  <conditionalFormatting sqref="L25:M25">
    <cfRule type="expression" dxfId="2215" priority="1891">
      <formula>$D25=$A$2</formula>
    </cfRule>
  </conditionalFormatting>
  <conditionalFormatting sqref="L25:M25">
    <cfRule type="expression" dxfId="2214" priority="1892">
      <formula>($D25=$A$2)</formula>
    </cfRule>
    <cfRule type="expression" dxfId="2213" priority="1893">
      <formula>OR($E25="토",$E25="일")</formula>
    </cfRule>
  </conditionalFormatting>
  <conditionalFormatting sqref="L25:M25">
    <cfRule type="expression" dxfId="2212" priority="1888">
      <formula>$D25=$A$2</formula>
    </cfRule>
  </conditionalFormatting>
  <conditionalFormatting sqref="L25:M25">
    <cfRule type="expression" dxfId="2211" priority="1889">
      <formula>($D25=$A$2)</formula>
    </cfRule>
    <cfRule type="expression" dxfId="2210" priority="1890">
      <formula>OR($E25="토",$E25="일")</formula>
    </cfRule>
  </conditionalFormatting>
  <conditionalFormatting sqref="J25:M25">
    <cfRule type="expression" dxfId="2209" priority="1885">
      <formula>$D25=$A$2</formula>
    </cfRule>
  </conditionalFormatting>
  <conditionalFormatting sqref="J25:M25">
    <cfRule type="expression" dxfId="2208" priority="1886">
      <formula>($D25=$A$2)</formula>
    </cfRule>
    <cfRule type="expression" dxfId="2207" priority="1887">
      <formula>OR($E25="토",$E25="일")</formula>
    </cfRule>
  </conditionalFormatting>
  <conditionalFormatting sqref="L26:M26">
    <cfRule type="expression" dxfId="2206" priority="1882">
      <formula>$D26=$A$2</formula>
    </cfRule>
  </conditionalFormatting>
  <conditionalFormatting sqref="L26:M26">
    <cfRule type="expression" dxfId="2205" priority="1883">
      <formula>($D26=$A$2)</formula>
    </cfRule>
    <cfRule type="expression" dxfId="2204" priority="1884">
      <formula>OR($E26="토",$E26="일")</formula>
    </cfRule>
  </conditionalFormatting>
  <conditionalFormatting sqref="L26:M26">
    <cfRule type="expression" dxfId="2203" priority="1879">
      <formula>$D26=$A$2</formula>
    </cfRule>
  </conditionalFormatting>
  <conditionalFormatting sqref="L26:M26">
    <cfRule type="expression" dxfId="2202" priority="1880">
      <formula>($D26=$A$2)</formula>
    </cfRule>
    <cfRule type="expression" dxfId="2201" priority="1881">
      <formula>OR($E26="토",$E26="일")</formula>
    </cfRule>
  </conditionalFormatting>
  <conditionalFormatting sqref="L26:M26">
    <cfRule type="expression" dxfId="2200" priority="1876">
      <formula>$D26=$A$2</formula>
    </cfRule>
  </conditionalFormatting>
  <conditionalFormatting sqref="L26:M26">
    <cfRule type="expression" dxfId="2199" priority="1877">
      <formula>($D26=$A$2)</formula>
    </cfRule>
    <cfRule type="expression" dxfId="2198" priority="1878">
      <formula>OR($E26="토",$E26="일")</formula>
    </cfRule>
  </conditionalFormatting>
  <conditionalFormatting sqref="J26:M26">
    <cfRule type="expression" dxfId="2197" priority="1873">
      <formula>$D26=$A$2</formula>
    </cfRule>
  </conditionalFormatting>
  <conditionalFormatting sqref="J26:M26">
    <cfRule type="expression" dxfId="2196" priority="1874">
      <formula>($D26=$A$2)</formula>
    </cfRule>
    <cfRule type="expression" dxfId="2195" priority="1875">
      <formula>OR($E26="토",$E26="일")</formula>
    </cfRule>
  </conditionalFormatting>
  <conditionalFormatting sqref="J25:M25">
    <cfRule type="expression" dxfId="2194" priority="1870">
      <formula>$D25=$A$2</formula>
    </cfRule>
  </conditionalFormatting>
  <conditionalFormatting sqref="J25:M25">
    <cfRule type="expression" dxfId="2193" priority="1871">
      <formula>($D25=$A$2)</formula>
    </cfRule>
    <cfRule type="expression" dxfId="2192" priority="1872">
      <formula>OR($E25="토",$E25="일")</formula>
    </cfRule>
  </conditionalFormatting>
  <conditionalFormatting sqref="L27:M27">
    <cfRule type="expression" dxfId="2191" priority="1867">
      <formula>$D27=$A$2</formula>
    </cfRule>
  </conditionalFormatting>
  <conditionalFormatting sqref="L27:M27">
    <cfRule type="expression" dxfId="2190" priority="1868">
      <formula>($D27=$A$2)</formula>
    </cfRule>
    <cfRule type="expression" dxfId="2189" priority="1869">
      <formula>OR($E27="토",$E27="일")</formula>
    </cfRule>
  </conditionalFormatting>
  <conditionalFormatting sqref="L27:M27">
    <cfRule type="expression" dxfId="2188" priority="1864">
      <formula>$D27=$A$2</formula>
    </cfRule>
  </conditionalFormatting>
  <conditionalFormatting sqref="L27:M27">
    <cfRule type="expression" dxfId="2187" priority="1865">
      <formula>($D27=$A$2)</formula>
    </cfRule>
    <cfRule type="expression" dxfId="2186" priority="1866">
      <formula>OR($E27="토",$E27="일")</formula>
    </cfRule>
  </conditionalFormatting>
  <conditionalFormatting sqref="L27:M27">
    <cfRule type="expression" dxfId="2185" priority="1861">
      <formula>$D27=$A$2</formula>
    </cfRule>
  </conditionalFormatting>
  <conditionalFormatting sqref="L27:M27">
    <cfRule type="expression" dxfId="2184" priority="1862">
      <formula>($D27=$A$2)</formula>
    </cfRule>
    <cfRule type="expression" dxfId="2183" priority="1863">
      <formula>OR($E27="토",$E27="일")</formula>
    </cfRule>
  </conditionalFormatting>
  <conditionalFormatting sqref="L27:M27">
    <cfRule type="expression" dxfId="2182" priority="1858">
      <formula>$D27=$A$2</formula>
    </cfRule>
  </conditionalFormatting>
  <conditionalFormatting sqref="L27:M27">
    <cfRule type="expression" dxfId="2181" priority="1859">
      <formula>($D27=$A$2)</formula>
    </cfRule>
    <cfRule type="expression" dxfId="2180" priority="1860">
      <formula>OR($E27="토",$E27="일")</formula>
    </cfRule>
  </conditionalFormatting>
  <conditionalFormatting sqref="L27:M27">
    <cfRule type="expression" dxfId="2179" priority="1855">
      <formula>$D27=$A$2</formula>
    </cfRule>
  </conditionalFormatting>
  <conditionalFormatting sqref="L27:M27">
    <cfRule type="expression" dxfId="2178" priority="1856">
      <formula>($D27=$A$2)</formula>
    </cfRule>
    <cfRule type="expression" dxfId="2177" priority="1857">
      <formula>OR($E27="토",$E27="일")</formula>
    </cfRule>
  </conditionalFormatting>
  <conditionalFormatting sqref="J27:M27">
    <cfRule type="expression" dxfId="2176" priority="1852">
      <formula>$D27=$A$2</formula>
    </cfRule>
  </conditionalFormatting>
  <conditionalFormatting sqref="J27:M27">
    <cfRule type="expression" dxfId="2175" priority="1853">
      <formula>($D27=$A$2)</formula>
    </cfRule>
    <cfRule type="expression" dxfId="2174" priority="1854">
      <formula>OR($E27="토",$E27="일")</formula>
    </cfRule>
  </conditionalFormatting>
  <conditionalFormatting sqref="J27:M27">
    <cfRule type="expression" dxfId="2173" priority="1849">
      <formula>$D27=$A$2</formula>
    </cfRule>
  </conditionalFormatting>
  <conditionalFormatting sqref="J27:M27">
    <cfRule type="expression" dxfId="2172" priority="1850">
      <formula>($D27=$A$2)</formula>
    </cfRule>
    <cfRule type="expression" dxfId="2171" priority="1851">
      <formula>OR($E27="토",$E27="일")</formula>
    </cfRule>
  </conditionalFormatting>
  <conditionalFormatting sqref="L27:M27">
    <cfRule type="expression" dxfId="2170" priority="1846">
      <formula>$D27=$A$2</formula>
    </cfRule>
  </conditionalFormatting>
  <conditionalFormatting sqref="L27:M27">
    <cfRule type="expression" dxfId="2169" priority="1847">
      <formula>($D27=$A$2)</formula>
    </cfRule>
    <cfRule type="expression" dxfId="2168" priority="1848">
      <formula>OR($E27="토",$E27="일")</formula>
    </cfRule>
  </conditionalFormatting>
  <conditionalFormatting sqref="L27:M27">
    <cfRule type="expression" dxfId="2167" priority="1843">
      <formula>$D27=$A$2</formula>
    </cfRule>
  </conditionalFormatting>
  <conditionalFormatting sqref="L27:M27">
    <cfRule type="expression" dxfId="2166" priority="1844">
      <formula>($D27=$A$2)</formula>
    </cfRule>
    <cfRule type="expression" dxfId="2165" priority="1845">
      <formula>OR($E27="토",$E27="일")</formula>
    </cfRule>
  </conditionalFormatting>
  <conditionalFormatting sqref="L27:M27">
    <cfRule type="expression" dxfId="2164" priority="1840">
      <formula>$D27=$A$2</formula>
    </cfRule>
  </conditionalFormatting>
  <conditionalFormatting sqref="L27:M27">
    <cfRule type="expression" dxfId="2163" priority="1841">
      <formula>($D27=$A$2)</formula>
    </cfRule>
    <cfRule type="expression" dxfId="2162" priority="1842">
      <formula>OR($E27="토",$E27="일")</formula>
    </cfRule>
  </conditionalFormatting>
  <conditionalFormatting sqref="J27:M27">
    <cfRule type="expression" dxfId="2161" priority="1837">
      <formula>$D27=$A$2</formula>
    </cfRule>
  </conditionalFormatting>
  <conditionalFormatting sqref="J27:M27">
    <cfRule type="expression" dxfId="2160" priority="1838">
      <formula>($D27=$A$2)</formula>
    </cfRule>
    <cfRule type="expression" dxfId="2159" priority="1839">
      <formula>OR($E27="토",$E27="일")</formula>
    </cfRule>
  </conditionalFormatting>
  <conditionalFormatting sqref="G25:H25">
    <cfRule type="expression" dxfId="2158" priority="1834">
      <formula>$D25=$A$2</formula>
    </cfRule>
  </conditionalFormatting>
  <conditionalFormatting sqref="G25:H25">
    <cfRule type="expression" dxfId="2157" priority="1835">
      <formula>($D25=$A$2)</formula>
    </cfRule>
    <cfRule type="expression" dxfId="2156" priority="1836">
      <formula>OR($E25="토",$E25="일")</formula>
    </cfRule>
  </conditionalFormatting>
  <conditionalFormatting sqref="J25:M25">
    <cfRule type="expression" dxfId="2155" priority="1831">
      <formula>$D25=$A$2</formula>
    </cfRule>
  </conditionalFormatting>
  <conditionalFormatting sqref="J25:M25">
    <cfRule type="expression" dxfId="2154" priority="1832">
      <formula>($D25=$A$2)</formula>
    </cfRule>
    <cfRule type="expression" dxfId="2153" priority="1833">
      <formula>OR($E25="토",$E25="일")</formula>
    </cfRule>
  </conditionalFormatting>
  <conditionalFormatting sqref="J25:M25">
    <cfRule type="expression" dxfId="2152" priority="1828">
      <formula>$D25=$A$2</formula>
    </cfRule>
  </conditionalFormatting>
  <conditionalFormatting sqref="J25:M25">
    <cfRule type="expression" dxfId="2151" priority="1829">
      <formula>($D25=$A$2)</formula>
    </cfRule>
    <cfRule type="expression" dxfId="2150" priority="1830">
      <formula>OR($E25="토",$E25="일")</formula>
    </cfRule>
  </conditionalFormatting>
  <conditionalFormatting sqref="G26:H26">
    <cfRule type="expression" dxfId="2149" priority="1825">
      <formula>$D26=$A$2</formula>
    </cfRule>
  </conditionalFormatting>
  <conditionalFormatting sqref="G26:H26">
    <cfRule type="expression" dxfId="2148" priority="1826">
      <formula>($D26=$A$2)</formula>
    </cfRule>
    <cfRule type="expression" dxfId="2147" priority="1827">
      <formula>OR($E26="토",$E26="일")</formula>
    </cfRule>
  </conditionalFormatting>
  <conditionalFormatting sqref="G25:H25">
    <cfRule type="expression" dxfId="2146" priority="1822">
      <formula>$D25=$A$2</formula>
    </cfRule>
  </conditionalFormatting>
  <conditionalFormatting sqref="G25:H25">
    <cfRule type="expression" dxfId="2145" priority="1823">
      <formula>($D25=$A$2)</formula>
    </cfRule>
    <cfRule type="expression" dxfId="2144" priority="1824">
      <formula>OR($E25="토",$E25="일")</formula>
    </cfRule>
  </conditionalFormatting>
  <conditionalFormatting sqref="J26:M26">
    <cfRule type="expression" dxfId="2143" priority="1819">
      <formula>$D26=$A$2</formula>
    </cfRule>
  </conditionalFormatting>
  <conditionalFormatting sqref="J26:M26">
    <cfRule type="expression" dxfId="2142" priority="1820">
      <formula>($D26=$A$2)</formula>
    </cfRule>
    <cfRule type="expression" dxfId="2141" priority="1821">
      <formula>OR($E26="토",$E26="일")</formula>
    </cfRule>
  </conditionalFormatting>
  <conditionalFormatting sqref="L25:M25">
    <cfRule type="expression" dxfId="2140" priority="1816">
      <formula>$D25=$A$2</formula>
    </cfRule>
  </conditionalFormatting>
  <conditionalFormatting sqref="L25:M25">
    <cfRule type="expression" dxfId="2139" priority="1817">
      <formula>($D25=$A$2)</formula>
    </cfRule>
    <cfRule type="expression" dxfId="2138" priority="1818">
      <formula>OR($E25="토",$E25="일")</formula>
    </cfRule>
  </conditionalFormatting>
  <conditionalFormatting sqref="G27:H27">
    <cfRule type="expression" dxfId="2137" priority="1813">
      <formula>$D27=$A$2</formula>
    </cfRule>
  </conditionalFormatting>
  <conditionalFormatting sqref="G27:H27">
    <cfRule type="expression" dxfId="2136" priority="1814">
      <formula>($D27=$A$2)</formula>
    </cfRule>
    <cfRule type="expression" dxfId="2135" priority="1815">
      <formula>OR($E27="토",$E27="일")</formula>
    </cfRule>
  </conditionalFormatting>
  <conditionalFormatting sqref="J27:M27">
    <cfRule type="expression" dxfId="2134" priority="1810">
      <formula>$D27=$A$2</formula>
    </cfRule>
  </conditionalFormatting>
  <conditionalFormatting sqref="J27:M27">
    <cfRule type="expression" dxfId="2133" priority="1811">
      <formula>($D27=$A$2)</formula>
    </cfRule>
    <cfRule type="expression" dxfId="2132" priority="1812">
      <formula>OR($E27="토",$E27="일")</formula>
    </cfRule>
  </conditionalFormatting>
  <conditionalFormatting sqref="J25:M25">
    <cfRule type="expression" dxfId="2131" priority="1807">
      <formula>$D25=$A$2</formula>
    </cfRule>
  </conditionalFormatting>
  <conditionalFormatting sqref="J25:M25">
    <cfRule type="expression" dxfId="2130" priority="1808">
      <formula>($D25=$A$2)</formula>
    </cfRule>
    <cfRule type="expression" dxfId="2129" priority="1809">
      <formula>OR($E25="토",$E25="일")</formula>
    </cfRule>
  </conditionalFormatting>
  <conditionalFormatting sqref="J26:M26">
    <cfRule type="expression" dxfId="2128" priority="1804">
      <formula>$D26=$A$2</formula>
    </cfRule>
  </conditionalFormatting>
  <conditionalFormatting sqref="J26:M26">
    <cfRule type="expression" dxfId="2127" priority="1805">
      <formula>($D26=$A$2)</formula>
    </cfRule>
    <cfRule type="expression" dxfId="2126" priority="1806">
      <formula>OR($E26="토",$E26="일")</formula>
    </cfRule>
  </conditionalFormatting>
  <conditionalFormatting sqref="L25:M25">
    <cfRule type="expression" dxfId="2125" priority="1801">
      <formula>$D25=$A$2</formula>
    </cfRule>
  </conditionalFormatting>
  <conditionalFormatting sqref="L25:M25">
    <cfRule type="expression" dxfId="2124" priority="1802">
      <formula>($D25=$A$2)</formula>
    </cfRule>
    <cfRule type="expression" dxfId="2123" priority="1803">
      <formula>OR($E25="토",$E25="일")</formula>
    </cfRule>
  </conditionalFormatting>
  <conditionalFormatting sqref="J26:M26">
    <cfRule type="expression" dxfId="2122" priority="1798">
      <formula>$D26=$A$2</formula>
    </cfRule>
  </conditionalFormatting>
  <conditionalFormatting sqref="J26:M26">
    <cfRule type="expression" dxfId="2121" priority="1799">
      <formula>($D26=$A$2)</formula>
    </cfRule>
    <cfRule type="expression" dxfId="2120" priority="1800">
      <formula>OR($E26="토",$E26="일")</formula>
    </cfRule>
  </conditionalFormatting>
  <conditionalFormatting sqref="J27:M27">
    <cfRule type="expression" dxfId="2119" priority="1795">
      <formula>$D27=$A$2</formula>
    </cfRule>
  </conditionalFormatting>
  <conditionalFormatting sqref="J27:M27">
    <cfRule type="expression" dxfId="2118" priority="1796">
      <formula>($D27=$A$2)</formula>
    </cfRule>
    <cfRule type="expression" dxfId="2117" priority="1797">
      <formula>OR($E27="토",$E27="일")</formula>
    </cfRule>
  </conditionalFormatting>
  <conditionalFormatting sqref="L26:M26">
    <cfRule type="expression" dxfId="2116" priority="1792">
      <formula>$D26=$A$2</formula>
    </cfRule>
  </conditionalFormatting>
  <conditionalFormatting sqref="L26:M26">
    <cfRule type="expression" dxfId="2115" priority="1793">
      <formula>($D26=$A$2)</formula>
    </cfRule>
    <cfRule type="expression" dxfId="2114" priority="1794">
      <formula>OR($E26="토",$E26="일")</formula>
    </cfRule>
  </conditionalFormatting>
  <conditionalFormatting sqref="L27:M27">
    <cfRule type="expression" dxfId="2113" priority="1789">
      <formula>$D27=$A$2</formula>
    </cfRule>
  </conditionalFormatting>
  <conditionalFormatting sqref="L27:M27">
    <cfRule type="expression" dxfId="2112" priority="1790">
      <formula>($D27=$A$2)</formula>
    </cfRule>
    <cfRule type="expression" dxfId="2111" priority="1791">
      <formula>OR($E27="토",$E27="일")</formula>
    </cfRule>
  </conditionalFormatting>
  <conditionalFormatting sqref="L27:M27">
    <cfRule type="expression" dxfId="2110" priority="1786">
      <formula>$D27=$A$2</formula>
    </cfRule>
  </conditionalFormatting>
  <conditionalFormatting sqref="L27:M27">
    <cfRule type="expression" dxfId="2109" priority="1787">
      <formula>($D27=$A$2)</formula>
    </cfRule>
    <cfRule type="expression" dxfId="2108" priority="1788">
      <formula>OR($E27="토",$E27="일")</formula>
    </cfRule>
  </conditionalFormatting>
  <conditionalFormatting sqref="L27:M27">
    <cfRule type="expression" dxfId="2107" priority="1783">
      <formula>$D27=$A$2</formula>
    </cfRule>
  </conditionalFormatting>
  <conditionalFormatting sqref="L27:M27">
    <cfRule type="expression" dxfId="2106" priority="1784">
      <formula>($D27=$A$2)</formula>
    </cfRule>
    <cfRule type="expression" dxfId="2105" priority="1785">
      <formula>OR($E27="토",$E27="일")</formula>
    </cfRule>
  </conditionalFormatting>
  <conditionalFormatting sqref="J27:M27">
    <cfRule type="expression" dxfId="2104" priority="1780">
      <formula>$D27=$A$2</formula>
    </cfRule>
  </conditionalFormatting>
  <conditionalFormatting sqref="J27:M27">
    <cfRule type="expression" dxfId="2103" priority="1781">
      <formula>($D27=$A$2)</formula>
    </cfRule>
    <cfRule type="expression" dxfId="2102" priority="1782">
      <formula>OR($E27="토",$E27="일")</formula>
    </cfRule>
  </conditionalFormatting>
  <conditionalFormatting sqref="J27:M27">
    <cfRule type="expression" dxfId="2101" priority="1777">
      <formula>$D27=$A$2</formula>
    </cfRule>
  </conditionalFormatting>
  <conditionalFormatting sqref="J27:M27">
    <cfRule type="expression" dxfId="2100" priority="1778">
      <formula>($D27=$A$2)</formula>
    </cfRule>
    <cfRule type="expression" dxfId="2099" priority="1779">
      <formula>OR($E27="토",$E27="일")</formula>
    </cfRule>
  </conditionalFormatting>
  <conditionalFormatting sqref="L28:M28">
    <cfRule type="expression" dxfId="2098" priority="1774">
      <formula>$D28=$A$2</formula>
    </cfRule>
  </conditionalFormatting>
  <conditionalFormatting sqref="L28:M28">
    <cfRule type="expression" dxfId="2097" priority="1775">
      <formula>($D28=$A$2)</formula>
    </cfRule>
    <cfRule type="expression" dxfId="2096" priority="1776">
      <formula>OR($E28="토",$E28="일")</formula>
    </cfRule>
  </conditionalFormatting>
  <conditionalFormatting sqref="L28:M28">
    <cfRule type="expression" dxfId="2095" priority="1771">
      <formula>$D28=$A$2</formula>
    </cfRule>
  </conditionalFormatting>
  <conditionalFormatting sqref="L28:M28">
    <cfRule type="expression" dxfId="2094" priority="1772">
      <formula>($D28=$A$2)</formula>
    </cfRule>
    <cfRule type="expression" dxfId="2093" priority="1773">
      <formula>OR($E28="토",$E28="일")</formula>
    </cfRule>
  </conditionalFormatting>
  <conditionalFormatting sqref="L28:M28">
    <cfRule type="expression" dxfId="2092" priority="1768">
      <formula>$D28=$A$2</formula>
    </cfRule>
  </conditionalFormatting>
  <conditionalFormatting sqref="L28:M28">
    <cfRule type="expression" dxfId="2091" priority="1769">
      <formula>($D28=$A$2)</formula>
    </cfRule>
    <cfRule type="expression" dxfId="2090" priority="1770">
      <formula>OR($E28="토",$E28="일")</formula>
    </cfRule>
  </conditionalFormatting>
  <conditionalFormatting sqref="L28:M28">
    <cfRule type="expression" dxfId="2089" priority="1765">
      <formula>$D28=$A$2</formula>
    </cfRule>
  </conditionalFormatting>
  <conditionalFormatting sqref="L28:M28">
    <cfRule type="expression" dxfId="2088" priority="1766">
      <formula>($D28=$A$2)</formula>
    </cfRule>
    <cfRule type="expression" dxfId="2087" priority="1767">
      <formula>OR($E28="토",$E28="일")</formula>
    </cfRule>
  </conditionalFormatting>
  <conditionalFormatting sqref="L28:M28">
    <cfRule type="expression" dxfId="2086" priority="1762">
      <formula>$D28=$A$2</formula>
    </cfRule>
  </conditionalFormatting>
  <conditionalFormatting sqref="L28:M28">
    <cfRule type="expression" dxfId="2085" priority="1763">
      <formula>($D28=$A$2)</formula>
    </cfRule>
    <cfRule type="expression" dxfId="2084" priority="1764">
      <formula>OR($E28="토",$E28="일")</formula>
    </cfRule>
  </conditionalFormatting>
  <conditionalFormatting sqref="J28:M28">
    <cfRule type="expression" dxfId="2083" priority="1759">
      <formula>$D28=$A$2</formula>
    </cfRule>
  </conditionalFormatting>
  <conditionalFormatting sqref="J28:M28">
    <cfRule type="expression" dxfId="2082" priority="1760">
      <formula>($D28=$A$2)</formula>
    </cfRule>
    <cfRule type="expression" dxfId="2081" priority="1761">
      <formula>OR($E28="토",$E28="일")</formula>
    </cfRule>
  </conditionalFormatting>
  <conditionalFormatting sqref="J28:M28">
    <cfRule type="expression" dxfId="2080" priority="1756">
      <formula>$D28=$A$2</formula>
    </cfRule>
  </conditionalFormatting>
  <conditionalFormatting sqref="J28:M28">
    <cfRule type="expression" dxfId="2079" priority="1757">
      <formula>($D28=$A$2)</formula>
    </cfRule>
    <cfRule type="expression" dxfId="2078" priority="1758">
      <formula>OR($E28="토",$E28="일")</formula>
    </cfRule>
  </conditionalFormatting>
  <conditionalFormatting sqref="L28:M28">
    <cfRule type="expression" dxfId="2077" priority="1753">
      <formula>$D28=$A$2</formula>
    </cfRule>
  </conditionalFormatting>
  <conditionalFormatting sqref="L28:M28">
    <cfRule type="expression" dxfId="2076" priority="1754">
      <formula>($D28=$A$2)</formula>
    </cfRule>
    <cfRule type="expression" dxfId="2075" priority="1755">
      <formula>OR($E28="토",$E28="일")</formula>
    </cfRule>
  </conditionalFormatting>
  <conditionalFormatting sqref="L28:M28">
    <cfRule type="expression" dxfId="2074" priority="1750">
      <formula>$D28=$A$2</formula>
    </cfRule>
  </conditionalFormatting>
  <conditionalFormatting sqref="L28:M28">
    <cfRule type="expression" dxfId="2073" priority="1751">
      <formula>($D28=$A$2)</formula>
    </cfRule>
    <cfRule type="expression" dxfId="2072" priority="1752">
      <formula>OR($E28="토",$E28="일")</formula>
    </cfRule>
  </conditionalFormatting>
  <conditionalFormatting sqref="L28:M28">
    <cfRule type="expression" dxfId="2071" priority="1747">
      <formula>$D28=$A$2</formula>
    </cfRule>
  </conditionalFormatting>
  <conditionalFormatting sqref="L28:M28">
    <cfRule type="expression" dxfId="2070" priority="1748">
      <formula>($D28=$A$2)</formula>
    </cfRule>
    <cfRule type="expression" dxfId="2069" priority="1749">
      <formula>OR($E28="토",$E28="일")</formula>
    </cfRule>
  </conditionalFormatting>
  <conditionalFormatting sqref="J28:M28">
    <cfRule type="expression" dxfId="2068" priority="1744">
      <formula>$D28=$A$2</formula>
    </cfRule>
  </conditionalFormatting>
  <conditionalFormatting sqref="J28:M28">
    <cfRule type="expression" dxfId="2067" priority="1745">
      <formula>($D28=$A$2)</formula>
    </cfRule>
    <cfRule type="expression" dxfId="2066" priority="1746">
      <formula>OR($E28="토",$E28="일")</formula>
    </cfRule>
  </conditionalFormatting>
  <conditionalFormatting sqref="G20:H20">
    <cfRule type="expression" dxfId="2065" priority="1741">
      <formula>$D20=$A$2</formula>
    </cfRule>
  </conditionalFormatting>
  <conditionalFormatting sqref="G20:H20">
    <cfRule type="expression" dxfId="2064" priority="1742">
      <formula>($D20=$A$2)</formula>
    </cfRule>
    <cfRule type="expression" dxfId="2063" priority="1743">
      <formula>OR($E20="토",$E20="일")</formula>
    </cfRule>
  </conditionalFormatting>
  <conditionalFormatting sqref="J20:K20">
    <cfRule type="expression" dxfId="2062" priority="1738">
      <formula>$D20=$A$2</formula>
    </cfRule>
  </conditionalFormatting>
  <conditionalFormatting sqref="J20:K20">
    <cfRule type="expression" dxfId="2061" priority="1739">
      <formula>($D20=$A$2)</formula>
    </cfRule>
    <cfRule type="expression" dxfId="2060" priority="1740">
      <formula>OR($E20="토",$E20="일")</formula>
    </cfRule>
  </conditionalFormatting>
  <conditionalFormatting sqref="J20:K20">
    <cfRule type="expression" dxfId="2059" priority="1735">
      <formula>$D20=$A$2</formula>
    </cfRule>
  </conditionalFormatting>
  <conditionalFormatting sqref="J20:K20">
    <cfRule type="expression" dxfId="2058" priority="1736">
      <formula>($D20=$A$2)</formula>
    </cfRule>
    <cfRule type="expression" dxfId="2057" priority="1737">
      <formula>OR($E20="토",$E20="일")</formula>
    </cfRule>
  </conditionalFormatting>
  <conditionalFormatting sqref="G20:H20">
    <cfRule type="expression" dxfId="2056" priority="1732">
      <formula>$D20=$A$2</formula>
    </cfRule>
  </conditionalFormatting>
  <conditionalFormatting sqref="G20:H20">
    <cfRule type="expression" dxfId="2055" priority="1733">
      <formula>($D20=$A$2)</formula>
    </cfRule>
    <cfRule type="expression" dxfId="2054" priority="1734">
      <formula>OR($E20="토",$E20="일")</formula>
    </cfRule>
  </conditionalFormatting>
  <conditionalFormatting sqref="J20:K20">
    <cfRule type="expression" dxfId="2053" priority="1729">
      <formula>$D20=$A$2</formula>
    </cfRule>
  </conditionalFormatting>
  <conditionalFormatting sqref="J20:K20">
    <cfRule type="expression" dxfId="2052" priority="1730">
      <formula>($D20=$A$2)</formula>
    </cfRule>
    <cfRule type="expression" dxfId="2051" priority="1731">
      <formula>OR($E20="토",$E20="일")</formula>
    </cfRule>
  </conditionalFormatting>
  <conditionalFormatting sqref="J20:K20">
    <cfRule type="expression" dxfId="2050" priority="1727">
      <formula>($D20=$A$2)</formula>
    </cfRule>
    <cfRule type="expression" dxfId="2049" priority="1728">
      <formula>OR($E20="토",$E20="일")</formula>
    </cfRule>
  </conditionalFormatting>
  <conditionalFormatting sqref="G20:H20">
    <cfRule type="expression" dxfId="2048" priority="1724">
      <formula>$D20=$A$2</formula>
    </cfRule>
  </conditionalFormatting>
  <conditionalFormatting sqref="G20:H20">
    <cfRule type="expression" dxfId="2047" priority="1725">
      <formula>($D20=$A$2)</formula>
    </cfRule>
    <cfRule type="expression" dxfId="2046" priority="1726">
      <formula>OR($E20="토",$E20="일")</formula>
    </cfRule>
  </conditionalFormatting>
  <conditionalFormatting sqref="G23:H23">
    <cfRule type="expression" dxfId="2045" priority="1721">
      <formula>$D23=$A$2</formula>
    </cfRule>
  </conditionalFormatting>
  <conditionalFormatting sqref="G23:H23">
    <cfRule type="expression" dxfId="2044" priority="1722">
      <formula>($D23=$A$2)</formula>
    </cfRule>
    <cfRule type="expression" dxfId="2043" priority="1723">
      <formula>OR($E23="토",$E23="일")</formula>
    </cfRule>
  </conditionalFormatting>
  <conditionalFormatting sqref="J23:M23">
    <cfRule type="expression" dxfId="2042" priority="1718">
      <formula>$D23=$A$2</formula>
    </cfRule>
  </conditionalFormatting>
  <conditionalFormatting sqref="J23:M23">
    <cfRule type="expression" dxfId="2041" priority="1719">
      <formula>($D23=$A$2)</formula>
    </cfRule>
    <cfRule type="expression" dxfId="2040" priority="1720">
      <formula>OR($E23="토",$E23="일")</formula>
    </cfRule>
  </conditionalFormatting>
  <conditionalFormatting sqref="J23:M23">
    <cfRule type="expression" dxfId="2039" priority="1715">
      <formula>$D23=$A$2</formula>
    </cfRule>
  </conditionalFormatting>
  <conditionalFormatting sqref="J23:M23">
    <cfRule type="expression" dxfId="2038" priority="1716">
      <formula>($D23=$A$2)</formula>
    </cfRule>
    <cfRule type="expression" dxfId="2037" priority="1717">
      <formula>OR($E23="토",$E23="일")</formula>
    </cfRule>
  </conditionalFormatting>
  <conditionalFormatting sqref="J23:M23">
    <cfRule type="expression" dxfId="2036" priority="1712">
      <formula>$D23=$A$2</formula>
    </cfRule>
  </conditionalFormatting>
  <conditionalFormatting sqref="J23:M23">
    <cfRule type="expression" dxfId="2035" priority="1713">
      <formula>($D23=$A$2)</formula>
    </cfRule>
    <cfRule type="expression" dxfId="2034" priority="1714">
      <formula>OR($E23="토",$E23="일")</formula>
    </cfRule>
  </conditionalFormatting>
  <conditionalFormatting sqref="L23:M23">
    <cfRule type="expression" dxfId="2033" priority="1709">
      <formula>$D23=$A$2</formula>
    </cfRule>
  </conditionalFormatting>
  <conditionalFormatting sqref="L23:M23">
    <cfRule type="expression" dxfId="2032" priority="1710">
      <formula>($D23=$A$2)</formula>
    </cfRule>
    <cfRule type="expression" dxfId="2031" priority="1711">
      <formula>OR($E23="토",$E23="일")</formula>
    </cfRule>
  </conditionalFormatting>
  <conditionalFormatting sqref="J23:M23">
    <cfRule type="expression" dxfId="2030" priority="1707">
      <formula>($D23=$A$2)</formula>
    </cfRule>
    <cfRule type="expression" dxfId="2029" priority="1708">
      <formula>OR($E23="토",$E23="일")</formula>
    </cfRule>
  </conditionalFormatting>
  <conditionalFormatting sqref="G23:H23">
    <cfRule type="expression" dxfId="2028" priority="1704">
      <formula>$D23=$A$2</formula>
    </cfRule>
  </conditionalFormatting>
  <conditionalFormatting sqref="G23:H23">
    <cfRule type="expression" dxfId="2027" priority="1705">
      <formula>($D23=$A$2)</formula>
    </cfRule>
    <cfRule type="expression" dxfId="2026" priority="1706">
      <formula>OR($E23="토",$E23="일")</formula>
    </cfRule>
  </conditionalFormatting>
  <conditionalFormatting sqref="L23:M23">
    <cfRule type="expression" dxfId="2025" priority="1701">
      <formula>$D23=$A$2</formula>
    </cfRule>
  </conditionalFormatting>
  <conditionalFormatting sqref="L23:M23">
    <cfRule type="expression" dxfId="2024" priority="1702">
      <formula>($D23=$A$2)</formula>
    </cfRule>
    <cfRule type="expression" dxfId="2023" priority="1703">
      <formula>OR($E23="토",$E23="일")</formula>
    </cfRule>
  </conditionalFormatting>
  <conditionalFormatting sqref="K23:M23">
    <cfRule type="expression" dxfId="2022" priority="1698">
      <formula>$D23=$A$2</formula>
    </cfRule>
  </conditionalFormatting>
  <conditionalFormatting sqref="K23:M23">
    <cfRule type="expression" dxfId="2021" priority="1699">
      <formula>($D23=$A$2)</formula>
    </cfRule>
    <cfRule type="expression" dxfId="2020" priority="1700">
      <formula>OR($E23="토",$E23="일")</formula>
    </cfRule>
  </conditionalFormatting>
  <conditionalFormatting sqref="L23:M23">
    <cfRule type="expression" dxfId="2019" priority="1695">
      <formula>$D23=$A$2</formula>
    </cfRule>
  </conditionalFormatting>
  <conditionalFormatting sqref="L23:M23">
    <cfRule type="expression" dxfId="2018" priority="1696">
      <formula>($D23=$A$2)</formula>
    </cfRule>
    <cfRule type="expression" dxfId="2017" priority="1697">
      <formula>OR($E23="토",$E23="일")</formula>
    </cfRule>
  </conditionalFormatting>
  <conditionalFormatting sqref="L23:M23">
    <cfRule type="expression" dxfId="2016" priority="1692">
      <formula>$D23=$A$2</formula>
    </cfRule>
  </conditionalFormatting>
  <conditionalFormatting sqref="L23:M23">
    <cfRule type="expression" dxfId="2015" priority="1693">
      <formula>($D23=$A$2)</formula>
    </cfRule>
    <cfRule type="expression" dxfId="2014" priority="1694">
      <formula>OR($E23="토",$E23="일")</formula>
    </cfRule>
  </conditionalFormatting>
  <conditionalFormatting sqref="L23:M23">
    <cfRule type="expression" dxfId="2013" priority="1689">
      <formula>$D23=$A$2</formula>
    </cfRule>
  </conditionalFormatting>
  <conditionalFormatting sqref="L23:M23">
    <cfRule type="expression" dxfId="2012" priority="1690">
      <formula>($D23=$A$2)</formula>
    </cfRule>
    <cfRule type="expression" dxfId="2011" priority="1691">
      <formula>OR($E23="토",$E23="일")</formula>
    </cfRule>
  </conditionalFormatting>
  <conditionalFormatting sqref="L23:M23">
    <cfRule type="expression" dxfId="2010" priority="1686">
      <formula>$D23=$A$2</formula>
    </cfRule>
  </conditionalFormatting>
  <conditionalFormatting sqref="L23:M23">
    <cfRule type="expression" dxfId="2009" priority="1687">
      <formula>($D23=$A$2)</formula>
    </cfRule>
    <cfRule type="expression" dxfId="2008" priority="1688">
      <formula>OR($E23="토",$E23="일")</formula>
    </cfRule>
  </conditionalFormatting>
  <conditionalFormatting sqref="G23:H23">
    <cfRule type="expression" dxfId="2007" priority="1683">
      <formula>$D23=$A$2</formula>
    </cfRule>
  </conditionalFormatting>
  <conditionalFormatting sqref="G23:H23">
    <cfRule type="expression" dxfId="2006" priority="1684">
      <formula>($D23=$A$2)</formula>
    </cfRule>
    <cfRule type="expression" dxfId="2005" priority="1685">
      <formula>OR($E23="토",$E23="일")</formula>
    </cfRule>
  </conditionalFormatting>
  <conditionalFormatting sqref="J23:M23">
    <cfRule type="expression" dxfId="2004" priority="1680">
      <formula>$D23=$A$2</formula>
    </cfRule>
  </conditionalFormatting>
  <conditionalFormatting sqref="J23:M23">
    <cfRule type="expression" dxfId="2003" priority="1681">
      <formula>($D23=$A$2)</formula>
    </cfRule>
    <cfRule type="expression" dxfId="2002" priority="1682">
      <formula>OR($E23="토",$E23="일")</formula>
    </cfRule>
  </conditionalFormatting>
  <conditionalFormatting sqref="J23:M23">
    <cfRule type="expression" dxfId="2001" priority="1677">
      <formula>$D23=$A$2</formula>
    </cfRule>
  </conditionalFormatting>
  <conditionalFormatting sqref="J23:M23">
    <cfRule type="expression" dxfId="2000" priority="1678">
      <formula>($D23=$A$2)</formula>
    </cfRule>
    <cfRule type="expression" dxfId="1999" priority="1679">
      <formula>OR($E23="토",$E23="일")</formula>
    </cfRule>
  </conditionalFormatting>
  <conditionalFormatting sqref="G23:H23">
    <cfRule type="expression" dxfId="1998" priority="1674">
      <formula>$D23=$A$2</formula>
    </cfRule>
  </conditionalFormatting>
  <conditionalFormatting sqref="G23:H23">
    <cfRule type="expression" dxfId="1997" priority="1675">
      <formula>($D23=$A$2)</formula>
    </cfRule>
    <cfRule type="expression" dxfId="1996" priority="1676">
      <formula>OR($E23="토",$E23="일")</formula>
    </cfRule>
  </conditionalFormatting>
  <conditionalFormatting sqref="L23:M23">
    <cfRule type="expression" dxfId="1995" priority="1671">
      <formula>$D23=$A$2</formula>
    </cfRule>
  </conditionalFormatting>
  <conditionalFormatting sqref="L23:M23">
    <cfRule type="expression" dxfId="1994" priority="1672">
      <formula>($D23=$A$2)</formula>
    </cfRule>
    <cfRule type="expression" dxfId="1993" priority="1673">
      <formula>OR($E23="토",$E23="일")</formula>
    </cfRule>
  </conditionalFormatting>
  <conditionalFormatting sqref="J23:M23">
    <cfRule type="expression" dxfId="1992" priority="1668">
      <formula>$D23=$A$2</formula>
    </cfRule>
  </conditionalFormatting>
  <conditionalFormatting sqref="J23:M23">
    <cfRule type="expression" dxfId="1991" priority="1669">
      <formula>($D23=$A$2)</formula>
    </cfRule>
    <cfRule type="expression" dxfId="1990" priority="1670">
      <formula>OR($E23="토",$E23="일")</formula>
    </cfRule>
  </conditionalFormatting>
  <conditionalFormatting sqref="L23:M23">
    <cfRule type="expression" dxfId="1989" priority="1665">
      <formula>$D23=$A$2</formula>
    </cfRule>
  </conditionalFormatting>
  <conditionalFormatting sqref="L23:M23">
    <cfRule type="expression" dxfId="1988" priority="1666">
      <formula>($D23=$A$2)</formula>
    </cfRule>
    <cfRule type="expression" dxfId="1987" priority="1667">
      <formula>OR($E23="토",$E23="일")</formula>
    </cfRule>
  </conditionalFormatting>
  <conditionalFormatting sqref="K23:M23">
    <cfRule type="expression" dxfId="1986" priority="1662">
      <formula>$D23=$A$2</formula>
    </cfRule>
  </conditionalFormatting>
  <conditionalFormatting sqref="K23:M23">
    <cfRule type="expression" dxfId="1985" priority="1663">
      <formula>($D23=$A$2)</formula>
    </cfRule>
    <cfRule type="expression" dxfId="1984" priority="1664">
      <formula>OR($E23="토",$E23="일")</formula>
    </cfRule>
  </conditionalFormatting>
  <conditionalFormatting sqref="L23:M23">
    <cfRule type="expression" dxfId="1983" priority="1659">
      <formula>$D23=$A$2</formula>
    </cfRule>
  </conditionalFormatting>
  <conditionalFormatting sqref="L23:M23">
    <cfRule type="expression" dxfId="1982" priority="1660">
      <formula>($D23=$A$2)</formula>
    </cfRule>
    <cfRule type="expression" dxfId="1981" priority="1661">
      <formula>OR($E23="토",$E23="일")</formula>
    </cfRule>
  </conditionalFormatting>
  <conditionalFormatting sqref="K19">
    <cfRule type="expression" dxfId="1980" priority="1656">
      <formula>$D19=$A$2</formula>
    </cfRule>
  </conditionalFormatting>
  <conditionalFormatting sqref="K19">
    <cfRule type="expression" dxfId="1979" priority="1657">
      <formula>($D19=$A$2)</formula>
    </cfRule>
    <cfRule type="expression" dxfId="1978" priority="1658">
      <formula>OR($E19="토",$E19="일")</formula>
    </cfRule>
  </conditionalFormatting>
  <conditionalFormatting sqref="K19">
    <cfRule type="expression" dxfId="1977" priority="1653">
      <formula>$D19=$A$2</formula>
    </cfRule>
  </conditionalFormatting>
  <conditionalFormatting sqref="K19">
    <cfRule type="expression" dxfId="1976" priority="1654">
      <formula>($D19=$A$2)</formula>
    </cfRule>
    <cfRule type="expression" dxfId="1975" priority="1655">
      <formula>OR($E19="토",$E19="일")</formula>
    </cfRule>
  </conditionalFormatting>
  <conditionalFormatting sqref="K19">
    <cfRule type="expression" dxfId="1974" priority="1650">
      <formula>$D19=$A$2</formula>
    </cfRule>
  </conditionalFormatting>
  <conditionalFormatting sqref="K19">
    <cfRule type="expression" dxfId="1973" priority="1651">
      <formula>($D19=$A$2)</formula>
    </cfRule>
    <cfRule type="expression" dxfId="1972" priority="1652">
      <formula>OR($E19="토",$E19="일")</formula>
    </cfRule>
  </conditionalFormatting>
  <conditionalFormatting sqref="K19">
    <cfRule type="expression" dxfId="1971" priority="1647">
      <formula>$D19=$A$2</formula>
    </cfRule>
  </conditionalFormatting>
  <conditionalFormatting sqref="K19">
    <cfRule type="expression" dxfId="1970" priority="1648">
      <formula>($D19=$A$2)</formula>
    </cfRule>
    <cfRule type="expression" dxfId="1969" priority="1649">
      <formula>OR($E19="토",$E19="일")</formula>
    </cfRule>
  </conditionalFormatting>
  <conditionalFormatting sqref="K19">
    <cfRule type="expression" dxfId="1968" priority="1645">
      <formula>($D19=$A$2)</formula>
    </cfRule>
    <cfRule type="expression" dxfId="1967" priority="1646">
      <formula>OR($E19="토",$E19="일")</formula>
    </cfRule>
  </conditionalFormatting>
  <conditionalFormatting sqref="K19">
    <cfRule type="expression" dxfId="1966" priority="1642">
      <formula>$D19=$A$2</formula>
    </cfRule>
  </conditionalFormatting>
  <conditionalFormatting sqref="K19">
    <cfRule type="expression" dxfId="1965" priority="1643">
      <formula>($D19=$A$2)</formula>
    </cfRule>
    <cfRule type="expression" dxfId="1964" priority="1644">
      <formula>OR($E19="토",$E19="일")</formula>
    </cfRule>
  </conditionalFormatting>
  <conditionalFormatting sqref="K19">
    <cfRule type="expression" dxfId="1963" priority="1639">
      <formula>$D19=$A$2</formula>
    </cfRule>
  </conditionalFormatting>
  <conditionalFormatting sqref="K19">
    <cfRule type="expression" dxfId="1962" priority="1640">
      <formula>($D19=$A$2)</formula>
    </cfRule>
    <cfRule type="expression" dxfId="1961" priority="1641">
      <formula>OR($E19="토",$E19="일")</formula>
    </cfRule>
  </conditionalFormatting>
  <conditionalFormatting sqref="K19">
    <cfRule type="expression" dxfId="1960" priority="1636">
      <formula>$D19=$A$2</formula>
    </cfRule>
  </conditionalFormatting>
  <conditionalFormatting sqref="K19">
    <cfRule type="expression" dxfId="1959" priority="1637">
      <formula>($D19=$A$2)</formula>
    </cfRule>
    <cfRule type="expression" dxfId="1958" priority="1638">
      <formula>OR($E19="토",$E19="일")</formula>
    </cfRule>
  </conditionalFormatting>
  <conditionalFormatting sqref="K19">
    <cfRule type="expression" dxfId="1957" priority="1633">
      <formula>$D19=$A$2</formula>
    </cfRule>
  </conditionalFormatting>
  <conditionalFormatting sqref="K19">
    <cfRule type="expression" dxfId="1956" priority="1634">
      <formula>($D19=$A$2)</formula>
    </cfRule>
    <cfRule type="expression" dxfId="1955" priority="1635">
      <formula>OR($E19="토",$E19="일")</formula>
    </cfRule>
  </conditionalFormatting>
  <conditionalFormatting sqref="K19">
    <cfRule type="expression" dxfId="1954" priority="1631">
      <formula>($D19=$A$2)</formula>
    </cfRule>
    <cfRule type="expression" dxfId="1953" priority="1632">
      <formula>OR($E19="토",$E19="일")</formula>
    </cfRule>
  </conditionalFormatting>
  <conditionalFormatting sqref="L19">
    <cfRule type="expression" dxfId="1952" priority="1628">
      <formula>$D19=$A$2</formula>
    </cfRule>
  </conditionalFormatting>
  <conditionalFormatting sqref="L19">
    <cfRule type="expression" dxfId="1951" priority="1629">
      <formula>($D19=$A$2)</formula>
    </cfRule>
    <cfRule type="expression" dxfId="1950" priority="1630">
      <formula>OR($E19="토",$E19="일")</formula>
    </cfRule>
  </conditionalFormatting>
  <conditionalFormatting sqref="L19">
    <cfRule type="expression" dxfId="1949" priority="1625">
      <formula>$D19=$A$2</formula>
    </cfRule>
  </conditionalFormatting>
  <conditionalFormatting sqref="L19">
    <cfRule type="expression" dxfId="1948" priority="1626">
      <formula>($D19=$A$2)</formula>
    </cfRule>
    <cfRule type="expression" dxfId="1947" priority="1627">
      <formula>OR($E19="토",$E19="일")</formula>
    </cfRule>
  </conditionalFormatting>
  <conditionalFormatting sqref="L19">
    <cfRule type="expression" dxfId="1946" priority="1622">
      <formula>$D19=$A$2</formula>
    </cfRule>
  </conditionalFormatting>
  <conditionalFormatting sqref="L19">
    <cfRule type="expression" dxfId="1945" priority="1623">
      <formula>($D19=$A$2)</formula>
    </cfRule>
    <cfRule type="expression" dxfId="1944" priority="1624">
      <formula>OR($E19="토",$E19="일")</formula>
    </cfRule>
  </conditionalFormatting>
  <conditionalFormatting sqref="L19">
    <cfRule type="expression" dxfId="1943" priority="1619">
      <formula>$D19=$A$2</formula>
    </cfRule>
  </conditionalFormatting>
  <conditionalFormatting sqref="L19">
    <cfRule type="expression" dxfId="1942" priority="1620">
      <formula>($D19=$A$2)</formula>
    </cfRule>
    <cfRule type="expression" dxfId="1941" priority="1621">
      <formula>OR($E19="토",$E19="일")</formula>
    </cfRule>
  </conditionalFormatting>
  <conditionalFormatting sqref="L19">
    <cfRule type="expression" dxfId="1940" priority="1616">
      <formula>$D19=$A$2</formula>
    </cfRule>
  </conditionalFormatting>
  <conditionalFormatting sqref="L19">
    <cfRule type="expression" dxfId="1939" priority="1617">
      <formula>($D19=$A$2)</formula>
    </cfRule>
    <cfRule type="expression" dxfId="1938" priority="1618">
      <formula>OR($E19="토",$E19="일")</formula>
    </cfRule>
  </conditionalFormatting>
  <conditionalFormatting sqref="L19">
    <cfRule type="expression" dxfId="1937" priority="1613">
      <formula>$D19=$A$2</formula>
    </cfRule>
  </conditionalFormatting>
  <conditionalFormatting sqref="L19">
    <cfRule type="expression" dxfId="1936" priority="1614">
      <formula>($D19=$A$2)</formula>
    </cfRule>
    <cfRule type="expression" dxfId="1935" priority="1615">
      <formula>OR($E19="토",$E19="일")</formula>
    </cfRule>
  </conditionalFormatting>
  <conditionalFormatting sqref="L19">
    <cfRule type="expression" dxfId="1934" priority="1610">
      <formula>$D19=$A$2</formula>
    </cfRule>
  </conditionalFormatting>
  <conditionalFormatting sqref="L19">
    <cfRule type="expression" dxfId="1933" priority="1611">
      <formula>($D19=$A$2)</formula>
    </cfRule>
    <cfRule type="expression" dxfId="1932" priority="1612">
      <formula>OR($E19="토",$E19="일")</formula>
    </cfRule>
  </conditionalFormatting>
  <conditionalFormatting sqref="L19">
    <cfRule type="expression" dxfId="1931" priority="1608">
      <formula>($D19=$A$2)</formula>
    </cfRule>
    <cfRule type="expression" dxfId="1930" priority="1609">
      <formula>OR($E19="토",$E19="일")</formula>
    </cfRule>
  </conditionalFormatting>
  <conditionalFormatting sqref="L19">
    <cfRule type="expression" dxfId="1929" priority="1605">
      <formula>$D19=$A$2</formula>
    </cfRule>
  </conditionalFormatting>
  <conditionalFormatting sqref="L19">
    <cfRule type="expression" dxfId="1928" priority="1606">
      <formula>($D19=$A$2)</formula>
    </cfRule>
    <cfRule type="expression" dxfId="1927" priority="1607">
      <formula>OR($E19="토",$E19="일")</formula>
    </cfRule>
  </conditionalFormatting>
  <conditionalFormatting sqref="L19">
    <cfRule type="expression" dxfId="1926" priority="1602">
      <formula>$D19=$A$2</formula>
    </cfRule>
  </conditionalFormatting>
  <conditionalFormatting sqref="L19">
    <cfRule type="expression" dxfId="1925" priority="1603">
      <formula>($D19=$A$2)</formula>
    </cfRule>
    <cfRule type="expression" dxfId="1924" priority="1604">
      <formula>OR($E19="토",$E19="일")</formula>
    </cfRule>
  </conditionalFormatting>
  <conditionalFormatting sqref="L19">
    <cfRule type="expression" dxfId="1923" priority="1599">
      <formula>$D19=$A$2</formula>
    </cfRule>
  </conditionalFormatting>
  <conditionalFormatting sqref="L19">
    <cfRule type="expression" dxfId="1922" priority="1600">
      <formula>($D19=$A$2)</formula>
    </cfRule>
    <cfRule type="expression" dxfId="1921" priority="1601">
      <formula>OR($E19="토",$E19="일")</formula>
    </cfRule>
  </conditionalFormatting>
  <conditionalFormatting sqref="L19">
    <cfRule type="expression" dxfId="1920" priority="1596">
      <formula>$D19=$A$2</formula>
    </cfRule>
  </conditionalFormatting>
  <conditionalFormatting sqref="L19">
    <cfRule type="expression" dxfId="1919" priority="1597">
      <formula>($D19=$A$2)</formula>
    </cfRule>
    <cfRule type="expression" dxfId="1918" priority="1598">
      <formula>OR($E19="토",$E19="일")</formula>
    </cfRule>
  </conditionalFormatting>
  <conditionalFormatting sqref="L19">
    <cfRule type="expression" dxfId="1917" priority="1593">
      <formula>$D19=$A$2</formula>
    </cfRule>
  </conditionalFormatting>
  <conditionalFormatting sqref="L19">
    <cfRule type="expression" dxfId="1916" priority="1594">
      <formula>($D19=$A$2)</formula>
    </cfRule>
    <cfRule type="expression" dxfId="1915" priority="1595">
      <formula>OR($E19="토",$E19="일")</formula>
    </cfRule>
  </conditionalFormatting>
  <conditionalFormatting sqref="L19">
    <cfRule type="expression" dxfId="1914" priority="1590">
      <formula>$D19=$A$2</formula>
    </cfRule>
  </conditionalFormatting>
  <conditionalFormatting sqref="L19">
    <cfRule type="expression" dxfId="1913" priority="1591">
      <formula>($D19=$A$2)</formula>
    </cfRule>
    <cfRule type="expression" dxfId="1912" priority="1592">
      <formula>OR($E19="토",$E19="일")</formula>
    </cfRule>
  </conditionalFormatting>
  <conditionalFormatting sqref="L19">
    <cfRule type="expression" dxfId="1911" priority="1587">
      <formula>$D19=$A$2</formula>
    </cfRule>
  </conditionalFormatting>
  <conditionalFormatting sqref="L19">
    <cfRule type="expression" dxfId="1910" priority="1588">
      <formula>($D19=$A$2)</formula>
    </cfRule>
    <cfRule type="expression" dxfId="1909" priority="1589">
      <formula>OR($E19="토",$E19="일")</formula>
    </cfRule>
  </conditionalFormatting>
  <conditionalFormatting sqref="L19">
    <cfRule type="expression" dxfId="1908" priority="1585">
      <formula>($D19=$A$2)</formula>
    </cfRule>
    <cfRule type="expression" dxfId="1907" priority="1586">
      <formula>OR($E19="토",$E19="일")</formula>
    </cfRule>
  </conditionalFormatting>
  <conditionalFormatting sqref="L19">
    <cfRule type="expression" dxfId="1906" priority="1582">
      <formula>$D19=$A$2</formula>
    </cfRule>
  </conditionalFormatting>
  <conditionalFormatting sqref="L19">
    <cfRule type="expression" dxfId="1905" priority="1583">
      <formula>($D19=$A$2)</formula>
    </cfRule>
    <cfRule type="expression" dxfId="1904" priority="1584">
      <formula>OR($E19="토",$E19="일")</formula>
    </cfRule>
  </conditionalFormatting>
  <conditionalFormatting sqref="L19">
    <cfRule type="expression" dxfId="1903" priority="1579">
      <formula>$D19=$A$2</formula>
    </cfRule>
  </conditionalFormatting>
  <conditionalFormatting sqref="L19">
    <cfRule type="expression" dxfId="1902" priority="1580">
      <formula>($D19=$A$2)</formula>
    </cfRule>
    <cfRule type="expression" dxfId="1901" priority="1581">
      <formula>OR($E19="토",$E19="일")</formula>
    </cfRule>
  </conditionalFormatting>
  <conditionalFormatting sqref="L19">
    <cfRule type="expression" dxfId="1900" priority="1576">
      <formula>$D19=$A$2</formula>
    </cfRule>
  </conditionalFormatting>
  <conditionalFormatting sqref="L19">
    <cfRule type="expression" dxfId="1899" priority="1577">
      <formula>($D19=$A$2)</formula>
    </cfRule>
    <cfRule type="expression" dxfId="1898" priority="1578">
      <formula>OR($E19="토",$E19="일")</formula>
    </cfRule>
  </conditionalFormatting>
  <conditionalFormatting sqref="L19">
    <cfRule type="expression" dxfId="1897" priority="1573">
      <formula>$D19=$A$2</formula>
    </cfRule>
  </conditionalFormatting>
  <conditionalFormatting sqref="L19">
    <cfRule type="expression" dxfId="1896" priority="1574">
      <formula>($D19=$A$2)</formula>
    </cfRule>
    <cfRule type="expression" dxfId="1895" priority="1575">
      <formula>OR($E19="토",$E19="일")</formula>
    </cfRule>
  </conditionalFormatting>
  <conditionalFormatting sqref="L19">
    <cfRule type="expression" dxfId="1894" priority="1570">
      <formula>$D19=$A$2</formula>
    </cfRule>
  </conditionalFormatting>
  <conditionalFormatting sqref="L19">
    <cfRule type="expression" dxfId="1893" priority="1571">
      <formula>($D19=$A$2)</formula>
    </cfRule>
    <cfRule type="expression" dxfId="1892" priority="1572">
      <formula>OR($E19="토",$E19="일")</formula>
    </cfRule>
  </conditionalFormatting>
  <conditionalFormatting sqref="L19">
    <cfRule type="expression" dxfId="1891" priority="1567">
      <formula>$D19=$A$2</formula>
    </cfRule>
  </conditionalFormatting>
  <conditionalFormatting sqref="L19">
    <cfRule type="expression" dxfId="1890" priority="1568">
      <formula>($D19=$A$2)</formula>
    </cfRule>
    <cfRule type="expression" dxfId="1889" priority="1569">
      <formula>OR($E19="토",$E19="일")</formula>
    </cfRule>
  </conditionalFormatting>
  <conditionalFormatting sqref="L19">
    <cfRule type="expression" dxfId="1888" priority="1564">
      <formula>$D19=$A$2</formula>
    </cfRule>
  </conditionalFormatting>
  <conditionalFormatting sqref="L19">
    <cfRule type="expression" dxfId="1887" priority="1565">
      <formula>($D19=$A$2)</formula>
    </cfRule>
    <cfRule type="expression" dxfId="1886" priority="1566">
      <formula>OR($E19="토",$E19="일")</formula>
    </cfRule>
  </conditionalFormatting>
  <conditionalFormatting sqref="L19">
    <cfRule type="expression" dxfId="1885" priority="1561">
      <formula>$D19=$A$2</formula>
    </cfRule>
  </conditionalFormatting>
  <conditionalFormatting sqref="L19">
    <cfRule type="expression" dxfId="1884" priority="1562">
      <formula>($D19=$A$2)</formula>
    </cfRule>
    <cfRule type="expression" dxfId="1883" priority="1563">
      <formula>OR($E19="토",$E19="일")</formula>
    </cfRule>
  </conditionalFormatting>
  <conditionalFormatting sqref="L19">
    <cfRule type="expression" dxfId="1882" priority="1558">
      <formula>$D19=$A$2</formula>
    </cfRule>
  </conditionalFormatting>
  <conditionalFormatting sqref="L19">
    <cfRule type="expression" dxfId="1881" priority="1559">
      <formula>($D19=$A$2)</formula>
    </cfRule>
    <cfRule type="expression" dxfId="1880" priority="1560">
      <formula>OR($E19="토",$E19="일")</formula>
    </cfRule>
  </conditionalFormatting>
  <conditionalFormatting sqref="L20">
    <cfRule type="expression" dxfId="1879" priority="1555">
      <formula>$D20=$A$2</formula>
    </cfRule>
  </conditionalFormatting>
  <conditionalFormatting sqref="L20">
    <cfRule type="expression" dxfId="1878" priority="1556">
      <formula>($D20=$A$2)</formula>
    </cfRule>
    <cfRule type="expression" dxfId="1877" priority="1557">
      <formula>OR($E20="토",$E20="일")</formula>
    </cfRule>
  </conditionalFormatting>
  <conditionalFormatting sqref="L20">
    <cfRule type="expression" dxfId="1876" priority="1552">
      <formula>$D20=$A$2</formula>
    </cfRule>
  </conditionalFormatting>
  <conditionalFormatting sqref="L20">
    <cfRule type="expression" dxfId="1875" priority="1553">
      <formula>($D20=$A$2)</formula>
    </cfRule>
    <cfRule type="expression" dxfId="1874" priority="1554">
      <formula>OR($E20="토",$E20="일")</formula>
    </cfRule>
  </conditionalFormatting>
  <conditionalFormatting sqref="L20">
    <cfRule type="expression" dxfId="1873" priority="1549">
      <formula>$D20=$A$2</formula>
    </cfRule>
  </conditionalFormatting>
  <conditionalFormatting sqref="L20">
    <cfRule type="expression" dxfId="1872" priority="1550">
      <formula>($D20=$A$2)</formula>
    </cfRule>
    <cfRule type="expression" dxfId="1871" priority="1551">
      <formula>OR($E20="토",$E20="일")</formula>
    </cfRule>
  </conditionalFormatting>
  <conditionalFormatting sqref="L20">
    <cfRule type="expression" dxfId="1870" priority="1546">
      <formula>$D20=$A$2</formula>
    </cfRule>
  </conditionalFormatting>
  <conditionalFormatting sqref="L20">
    <cfRule type="expression" dxfId="1869" priority="1547">
      <formula>($D20=$A$2)</formula>
    </cfRule>
    <cfRule type="expression" dxfId="1868" priority="1548">
      <formula>OR($E20="토",$E20="일")</formula>
    </cfRule>
  </conditionalFormatting>
  <conditionalFormatting sqref="L20">
    <cfRule type="expression" dxfId="1867" priority="1544">
      <formula>($D20=$A$2)</formula>
    </cfRule>
    <cfRule type="expression" dxfId="1866" priority="1545">
      <formula>OR($E20="토",$E20="일")</formula>
    </cfRule>
  </conditionalFormatting>
  <conditionalFormatting sqref="L20">
    <cfRule type="expression" dxfId="1865" priority="1541">
      <formula>$D20=$A$2</formula>
    </cfRule>
  </conditionalFormatting>
  <conditionalFormatting sqref="L20">
    <cfRule type="expression" dxfId="1864" priority="1542">
      <formula>($D20=$A$2)</formula>
    </cfRule>
    <cfRule type="expression" dxfId="1863" priority="1543">
      <formula>OR($E20="토",$E20="일")</formula>
    </cfRule>
  </conditionalFormatting>
  <conditionalFormatting sqref="L20">
    <cfRule type="expression" dxfId="1862" priority="1538">
      <formula>$D20=$A$2</formula>
    </cfRule>
  </conditionalFormatting>
  <conditionalFormatting sqref="L20">
    <cfRule type="expression" dxfId="1861" priority="1539">
      <formula>($D20=$A$2)</formula>
    </cfRule>
    <cfRule type="expression" dxfId="1860" priority="1540">
      <formula>OR($E20="토",$E20="일")</formula>
    </cfRule>
  </conditionalFormatting>
  <conditionalFormatting sqref="L20">
    <cfRule type="expression" dxfId="1859" priority="1535">
      <formula>$D20=$A$2</formula>
    </cfRule>
  </conditionalFormatting>
  <conditionalFormatting sqref="L20">
    <cfRule type="expression" dxfId="1858" priority="1536">
      <formula>($D20=$A$2)</formula>
    </cfRule>
    <cfRule type="expression" dxfId="1857" priority="1537">
      <formula>OR($E20="토",$E20="일")</formula>
    </cfRule>
  </conditionalFormatting>
  <conditionalFormatting sqref="L20">
    <cfRule type="expression" dxfId="1856" priority="1532">
      <formula>$D20=$A$2</formula>
    </cfRule>
  </conditionalFormatting>
  <conditionalFormatting sqref="L20">
    <cfRule type="expression" dxfId="1855" priority="1533">
      <formula>($D20=$A$2)</formula>
    </cfRule>
    <cfRule type="expression" dxfId="1854" priority="1534">
      <formula>OR($E20="토",$E20="일")</formula>
    </cfRule>
  </conditionalFormatting>
  <conditionalFormatting sqref="L20">
    <cfRule type="expression" dxfId="1853" priority="1529">
      <formula>$D20=$A$2</formula>
    </cfRule>
  </conditionalFormatting>
  <conditionalFormatting sqref="L20">
    <cfRule type="expression" dxfId="1852" priority="1530">
      <formula>($D20=$A$2)</formula>
    </cfRule>
    <cfRule type="expression" dxfId="1851" priority="1531">
      <formula>OR($E20="토",$E20="일")</formula>
    </cfRule>
  </conditionalFormatting>
  <conditionalFormatting sqref="L20">
    <cfRule type="expression" dxfId="1850" priority="1526">
      <formula>$D20=$A$2</formula>
    </cfRule>
  </conditionalFormatting>
  <conditionalFormatting sqref="L20">
    <cfRule type="expression" dxfId="1849" priority="1527">
      <formula>($D20=$A$2)</formula>
    </cfRule>
    <cfRule type="expression" dxfId="1848" priority="1528">
      <formula>OR($E20="토",$E20="일")</formula>
    </cfRule>
  </conditionalFormatting>
  <conditionalFormatting sqref="L20">
    <cfRule type="expression" dxfId="1847" priority="1523">
      <formula>$D20=$A$2</formula>
    </cfRule>
  </conditionalFormatting>
  <conditionalFormatting sqref="L20">
    <cfRule type="expression" dxfId="1846" priority="1524">
      <formula>($D20=$A$2)</formula>
    </cfRule>
    <cfRule type="expression" dxfId="1845" priority="1525">
      <formula>OR($E20="토",$E20="일")</formula>
    </cfRule>
  </conditionalFormatting>
  <conditionalFormatting sqref="L20">
    <cfRule type="expression" dxfId="1844" priority="1520">
      <formula>$D20=$A$2</formula>
    </cfRule>
  </conditionalFormatting>
  <conditionalFormatting sqref="L20">
    <cfRule type="expression" dxfId="1843" priority="1521">
      <formula>($D20=$A$2)</formula>
    </cfRule>
    <cfRule type="expression" dxfId="1842" priority="1522">
      <formula>OR($E20="토",$E20="일")</formula>
    </cfRule>
  </conditionalFormatting>
  <conditionalFormatting sqref="L20">
    <cfRule type="expression" dxfId="1841" priority="1517">
      <formula>$D20=$A$2</formula>
    </cfRule>
  </conditionalFormatting>
  <conditionalFormatting sqref="L20">
    <cfRule type="expression" dxfId="1840" priority="1518">
      <formula>($D20=$A$2)</formula>
    </cfRule>
    <cfRule type="expression" dxfId="1839" priority="1519">
      <formula>OR($E20="토",$E20="일")</formula>
    </cfRule>
  </conditionalFormatting>
  <conditionalFormatting sqref="L20">
    <cfRule type="expression" dxfId="1838" priority="1514">
      <formula>$D20=$A$2</formula>
    </cfRule>
  </conditionalFormatting>
  <conditionalFormatting sqref="L20">
    <cfRule type="expression" dxfId="1837" priority="1515">
      <formula>($D20=$A$2)</formula>
    </cfRule>
    <cfRule type="expression" dxfId="1836" priority="1516">
      <formula>OR($E20="토",$E20="일")</formula>
    </cfRule>
  </conditionalFormatting>
  <conditionalFormatting sqref="L20">
    <cfRule type="expression" dxfId="1835" priority="1511">
      <formula>$D20=$A$2</formula>
    </cfRule>
  </conditionalFormatting>
  <conditionalFormatting sqref="L20">
    <cfRule type="expression" dxfId="1834" priority="1512">
      <formula>($D20=$A$2)</formula>
    </cfRule>
    <cfRule type="expression" dxfId="1833" priority="1513">
      <formula>OR($E20="토",$E20="일")</formula>
    </cfRule>
  </conditionalFormatting>
  <conditionalFormatting sqref="L20">
    <cfRule type="expression" dxfId="1832" priority="1508">
      <formula>$D20=$A$2</formula>
    </cfRule>
  </conditionalFormatting>
  <conditionalFormatting sqref="L20">
    <cfRule type="expression" dxfId="1831" priority="1509">
      <formula>($D20=$A$2)</formula>
    </cfRule>
    <cfRule type="expression" dxfId="1830" priority="1510">
      <formula>OR($E20="토",$E20="일")</formula>
    </cfRule>
  </conditionalFormatting>
  <conditionalFormatting sqref="L20">
    <cfRule type="expression" dxfId="1829" priority="1505">
      <formula>$D20=$A$2</formula>
    </cfRule>
  </conditionalFormatting>
  <conditionalFormatting sqref="L20">
    <cfRule type="expression" dxfId="1828" priority="1506">
      <formula>($D20=$A$2)</formula>
    </cfRule>
    <cfRule type="expression" dxfId="1827" priority="1507">
      <formula>OR($E20="토",$E20="일")</formula>
    </cfRule>
  </conditionalFormatting>
  <conditionalFormatting sqref="L20">
    <cfRule type="expression" dxfId="1826" priority="1502">
      <formula>$D20=$A$2</formula>
    </cfRule>
  </conditionalFormatting>
  <conditionalFormatting sqref="L20">
    <cfRule type="expression" dxfId="1825" priority="1503">
      <formula>($D20=$A$2)</formula>
    </cfRule>
    <cfRule type="expression" dxfId="1824" priority="1504">
      <formula>OR($E20="토",$E20="일")</formula>
    </cfRule>
  </conditionalFormatting>
  <conditionalFormatting sqref="L20">
    <cfRule type="expression" dxfId="1823" priority="1499">
      <formula>$D20=$A$2</formula>
    </cfRule>
  </conditionalFormatting>
  <conditionalFormatting sqref="L20">
    <cfRule type="expression" dxfId="1822" priority="1500">
      <formula>($D20=$A$2)</formula>
    </cfRule>
    <cfRule type="expression" dxfId="1821" priority="1501">
      <formula>OR($E20="토",$E20="일")</formula>
    </cfRule>
  </conditionalFormatting>
  <conditionalFormatting sqref="L20">
    <cfRule type="expression" dxfId="1820" priority="1496">
      <formula>$D20=$A$2</formula>
    </cfRule>
  </conditionalFormatting>
  <conditionalFormatting sqref="L20">
    <cfRule type="expression" dxfId="1819" priority="1497">
      <formula>($D20=$A$2)</formula>
    </cfRule>
    <cfRule type="expression" dxfId="1818" priority="1498">
      <formula>OR($E20="토",$E20="일")</formula>
    </cfRule>
  </conditionalFormatting>
  <conditionalFormatting sqref="L20">
    <cfRule type="expression" dxfId="1817" priority="1493">
      <formula>$D20=$A$2</formula>
    </cfRule>
  </conditionalFormatting>
  <conditionalFormatting sqref="L20">
    <cfRule type="expression" dxfId="1816" priority="1494">
      <formula>($D20=$A$2)</formula>
    </cfRule>
    <cfRule type="expression" dxfId="1815" priority="1495">
      <formula>OR($E20="토",$E20="일")</formula>
    </cfRule>
  </conditionalFormatting>
  <conditionalFormatting sqref="L20">
    <cfRule type="expression" dxfId="1814" priority="1490">
      <formula>$D20=$A$2</formula>
    </cfRule>
  </conditionalFormatting>
  <conditionalFormatting sqref="L20">
    <cfRule type="expression" dxfId="1813" priority="1491">
      <formula>($D20=$A$2)</formula>
    </cfRule>
    <cfRule type="expression" dxfId="1812" priority="1492">
      <formula>OR($E20="토",$E20="일")</formula>
    </cfRule>
  </conditionalFormatting>
  <conditionalFormatting sqref="L20">
    <cfRule type="expression" dxfId="1811" priority="1487">
      <formula>$D20=$A$2</formula>
    </cfRule>
  </conditionalFormatting>
  <conditionalFormatting sqref="L20">
    <cfRule type="expression" dxfId="1810" priority="1488">
      <formula>($D20=$A$2)</formula>
    </cfRule>
    <cfRule type="expression" dxfId="1809" priority="1489">
      <formula>OR($E20="토",$E20="일")</formula>
    </cfRule>
  </conditionalFormatting>
  <conditionalFormatting sqref="L20">
    <cfRule type="expression" dxfId="1808" priority="1484">
      <formula>$D20=$A$2</formula>
    </cfRule>
  </conditionalFormatting>
  <conditionalFormatting sqref="L20">
    <cfRule type="expression" dxfId="1807" priority="1485">
      <formula>($D20=$A$2)</formula>
    </cfRule>
    <cfRule type="expression" dxfId="1806" priority="1486">
      <formula>OR($E20="토",$E20="일")</formula>
    </cfRule>
  </conditionalFormatting>
  <conditionalFormatting sqref="L20">
    <cfRule type="expression" dxfId="1805" priority="1482">
      <formula>($D20=$A$2)</formula>
    </cfRule>
    <cfRule type="expression" dxfId="1804" priority="1483">
      <formula>OR($E20="토",$E20="일")</formula>
    </cfRule>
  </conditionalFormatting>
  <conditionalFormatting sqref="L20">
    <cfRule type="expression" dxfId="1803" priority="1479">
      <formula>$D20=$A$2</formula>
    </cfRule>
  </conditionalFormatting>
  <conditionalFormatting sqref="L20">
    <cfRule type="expression" dxfId="1802" priority="1480">
      <formula>($D20=$A$2)</formula>
    </cfRule>
    <cfRule type="expression" dxfId="1801" priority="1481">
      <formula>OR($E20="토",$E20="일")</formula>
    </cfRule>
  </conditionalFormatting>
  <conditionalFormatting sqref="L20">
    <cfRule type="expression" dxfId="1800" priority="1476">
      <formula>$D20=$A$2</formula>
    </cfRule>
  </conditionalFormatting>
  <conditionalFormatting sqref="L20">
    <cfRule type="expression" dxfId="1799" priority="1477">
      <formula>($D20=$A$2)</formula>
    </cfRule>
    <cfRule type="expression" dxfId="1798" priority="1478">
      <formula>OR($E20="토",$E20="일")</formula>
    </cfRule>
  </conditionalFormatting>
  <conditionalFormatting sqref="L20">
    <cfRule type="expression" dxfId="1797" priority="1473">
      <formula>$D20=$A$2</formula>
    </cfRule>
  </conditionalFormatting>
  <conditionalFormatting sqref="L20">
    <cfRule type="expression" dxfId="1796" priority="1474">
      <formula>($D20=$A$2)</formula>
    </cfRule>
    <cfRule type="expression" dxfId="1795" priority="1475">
      <formula>OR($E20="토",$E20="일")</formula>
    </cfRule>
  </conditionalFormatting>
  <conditionalFormatting sqref="L20">
    <cfRule type="expression" dxfId="1794" priority="1470">
      <formula>$D20=$A$2</formula>
    </cfRule>
  </conditionalFormatting>
  <conditionalFormatting sqref="L20">
    <cfRule type="expression" dxfId="1793" priority="1471">
      <formula>($D20=$A$2)</formula>
    </cfRule>
    <cfRule type="expression" dxfId="1792" priority="1472">
      <formula>OR($E20="토",$E20="일")</formula>
    </cfRule>
  </conditionalFormatting>
  <conditionalFormatting sqref="L20">
    <cfRule type="expression" dxfId="1791" priority="1467">
      <formula>$D20=$A$2</formula>
    </cfRule>
  </conditionalFormatting>
  <conditionalFormatting sqref="L20">
    <cfRule type="expression" dxfId="1790" priority="1468">
      <formula>($D20=$A$2)</formula>
    </cfRule>
    <cfRule type="expression" dxfId="1789" priority="1469">
      <formula>OR($E20="토",$E20="일")</formula>
    </cfRule>
  </conditionalFormatting>
  <conditionalFormatting sqref="L20">
    <cfRule type="expression" dxfId="1788" priority="1464">
      <formula>$D20=$A$2</formula>
    </cfRule>
  </conditionalFormatting>
  <conditionalFormatting sqref="L20">
    <cfRule type="expression" dxfId="1787" priority="1465">
      <formula>($D20=$A$2)</formula>
    </cfRule>
    <cfRule type="expression" dxfId="1786" priority="1466">
      <formula>OR($E20="토",$E20="일")</formula>
    </cfRule>
  </conditionalFormatting>
  <conditionalFormatting sqref="L20">
    <cfRule type="expression" dxfId="1785" priority="1461">
      <formula>$D20=$A$2</formula>
    </cfRule>
  </conditionalFormatting>
  <conditionalFormatting sqref="L20">
    <cfRule type="expression" dxfId="1784" priority="1462">
      <formula>($D20=$A$2)</formula>
    </cfRule>
    <cfRule type="expression" dxfId="1783" priority="1463">
      <formula>OR($E20="토",$E20="일")</formula>
    </cfRule>
  </conditionalFormatting>
  <conditionalFormatting sqref="L23:M23">
    <cfRule type="expression" dxfId="1782" priority="1458">
      <formula>$D23=$A$2</formula>
    </cfRule>
  </conditionalFormatting>
  <conditionalFormatting sqref="L23:M23">
    <cfRule type="expression" dxfId="1781" priority="1459">
      <formula>($D23=$A$2)</formula>
    </cfRule>
    <cfRule type="expression" dxfId="1780" priority="1460">
      <formula>OR($E23="토",$E23="일")</formula>
    </cfRule>
  </conditionalFormatting>
  <conditionalFormatting sqref="L23:M23">
    <cfRule type="expression" dxfId="1779" priority="1455">
      <formula>$D23=$A$2</formula>
    </cfRule>
  </conditionalFormatting>
  <conditionalFormatting sqref="L23:M23">
    <cfRule type="expression" dxfId="1778" priority="1456">
      <formula>($D23=$A$2)</formula>
    </cfRule>
    <cfRule type="expression" dxfId="1777" priority="1457">
      <formula>OR($E23="토",$E23="일")</formula>
    </cfRule>
  </conditionalFormatting>
  <conditionalFormatting sqref="L23:M23">
    <cfRule type="expression" dxfId="1776" priority="1452">
      <formula>$D23=$A$2</formula>
    </cfRule>
  </conditionalFormatting>
  <conditionalFormatting sqref="L23:M23">
    <cfRule type="expression" dxfId="1775" priority="1453">
      <formula>($D23=$A$2)</formula>
    </cfRule>
    <cfRule type="expression" dxfId="1774" priority="1454">
      <formula>OR($E23="토",$E23="일")</formula>
    </cfRule>
  </conditionalFormatting>
  <conditionalFormatting sqref="L23:M23">
    <cfRule type="expression" dxfId="1773" priority="1449">
      <formula>$D23=$A$2</formula>
    </cfRule>
  </conditionalFormatting>
  <conditionalFormatting sqref="L23:M23">
    <cfRule type="expression" dxfId="1772" priority="1450">
      <formula>($D23=$A$2)</formula>
    </cfRule>
    <cfRule type="expression" dxfId="1771" priority="1451">
      <formula>OR($E23="토",$E23="일")</formula>
    </cfRule>
  </conditionalFormatting>
  <conditionalFormatting sqref="L23:M23">
    <cfRule type="expression" dxfId="1770" priority="1446">
      <formula>$D23=$A$2</formula>
    </cfRule>
  </conditionalFormatting>
  <conditionalFormatting sqref="L23:M23">
    <cfRule type="expression" dxfId="1769" priority="1447">
      <formula>($D23=$A$2)</formula>
    </cfRule>
    <cfRule type="expression" dxfId="1768" priority="1448">
      <formula>OR($E23="토",$E23="일")</formula>
    </cfRule>
  </conditionalFormatting>
  <conditionalFormatting sqref="J23:M23">
    <cfRule type="expression" dxfId="1767" priority="1443">
      <formula>$D23=$A$2</formula>
    </cfRule>
  </conditionalFormatting>
  <conditionalFormatting sqref="J23:M23">
    <cfRule type="expression" dxfId="1766" priority="1444">
      <formula>($D23=$A$2)</formula>
    </cfRule>
    <cfRule type="expression" dxfId="1765" priority="1445">
      <formula>OR($E23="토",$E23="일")</formula>
    </cfRule>
  </conditionalFormatting>
  <conditionalFormatting sqref="J23:M23">
    <cfRule type="expression" dxfId="1764" priority="1440">
      <formula>$D23=$A$2</formula>
    </cfRule>
  </conditionalFormatting>
  <conditionalFormatting sqref="J23:M23">
    <cfRule type="expression" dxfId="1763" priority="1441">
      <formula>($D23=$A$2)</formula>
    </cfRule>
    <cfRule type="expression" dxfId="1762" priority="1442">
      <formula>OR($E23="토",$E23="일")</formula>
    </cfRule>
  </conditionalFormatting>
  <conditionalFormatting sqref="L23:M23">
    <cfRule type="expression" dxfId="1761" priority="1437">
      <formula>$D23=$A$2</formula>
    </cfRule>
  </conditionalFormatting>
  <conditionalFormatting sqref="L23:M23">
    <cfRule type="expression" dxfId="1760" priority="1438">
      <formula>($D23=$A$2)</formula>
    </cfRule>
    <cfRule type="expression" dxfId="1759" priority="1439">
      <formula>OR($E23="토",$E23="일")</formula>
    </cfRule>
  </conditionalFormatting>
  <conditionalFormatting sqref="L23:M23">
    <cfRule type="expression" dxfId="1758" priority="1434">
      <formula>$D23=$A$2</formula>
    </cfRule>
  </conditionalFormatting>
  <conditionalFormatting sqref="L23:M23">
    <cfRule type="expression" dxfId="1757" priority="1435">
      <formula>($D23=$A$2)</formula>
    </cfRule>
    <cfRule type="expression" dxfId="1756" priority="1436">
      <formula>OR($E23="토",$E23="일")</formula>
    </cfRule>
  </conditionalFormatting>
  <conditionalFormatting sqref="L23:M23">
    <cfRule type="expression" dxfId="1755" priority="1431">
      <formula>$D23=$A$2</formula>
    </cfRule>
  </conditionalFormatting>
  <conditionalFormatting sqref="L23:M23">
    <cfRule type="expression" dxfId="1754" priority="1432">
      <formula>($D23=$A$2)</formula>
    </cfRule>
    <cfRule type="expression" dxfId="1753" priority="1433">
      <formula>OR($E23="토",$E23="일")</formula>
    </cfRule>
  </conditionalFormatting>
  <conditionalFormatting sqref="J23:M23">
    <cfRule type="expression" dxfId="1752" priority="1428">
      <formula>$D23=$A$2</formula>
    </cfRule>
  </conditionalFormatting>
  <conditionalFormatting sqref="J23:M23">
    <cfRule type="expression" dxfId="1751" priority="1429">
      <formula>($D23=$A$2)</formula>
    </cfRule>
    <cfRule type="expression" dxfId="1750" priority="1430">
      <formula>OR($E23="토",$E23="일")</formula>
    </cfRule>
  </conditionalFormatting>
  <conditionalFormatting sqref="L24:M24">
    <cfRule type="expression" dxfId="1749" priority="1425">
      <formula>$D24=$A$2</formula>
    </cfRule>
  </conditionalFormatting>
  <conditionalFormatting sqref="L24:M24">
    <cfRule type="expression" dxfId="1748" priority="1426">
      <formula>($D24=$A$2)</formula>
    </cfRule>
    <cfRule type="expression" dxfId="1747" priority="1427">
      <formula>OR($E24="토",$E24="일")</formula>
    </cfRule>
  </conditionalFormatting>
  <conditionalFormatting sqref="L24:M24">
    <cfRule type="expression" dxfId="1746" priority="1422">
      <formula>$D24=$A$2</formula>
    </cfRule>
  </conditionalFormatting>
  <conditionalFormatting sqref="L24:M24">
    <cfRule type="expression" dxfId="1745" priority="1423">
      <formula>($D24=$A$2)</formula>
    </cfRule>
    <cfRule type="expression" dxfId="1744" priority="1424">
      <formula>OR($E24="토",$E24="일")</formula>
    </cfRule>
  </conditionalFormatting>
  <conditionalFormatting sqref="L24:M24">
    <cfRule type="expression" dxfId="1743" priority="1419">
      <formula>$D24=$A$2</formula>
    </cfRule>
  </conditionalFormatting>
  <conditionalFormatting sqref="L24:M24">
    <cfRule type="expression" dxfId="1742" priority="1420">
      <formula>($D24=$A$2)</formula>
    </cfRule>
    <cfRule type="expression" dxfId="1741" priority="1421">
      <formula>OR($E24="토",$E24="일")</formula>
    </cfRule>
  </conditionalFormatting>
  <conditionalFormatting sqref="J24:M24">
    <cfRule type="expression" dxfId="1740" priority="1416">
      <formula>$D24=$A$2</formula>
    </cfRule>
  </conditionalFormatting>
  <conditionalFormatting sqref="J24:M24">
    <cfRule type="expression" dxfId="1739" priority="1417">
      <formula>($D24=$A$2)</formula>
    </cfRule>
    <cfRule type="expression" dxfId="1738" priority="1418">
      <formula>OR($E24="토",$E24="일")</formula>
    </cfRule>
  </conditionalFormatting>
  <conditionalFormatting sqref="G23:H23">
    <cfRule type="expression" dxfId="1737" priority="1413">
      <formula>$D23=$A$2</formula>
    </cfRule>
  </conditionalFormatting>
  <conditionalFormatting sqref="G23:H23">
    <cfRule type="expression" dxfId="1736" priority="1414">
      <formula>($D23=$A$2)</formula>
    </cfRule>
    <cfRule type="expression" dxfId="1735" priority="1415">
      <formula>OR($E23="토",$E23="일")</formula>
    </cfRule>
  </conditionalFormatting>
  <conditionalFormatting sqref="J23:M23">
    <cfRule type="expression" dxfId="1734" priority="1410">
      <formula>$D23=$A$2</formula>
    </cfRule>
  </conditionalFormatting>
  <conditionalFormatting sqref="J23:M23">
    <cfRule type="expression" dxfId="1733" priority="1411">
      <formula>($D23=$A$2)</formula>
    </cfRule>
    <cfRule type="expression" dxfId="1732" priority="1412">
      <formula>OR($E23="토",$E23="일")</formula>
    </cfRule>
  </conditionalFormatting>
  <conditionalFormatting sqref="J23:M23">
    <cfRule type="expression" dxfId="1731" priority="1407">
      <formula>$D23=$A$2</formula>
    </cfRule>
  </conditionalFormatting>
  <conditionalFormatting sqref="J23:M23">
    <cfRule type="expression" dxfId="1730" priority="1408">
      <formula>($D23=$A$2)</formula>
    </cfRule>
    <cfRule type="expression" dxfId="1729" priority="1409">
      <formula>OR($E23="토",$E23="일")</formula>
    </cfRule>
  </conditionalFormatting>
  <conditionalFormatting sqref="J24:M24">
    <cfRule type="expression" dxfId="1728" priority="1404">
      <formula>$D24=$A$2</formula>
    </cfRule>
  </conditionalFormatting>
  <conditionalFormatting sqref="J24:M24">
    <cfRule type="expression" dxfId="1727" priority="1405">
      <formula>($D24=$A$2)</formula>
    </cfRule>
    <cfRule type="expression" dxfId="1726" priority="1406">
      <formula>OR($E24="토",$E24="일")</formula>
    </cfRule>
  </conditionalFormatting>
  <conditionalFormatting sqref="L23:M23">
    <cfRule type="expression" dxfId="1725" priority="1401">
      <formula>$D23=$A$2</formula>
    </cfRule>
  </conditionalFormatting>
  <conditionalFormatting sqref="L23:M23">
    <cfRule type="expression" dxfId="1724" priority="1402">
      <formula>($D23=$A$2)</formula>
    </cfRule>
    <cfRule type="expression" dxfId="1723" priority="1403">
      <formula>OR($E23="토",$E23="일")</formula>
    </cfRule>
  </conditionalFormatting>
  <conditionalFormatting sqref="L23:M23">
    <cfRule type="expression" dxfId="1722" priority="1398">
      <formula>$D23=$A$2</formula>
    </cfRule>
  </conditionalFormatting>
  <conditionalFormatting sqref="L23:M23">
    <cfRule type="expression" dxfId="1721" priority="1399">
      <formula>($D23=$A$2)</formula>
    </cfRule>
    <cfRule type="expression" dxfId="1720" priority="1400">
      <formula>OR($E23="토",$E23="일")</formula>
    </cfRule>
  </conditionalFormatting>
  <conditionalFormatting sqref="L23:M23">
    <cfRule type="expression" dxfId="1719" priority="1395">
      <formula>$D23=$A$2</formula>
    </cfRule>
  </conditionalFormatting>
  <conditionalFormatting sqref="L23:M23">
    <cfRule type="expression" dxfId="1718" priority="1396">
      <formula>($D23=$A$2)</formula>
    </cfRule>
    <cfRule type="expression" dxfId="1717" priority="1397">
      <formula>OR($E23="토",$E23="일")</formula>
    </cfRule>
  </conditionalFormatting>
  <conditionalFormatting sqref="J23:M23">
    <cfRule type="expression" dxfId="1716" priority="1392">
      <formula>$D23=$A$2</formula>
    </cfRule>
  </conditionalFormatting>
  <conditionalFormatting sqref="J23:M23">
    <cfRule type="expression" dxfId="1715" priority="1393">
      <formula>($D23=$A$2)</formula>
    </cfRule>
    <cfRule type="expression" dxfId="1714" priority="1394">
      <formula>OR($E23="토",$E23="일")</formula>
    </cfRule>
  </conditionalFormatting>
  <conditionalFormatting sqref="L24:M24">
    <cfRule type="expression" dxfId="1713" priority="1389">
      <formula>$D24=$A$2</formula>
    </cfRule>
  </conditionalFormatting>
  <conditionalFormatting sqref="L24:M24">
    <cfRule type="expression" dxfId="1712" priority="1390">
      <formula>($D24=$A$2)</formula>
    </cfRule>
    <cfRule type="expression" dxfId="1711" priority="1391">
      <formula>OR($E24="토",$E24="일")</formula>
    </cfRule>
  </conditionalFormatting>
  <conditionalFormatting sqref="L24:M24">
    <cfRule type="expression" dxfId="1710" priority="1386">
      <formula>$D24=$A$2</formula>
    </cfRule>
  </conditionalFormatting>
  <conditionalFormatting sqref="L24:M24">
    <cfRule type="expression" dxfId="1709" priority="1387">
      <formula>($D24=$A$2)</formula>
    </cfRule>
    <cfRule type="expression" dxfId="1708" priority="1388">
      <formula>OR($E24="토",$E24="일")</formula>
    </cfRule>
  </conditionalFormatting>
  <conditionalFormatting sqref="L24:M24">
    <cfRule type="expression" dxfId="1707" priority="1383">
      <formula>$D24=$A$2</formula>
    </cfRule>
  </conditionalFormatting>
  <conditionalFormatting sqref="L24:M24">
    <cfRule type="expression" dxfId="1706" priority="1384">
      <formula>($D24=$A$2)</formula>
    </cfRule>
    <cfRule type="expression" dxfId="1705" priority="1385">
      <formula>OR($E24="토",$E24="일")</formula>
    </cfRule>
  </conditionalFormatting>
  <conditionalFormatting sqref="J24:M24">
    <cfRule type="expression" dxfId="1704" priority="1380">
      <formula>$D24=$A$2</formula>
    </cfRule>
  </conditionalFormatting>
  <conditionalFormatting sqref="J24:M24">
    <cfRule type="expression" dxfId="1703" priority="1381">
      <formula>($D24=$A$2)</formula>
    </cfRule>
    <cfRule type="expression" dxfId="1702" priority="1382">
      <formula>OR($E24="토",$E24="일")</formula>
    </cfRule>
  </conditionalFormatting>
  <conditionalFormatting sqref="J23:M23">
    <cfRule type="expression" dxfId="1701" priority="1377">
      <formula>$D23=$A$2</formula>
    </cfRule>
  </conditionalFormatting>
  <conditionalFormatting sqref="J23:M23">
    <cfRule type="expression" dxfId="1700" priority="1378">
      <formula>($D23=$A$2)</formula>
    </cfRule>
    <cfRule type="expression" dxfId="1699" priority="1379">
      <formula>OR($E23="토",$E23="일")</formula>
    </cfRule>
  </conditionalFormatting>
  <conditionalFormatting sqref="L25:M25">
    <cfRule type="expression" dxfId="1698" priority="1374">
      <formula>$D25=$A$2</formula>
    </cfRule>
  </conditionalFormatting>
  <conditionalFormatting sqref="L25:M25">
    <cfRule type="expression" dxfId="1697" priority="1375">
      <formula>($D25=$A$2)</formula>
    </cfRule>
    <cfRule type="expression" dxfId="1696" priority="1376">
      <formula>OR($E25="토",$E25="일")</formula>
    </cfRule>
  </conditionalFormatting>
  <conditionalFormatting sqref="L25:M25">
    <cfRule type="expression" dxfId="1695" priority="1371">
      <formula>$D25=$A$2</formula>
    </cfRule>
  </conditionalFormatting>
  <conditionalFormatting sqref="L25:M25">
    <cfRule type="expression" dxfId="1694" priority="1372">
      <formula>($D25=$A$2)</formula>
    </cfRule>
    <cfRule type="expression" dxfId="1693" priority="1373">
      <formula>OR($E25="토",$E25="일")</formula>
    </cfRule>
  </conditionalFormatting>
  <conditionalFormatting sqref="L25:M25">
    <cfRule type="expression" dxfId="1692" priority="1368">
      <formula>$D25=$A$2</formula>
    </cfRule>
  </conditionalFormatting>
  <conditionalFormatting sqref="L25:M25">
    <cfRule type="expression" dxfId="1691" priority="1369">
      <formula>($D25=$A$2)</formula>
    </cfRule>
    <cfRule type="expression" dxfId="1690" priority="1370">
      <formula>OR($E25="토",$E25="일")</formula>
    </cfRule>
  </conditionalFormatting>
  <conditionalFormatting sqref="L25:M25">
    <cfRule type="expression" dxfId="1689" priority="1365">
      <formula>$D25=$A$2</formula>
    </cfRule>
  </conditionalFormatting>
  <conditionalFormatting sqref="L25:M25">
    <cfRule type="expression" dxfId="1688" priority="1366">
      <formula>($D25=$A$2)</formula>
    </cfRule>
    <cfRule type="expression" dxfId="1687" priority="1367">
      <formula>OR($E25="토",$E25="일")</formula>
    </cfRule>
  </conditionalFormatting>
  <conditionalFormatting sqref="L25:M25">
    <cfRule type="expression" dxfId="1686" priority="1362">
      <formula>$D25=$A$2</formula>
    </cfRule>
  </conditionalFormatting>
  <conditionalFormatting sqref="L25:M25">
    <cfRule type="expression" dxfId="1685" priority="1363">
      <formula>($D25=$A$2)</formula>
    </cfRule>
    <cfRule type="expression" dxfId="1684" priority="1364">
      <formula>OR($E25="토",$E25="일")</formula>
    </cfRule>
  </conditionalFormatting>
  <conditionalFormatting sqref="J25:M25">
    <cfRule type="expression" dxfId="1683" priority="1359">
      <formula>$D25=$A$2</formula>
    </cfRule>
  </conditionalFormatting>
  <conditionalFormatting sqref="J25:M25">
    <cfRule type="expression" dxfId="1682" priority="1360">
      <formula>($D25=$A$2)</formula>
    </cfRule>
    <cfRule type="expression" dxfId="1681" priority="1361">
      <formula>OR($E25="토",$E25="일")</formula>
    </cfRule>
  </conditionalFormatting>
  <conditionalFormatting sqref="J25:M25">
    <cfRule type="expression" dxfId="1680" priority="1356">
      <formula>$D25=$A$2</formula>
    </cfRule>
  </conditionalFormatting>
  <conditionalFormatting sqref="J25:M25">
    <cfRule type="expression" dxfId="1679" priority="1357">
      <formula>($D25=$A$2)</formula>
    </cfRule>
    <cfRule type="expression" dxfId="1678" priority="1358">
      <formula>OR($E25="토",$E25="일")</formula>
    </cfRule>
  </conditionalFormatting>
  <conditionalFormatting sqref="L25:M25">
    <cfRule type="expression" dxfId="1677" priority="1353">
      <formula>$D25=$A$2</formula>
    </cfRule>
  </conditionalFormatting>
  <conditionalFormatting sqref="L25:M25">
    <cfRule type="expression" dxfId="1676" priority="1354">
      <formula>($D25=$A$2)</formula>
    </cfRule>
    <cfRule type="expression" dxfId="1675" priority="1355">
      <formula>OR($E25="토",$E25="일")</formula>
    </cfRule>
  </conditionalFormatting>
  <conditionalFormatting sqref="L25:M25">
    <cfRule type="expression" dxfId="1674" priority="1350">
      <formula>$D25=$A$2</formula>
    </cfRule>
  </conditionalFormatting>
  <conditionalFormatting sqref="L25:M25">
    <cfRule type="expression" dxfId="1673" priority="1351">
      <formula>($D25=$A$2)</formula>
    </cfRule>
    <cfRule type="expression" dxfId="1672" priority="1352">
      <formula>OR($E25="토",$E25="일")</formula>
    </cfRule>
  </conditionalFormatting>
  <conditionalFormatting sqref="L25:M25">
    <cfRule type="expression" dxfId="1671" priority="1347">
      <formula>$D25=$A$2</formula>
    </cfRule>
  </conditionalFormatting>
  <conditionalFormatting sqref="L25:M25">
    <cfRule type="expression" dxfId="1670" priority="1348">
      <formula>($D25=$A$2)</formula>
    </cfRule>
    <cfRule type="expression" dxfId="1669" priority="1349">
      <formula>OR($E25="토",$E25="일")</formula>
    </cfRule>
  </conditionalFormatting>
  <conditionalFormatting sqref="J25:M25">
    <cfRule type="expression" dxfId="1668" priority="1344">
      <formula>$D25=$A$2</formula>
    </cfRule>
  </conditionalFormatting>
  <conditionalFormatting sqref="J25:M25">
    <cfRule type="expression" dxfId="1667" priority="1345">
      <formula>($D25=$A$2)</formula>
    </cfRule>
    <cfRule type="expression" dxfId="1666" priority="1346">
      <formula>OR($E25="토",$E25="일")</formula>
    </cfRule>
  </conditionalFormatting>
  <conditionalFormatting sqref="L23:M23">
    <cfRule type="expression" dxfId="1665" priority="1341">
      <formula>$D23=$A$2</formula>
    </cfRule>
  </conditionalFormatting>
  <conditionalFormatting sqref="L23:M23">
    <cfRule type="expression" dxfId="1664" priority="1342">
      <formula>($D23=$A$2)</formula>
    </cfRule>
    <cfRule type="expression" dxfId="1663" priority="1343">
      <formula>OR($E23="토",$E23="일")</formula>
    </cfRule>
  </conditionalFormatting>
  <conditionalFormatting sqref="L23:M23">
    <cfRule type="expression" dxfId="1662" priority="1338">
      <formula>$D23=$A$2</formula>
    </cfRule>
  </conditionalFormatting>
  <conditionalFormatting sqref="L23:M23">
    <cfRule type="expression" dxfId="1661" priority="1339">
      <formula>($D23=$A$2)</formula>
    </cfRule>
    <cfRule type="expression" dxfId="1660" priority="1340">
      <formula>OR($E23="토",$E23="일")</formula>
    </cfRule>
  </conditionalFormatting>
  <conditionalFormatting sqref="L23:M23">
    <cfRule type="expression" dxfId="1659" priority="1335">
      <formula>$D23=$A$2</formula>
    </cfRule>
  </conditionalFormatting>
  <conditionalFormatting sqref="L23:M23">
    <cfRule type="expression" dxfId="1658" priority="1336">
      <formula>($D23=$A$2)</formula>
    </cfRule>
    <cfRule type="expression" dxfId="1657" priority="1337">
      <formula>OR($E23="토",$E23="일")</formula>
    </cfRule>
  </conditionalFormatting>
  <conditionalFormatting sqref="J23:M23">
    <cfRule type="expression" dxfId="1656" priority="1332">
      <formula>$D23=$A$2</formula>
    </cfRule>
  </conditionalFormatting>
  <conditionalFormatting sqref="J23:M23">
    <cfRule type="expression" dxfId="1655" priority="1333">
      <formula>($D23=$A$2)</formula>
    </cfRule>
    <cfRule type="expression" dxfId="1654" priority="1334">
      <formula>OR($E23="토",$E23="일")</formula>
    </cfRule>
  </conditionalFormatting>
  <conditionalFormatting sqref="J23:M23">
    <cfRule type="expression" dxfId="1653" priority="1329">
      <formula>$D23=$A$2</formula>
    </cfRule>
  </conditionalFormatting>
  <conditionalFormatting sqref="J23:M23">
    <cfRule type="expression" dxfId="1652" priority="1330">
      <formula>($D23=$A$2)</formula>
    </cfRule>
    <cfRule type="expression" dxfId="1651" priority="1331">
      <formula>OR($E23="토",$E23="일")</formula>
    </cfRule>
  </conditionalFormatting>
  <conditionalFormatting sqref="L23:M23">
    <cfRule type="expression" dxfId="1650" priority="1326">
      <formula>$D23=$A$2</formula>
    </cfRule>
  </conditionalFormatting>
  <conditionalFormatting sqref="L23:M23">
    <cfRule type="expression" dxfId="1649" priority="1327">
      <formula>($D23=$A$2)</formula>
    </cfRule>
    <cfRule type="expression" dxfId="1648" priority="1328">
      <formula>OR($E23="토",$E23="일")</formula>
    </cfRule>
  </conditionalFormatting>
  <conditionalFormatting sqref="L23:M23">
    <cfRule type="expression" dxfId="1647" priority="1323">
      <formula>$D23=$A$2</formula>
    </cfRule>
  </conditionalFormatting>
  <conditionalFormatting sqref="L23:M23">
    <cfRule type="expression" dxfId="1646" priority="1324">
      <formula>($D23=$A$2)</formula>
    </cfRule>
    <cfRule type="expression" dxfId="1645" priority="1325">
      <formula>OR($E23="토",$E23="일")</formula>
    </cfRule>
  </conditionalFormatting>
  <conditionalFormatting sqref="L23:M23">
    <cfRule type="expression" dxfId="1644" priority="1320">
      <formula>$D23=$A$2</formula>
    </cfRule>
  </conditionalFormatting>
  <conditionalFormatting sqref="L23:M23">
    <cfRule type="expression" dxfId="1643" priority="1321">
      <formula>($D23=$A$2)</formula>
    </cfRule>
    <cfRule type="expression" dxfId="1642" priority="1322">
      <formula>OR($E23="토",$E23="일")</formula>
    </cfRule>
  </conditionalFormatting>
  <conditionalFormatting sqref="J23:M23">
    <cfRule type="expression" dxfId="1641" priority="1317">
      <formula>$D23=$A$2</formula>
    </cfRule>
  </conditionalFormatting>
  <conditionalFormatting sqref="J23:M23">
    <cfRule type="expression" dxfId="1640" priority="1318">
      <formula>($D23=$A$2)</formula>
    </cfRule>
    <cfRule type="expression" dxfId="1639" priority="1319">
      <formula>OR($E23="토",$E23="일")</formula>
    </cfRule>
  </conditionalFormatting>
  <conditionalFormatting sqref="L24:M24">
    <cfRule type="expression" dxfId="1638" priority="1314">
      <formula>$D24=$A$2</formula>
    </cfRule>
  </conditionalFormatting>
  <conditionalFormatting sqref="L24:M24">
    <cfRule type="expression" dxfId="1637" priority="1315">
      <formula>($D24=$A$2)</formula>
    </cfRule>
    <cfRule type="expression" dxfId="1636" priority="1316">
      <formula>OR($E24="토",$E24="일")</formula>
    </cfRule>
  </conditionalFormatting>
  <conditionalFormatting sqref="L24:M24">
    <cfRule type="expression" dxfId="1635" priority="1311">
      <formula>$D24=$A$2</formula>
    </cfRule>
  </conditionalFormatting>
  <conditionalFormatting sqref="L24:M24">
    <cfRule type="expression" dxfId="1634" priority="1312">
      <formula>($D24=$A$2)</formula>
    </cfRule>
    <cfRule type="expression" dxfId="1633" priority="1313">
      <formula>OR($E24="토",$E24="일")</formula>
    </cfRule>
  </conditionalFormatting>
  <conditionalFormatting sqref="L24:M24">
    <cfRule type="expression" dxfId="1632" priority="1308">
      <formula>$D24=$A$2</formula>
    </cfRule>
  </conditionalFormatting>
  <conditionalFormatting sqref="L24:M24">
    <cfRule type="expression" dxfId="1631" priority="1309">
      <formula>($D24=$A$2)</formula>
    </cfRule>
    <cfRule type="expression" dxfId="1630" priority="1310">
      <formula>OR($E24="토",$E24="일")</formula>
    </cfRule>
  </conditionalFormatting>
  <conditionalFormatting sqref="L24:M24">
    <cfRule type="expression" dxfId="1629" priority="1305">
      <formula>$D24=$A$2</formula>
    </cfRule>
  </conditionalFormatting>
  <conditionalFormatting sqref="L24:M24">
    <cfRule type="expression" dxfId="1628" priority="1306">
      <formula>($D24=$A$2)</formula>
    </cfRule>
    <cfRule type="expression" dxfId="1627" priority="1307">
      <formula>OR($E24="토",$E24="일")</formula>
    </cfRule>
  </conditionalFormatting>
  <conditionalFormatting sqref="L24:M24">
    <cfRule type="expression" dxfId="1626" priority="1302">
      <formula>$D24=$A$2</formula>
    </cfRule>
  </conditionalFormatting>
  <conditionalFormatting sqref="L24:M24">
    <cfRule type="expression" dxfId="1625" priority="1303">
      <formula>($D24=$A$2)</formula>
    </cfRule>
    <cfRule type="expression" dxfId="1624" priority="1304">
      <formula>OR($E24="토",$E24="일")</formula>
    </cfRule>
  </conditionalFormatting>
  <conditionalFormatting sqref="J24:M24">
    <cfRule type="expression" dxfId="1623" priority="1299">
      <formula>$D24=$A$2</formula>
    </cfRule>
  </conditionalFormatting>
  <conditionalFormatting sqref="J24:M24">
    <cfRule type="expression" dxfId="1622" priority="1300">
      <formula>($D24=$A$2)</formula>
    </cfRule>
    <cfRule type="expression" dxfId="1621" priority="1301">
      <formula>OR($E24="토",$E24="일")</formula>
    </cfRule>
  </conditionalFormatting>
  <conditionalFormatting sqref="J24:M24">
    <cfRule type="expression" dxfId="1620" priority="1296">
      <formula>$D24=$A$2</formula>
    </cfRule>
  </conditionalFormatting>
  <conditionalFormatting sqref="J24:M24">
    <cfRule type="expression" dxfId="1619" priority="1297">
      <formula>($D24=$A$2)</formula>
    </cfRule>
    <cfRule type="expression" dxfId="1618" priority="1298">
      <formula>OR($E24="토",$E24="일")</formula>
    </cfRule>
  </conditionalFormatting>
  <conditionalFormatting sqref="L24:M24">
    <cfRule type="expression" dxfId="1617" priority="1293">
      <formula>$D24=$A$2</formula>
    </cfRule>
  </conditionalFormatting>
  <conditionalFormatting sqref="L24:M24">
    <cfRule type="expression" dxfId="1616" priority="1294">
      <formula>($D24=$A$2)</formula>
    </cfRule>
    <cfRule type="expression" dxfId="1615" priority="1295">
      <formula>OR($E24="토",$E24="일")</formula>
    </cfRule>
  </conditionalFormatting>
  <conditionalFormatting sqref="L24:M24">
    <cfRule type="expression" dxfId="1614" priority="1290">
      <formula>$D24=$A$2</formula>
    </cfRule>
  </conditionalFormatting>
  <conditionalFormatting sqref="L24:M24">
    <cfRule type="expression" dxfId="1613" priority="1291">
      <formula>($D24=$A$2)</formula>
    </cfRule>
    <cfRule type="expression" dxfId="1612" priority="1292">
      <formula>OR($E24="토",$E24="일")</formula>
    </cfRule>
  </conditionalFormatting>
  <conditionalFormatting sqref="L24:M24">
    <cfRule type="expression" dxfId="1611" priority="1287">
      <formula>$D24=$A$2</formula>
    </cfRule>
  </conditionalFormatting>
  <conditionalFormatting sqref="L24:M24">
    <cfRule type="expression" dxfId="1610" priority="1288">
      <formula>($D24=$A$2)</formula>
    </cfRule>
    <cfRule type="expression" dxfId="1609" priority="1289">
      <formula>OR($E24="토",$E24="일")</formula>
    </cfRule>
  </conditionalFormatting>
  <conditionalFormatting sqref="J24:M24">
    <cfRule type="expression" dxfId="1608" priority="1284">
      <formula>$D24=$A$2</formula>
    </cfRule>
  </conditionalFormatting>
  <conditionalFormatting sqref="J24:M24">
    <cfRule type="expression" dxfId="1607" priority="1285">
      <formula>($D24=$A$2)</formula>
    </cfRule>
    <cfRule type="expression" dxfId="1606" priority="1286">
      <formula>OR($E24="토",$E24="일")</formula>
    </cfRule>
  </conditionalFormatting>
  <conditionalFormatting sqref="L25:M25">
    <cfRule type="expression" dxfId="1605" priority="1281">
      <formula>$D25=$A$2</formula>
    </cfRule>
  </conditionalFormatting>
  <conditionalFormatting sqref="L25:M25">
    <cfRule type="expression" dxfId="1604" priority="1282">
      <formula>($D25=$A$2)</formula>
    </cfRule>
    <cfRule type="expression" dxfId="1603" priority="1283">
      <formula>OR($E25="토",$E25="일")</formula>
    </cfRule>
  </conditionalFormatting>
  <conditionalFormatting sqref="G23:H23">
    <cfRule type="expression" dxfId="1602" priority="1278">
      <formula>$D23=$A$2</formula>
    </cfRule>
  </conditionalFormatting>
  <conditionalFormatting sqref="G23:H23">
    <cfRule type="expression" dxfId="1601" priority="1279">
      <formula>($D23=$A$2)</formula>
    </cfRule>
    <cfRule type="expression" dxfId="1600" priority="1280">
      <formula>OR($E23="토",$E23="일")</formula>
    </cfRule>
  </conditionalFormatting>
  <conditionalFormatting sqref="J23:M23">
    <cfRule type="expression" dxfId="1599" priority="1275">
      <formula>$D23=$A$2</formula>
    </cfRule>
  </conditionalFormatting>
  <conditionalFormatting sqref="J23:M23">
    <cfRule type="expression" dxfId="1598" priority="1276">
      <formula>($D23=$A$2)</formula>
    </cfRule>
    <cfRule type="expression" dxfId="1597" priority="1277">
      <formula>OR($E23="토",$E23="일")</formula>
    </cfRule>
  </conditionalFormatting>
  <conditionalFormatting sqref="L25:M25">
    <cfRule type="expression" dxfId="1596" priority="1272">
      <formula>$D25=$A$2</formula>
    </cfRule>
  </conditionalFormatting>
  <conditionalFormatting sqref="L25:M25">
    <cfRule type="expression" dxfId="1595" priority="1273">
      <formula>($D25=$A$2)</formula>
    </cfRule>
    <cfRule type="expression" dxfId="1594" priority="1274">
      <formula>OR($E25="토",$E25="일")</formula>
    </cfRule>
  </conditionalFormatting>
  <conditionalFormatting sqref="L25:M25">
    <cfRule type="expression" dxfId="1593" priority="1269">
      <formula>$D25=$A$2</formula>
    </cfRule>
  </conditionalFormatting>
  <conditionalFormatting sqref="L25:M25">
    <cfRule type="expression" dxfId="1592" priority="1270">
      <formula>($D25=$A$2)</formula>
    </cfRule>
    <cfRule type="expression" dxfId="1591" priority="1271">
      <formula>OR($E25="토",$E25="일")</formula>
    </cfRule>
  </conditionalFormatting>
  <conditionalFormatting sqref="J25:M25">
    <cfRule type="expression" dxfId="1590" priority="1266">
      <formula>$D25=$A$2</formula>
    </cfRule>
  </conditionalFormatting>
  <conditionalFormatting sqref="J25:M25">
    <cfRule type="expression" dxfId="1589" priority="1267">
      <formula>($D25=$A$2)</formula>
    </cfRule>
    <cfRule type="expression" dxfId="1588" priority="1268">
      <formula>OR($E25="토",$E25="일")</formula>
    </cfRule>
  </conditionalFormatting>
  <conditionalFormatting sqref="G24:H24">
    <cfRule type="expression" dxfId="1587" priority="1263">
      <formula>$D24=$A$2</formula>
    </cfRule>
  </conditionalFormatting>
  <conditionalFormatting sqref="G24:H24">
    <cfRule type="expression" dxfId="1586" priority="1264">
      <formula>($D24=$A$2)</formula>
    </cfRule>
    <cfRule type="expression" dxfId="1585" priority="1265">
      <formula>OR($E24="토",$E24="일")</formula>
    </cfRule>
  </conditionalFormatting>
  <conditionalFormatting sqref="J24:M24">
    <cfRule type="expression" dxfId="1584" priority="1260">
      <formula>$D24=$A$2</formula>
    </cfRule>
  </conditionalFormatting>
  <conditionalFormatting sqref="J24:M24">
    <cfRule type="expression" dxfId="1583" priority="1261">
      <formula>($D24=$A$2)</formula>
    </cfRule>
    <cfRule type="expression" dxfId="1582" priority="1262">
      <formula>OR($E24="토",$E24="일")</formula>
    </cfRule>
  </conditionalFormatting>
  <conditionalFormatting sqref="J23:M23">
    <cfRule type="expression" dxfId="1581" priority="1257">
      <formula>$D23=$A$2</formula>
    </cfRule>
  </conditionalFormatting>
  <conditionalFormatting sqref="J23:M23">
    <cfRule type="expression" dxfId="1580" priority="1258">
      <formula>($D23=$A$2)</formula>
    </cfRule>
    <cfRule type="expression" dxfId="1579" priority="1259">
      <formula>OR($E23="토",$E23="일")</formula>
    </cfRule>
  </conditionalFormatting>
  <conditionalFormatting sqref="J23:M23">
    <cfRule type="expression" dxfId="1578" priority="1254">
      <formula>$D23=$A$2</formula>
    </cfRule>
  </conditionalFormatting>
  <conditionalFormatting sqref="J23:M23">
    <cfRule type="expression" dxfId="1577" priority="1255">
      <formula>($D23=$A$2)</formula>
    </cfRule>
    <cfRule type="expression" dxfId="1576" priority="1256">
      <formula>OR($E23="토",$E23="일")</formula>
    </cfRule>
  </conditionalFormatting>
  <conditionalFormatting sqref="J24:M24">
    <cfRule type="expression" dxfId="1575" priority="1251">
      <formula>$D24=$A$2</formula>
    </cfRule>
  </conditionalFormatting>
  <conditionalFormatting sqref="J24:M24">
    <cfRule type="expression" dxfId="1574" priority="1252">
      <formula>($D24=$A$2)</formula>
    </cfRule>
    <cfRule type="expression" dxfId="1573" priority="1253">
      <formula>OR($E24="토",$E24="일")</formula>
    </cfRule>
  </conditionalFormatting>
  <conditionalFormatting sqref="L23:M23">
    <cfRule type="expression" dxfId="1572" priority="1248">
      <formula>$D23=$A$2</formula>
    </cfRule>
  </conditionalFormatting>
  <conditionalFormatting sqref="L23:M23">
    <cfRule type="expression" dxfId="1571" priority="1249">
      <formula>($D23=$A$2)</formula>
    </cfRule>
    <cfRule type="expression" dxfId="1570" priority="1250">
      <formula>OR($E23="토",$E23="일")</formula>
    </cfRule>
  </conditionalFormatting>
  <conditionalFormatting sqref="J25:M25">
    <cfRule type="expression" dxfId="1569" priority="1245">
      <formula>$D25=$A$2</formula>
    </cfRule>
  </conditionalFormatting>
  <conditionalFormatting sqref="J25:M25">
    <cfRule type="expression" dxfId="1568" priority="1246">
      <formula>($D25=$A$2)</formula>
    </cfRule>
    <cfRule type="expression" dxfId="1567" priority="1247">
      <formula>OR($E25="토",$E25="일")</formula>
    </cfRule>
  </conditionalFormatting>
  <conditionalFormatting sqref="L24:M24">
    <cfRule type="expression" dxfId="1566" priority="1242">
      <formula>$D24=$A$2</formula>
    </cfRule>
  </conditionalFormatting>
  <conditionalFormatting sqref="L24:M24">
    <cfRule type="expression" dxfId="1565" priority="1243">
      <formula>($D24=$A$2)</formula>
    </cfRule>
    <cfRule type="expression" dxfId="1564" priority="1244">
      <formula>OR($E24="토",$E24="일")</formula>
    </cfRule>
  </conditionalFormatting>
  <conditionalFormatting sqref="L24:M24">
    <cfRule type="expression" dxfId="1563" priority="1239">
      <formula>$D24=$A$2</formula>
    </cfRule>
  </conditionalFormatting>
  <conditionalFormatting sqref="L24:M24">
    <cfRule type="expression" dxfId="1562" priority="1240">
      <formula>($D24=$A$2)</formula>
    </cfRule>
    <cfRule type="expression" dxfId="1561" priority="1241">
      <formula>OR($E24="토",$E24="일")</formula>
    </cfRule>
  </conditionalFormatting>
  <conditionalFormatting sqref="L24:M24">
    <cfRule type="expression" dxfId="1560" priority="1236">
      <formula>$D24=$A$2</formula>
    </cfRule>
  </conditionalFormatting>
  <conditionalFormatting sqref="L24:M24">
    <cfRule type="expression" dxfId="1559" priority="1237">
      <formula>($D24=$A$2)</formula>
    </cfRule>
    <cfRule type="expression" dxfId="1558" priority="1238">
      <formula>OR($E24="토",$E24="일")</formula>
    </cfRule>
  </conditionalFormatting>
  <conditionalFormatting sqref="J24:M24">
    <cfRule type="expression" dxfId="1557" priority="1233">
      <formula>$D24=$A$2</formula>
    </cfRule>
  </conditionalFormatting>
  <conditionalFormatting sqref="J24:M24">
    <cfRule type="expression" dxfId="1556" priority="1234">
      <formula>($D24=$A$2)</formula>
    </cfRule>
    <cfRule type="expression" dxfId="1555" priority="1235">
      <formula>OR($E24="토",$E24="일")</formula>
    </cfRule>
  </conditionalFormatting>
  <conditionalFormatting sqref="L25:M25">
    <cfRule type="expression" dxfId="1554" priority="1230">
      <formula>$D25=$A$2</formula>
    </cfRule>
  </conditionalFormatting>
  <conditionalFormatting sqref="L25:M25">
    <cfRule type="expression" dxfId="1553" priority="1231">
      <formula>($D25=$A$2)</formula>
    </cfRule>
    <cfRule type="expression" dxfId="1552" priority="1232">
      <formula>OR($E25="토",$E25="일")</formula>
    </cfRule>
  </conditionalFormatting>
  <conditionalFormatting sqref="L25:M25">
    <cfRule type="expression" dxfId="1551" priority="1227">
      <formula>$D25=$A$2</formula>
    </cfRule>
  </conditionalFormatting>
  <conditionalFormatting sqref="L25:M25">
    <cfRule type="expression" dxfId="1550" priority="1228">
      <formula>($D25=$A$2)</formula>
    </cfRule>
    <cfRule type="expression" dxfId="1549" priority="1229">
      <formula>OR($E25="토",$E25="일")</formula>
    </cfRule>
  </conditionalFormatting>
  <conditionalFormatting sqref="L25:M25">
    <cfRule type="expression" dxfId="1548" priority="1224">
      <formula>$D25=$A$2</formula>
    </cfRule>
  </conditionalFormatting>
  <conditionalFormatting sqref="L25:M25">
    <cfRule type="expression" dxfId="1547" priority="1225">
      <formula>($D25=$A$2)</formula>
    </cfRule>
    <cfRule type="expression" dxfId="1546" priority="1226">
      <formula>OR($E25="토",$E25="일")</formula>
    </cfRule>
  </conditionalFormatting>
  <conditionalFormatting sqref="J25:M25">
    <cfRule type="expression" dxfId="1545" priority="1221">
      <formula>$D25=$A$2</formula>
    </cfRule>
  </conditionalFormatting>
  <conditionalFormatting sqref="J25:M25">
    <cfRule type="expression" dxfId="1544" priority="1222">
      <formula>($D25=$A$2)</formula>
    </cfRule>
    <cfRule type="expression" dxfId="1543" priority="1223">
      <formula>OR($E25="토",$E25="일")</formula>
    </cfRule>
  </conditionalFormatting>
  <conditionalFormatting sqref="J24:M24">
    <cfRule type="expression" dxfId="1542" priority="1218">
      <formula>$D24=$A$2</formula>
    </cfRule>
  </conditionalFormatting>
  <conditionalFormatting sqref="J24:M24">
    <cfRule type="expression" dxfId="1541" priority="1219">
      <formula>($D24=$A$2)</formula>
    </cfRule>
    <cfRule type="expression" dxfId="1540" priority="1220">
      <formula>OR($E24="토",$E24="일")</formula>
    </cfRule>
  </conditionalFormatting>
  <conditionalFormatting sqref="L23:M23">
    <cfRule type="expression" dxfId="1539" priority="1215">
      <formula>$D23=$A$2</formula>
    </cfRule>
  </conditionalFormatting>
  <conditionalFormatting sqref="L23:M23">
    <cfRule type="expression" dxfId="1538" priority="1216">
      <formula>($D23=$A$2)</formula>
    </cfRule>
    <cfRule type="expression" dxfId="1537" priority="1217">
      <formula>OR($E23="토",$E23="일")</formula>
    </cfRule>
  </conditionalFormatting>
  <conditionalFormatting sqref="L23:M23">
    <cfRule type="expression" dxfId="1536" priority="1212">
      <formula>$D23=$A$2</formula>
    </cfRule>
  </conditionalFormatting>
  <conditionalFormatting sqref="L23:M23">
    <cfRule type="expression" dxfId="1535" priority="1213">
      <formula>($D23=$A$2)</formula>
    </cfRule>
    <cfRule type="expression" dxfId="1534" priority="1214">
      <formula>OR($E23="토",$E23="일")</formula>
    </cfRule>
  </conditionalFormatting>
  <conditionalFormatting sqref="L23:M23">
    <cfRule type="expression" dxfId="1533" priority="1209">
      <formula>$D23=$A$2</formula>
    </cfRule>
  </conditionalFormatting>
  <conditionalFormatting sqref="L23:M23">
    <cfRule type="expression" dxfId="1532" priority="1210">
      <formula>($D23=$A$2)</formula>
    </cfRule>
    <cfRule type="expression" dxfId="1531" priority="1211">
      <formula>OR($E23="토",$E23="일")</formula>
    </cfRule>
  </conditionalFormatting>
  <conditionalFormatting sqref="J23:M23">
    <cfRule type="expression" dxfId="1530" priority="1206">
      <formula>$D23=$A$2</formula>
    </cfRule>
  </conditionalFormatting>
  <conditionalFormatting sqref="J23:M23">
    <cfRule type="expression" dxfId="1529" priority="1207">
      <formula>($D23=$A$2)</formula>
    </cfRule>
    <cfRule type="expression" dxfId="1528" priority="1208">
      <formula>OR($E23="토",$E23="일")</formula>
    </cfRule>
  </conditionalFormatting>
  <conditionalFormatting sqref="J23:M23">
    <cfRule type="expression" dxfId="1527" priority="1203">
      <formula>$D23=$A$2</formula>
    </cfRule>
  </conditionalFormatting>
  <conditionalFormatting sqref="J23:M23">
    <cfRule type="expression" dxfId="1526" priority="1204">
      <formula>($D23=$A$2)</formula>
    </cfRule>
    <cfRule type="expression" dxfId="1525" priority="1205">
      <formula>OR($E23="토",$E23="일")</formula>
    </cfRule>
  </conditionalFormatting>
  <conditionalFormatting sqref="L23:M23">
    <cfRule type="expression" dxfId="1524" priority="1200">
      <formula>$D23=$A$2</formula>
    </cfRule>
  </conditionalFormatting>
  <conditionalFormatting sqref="L23:M23">
    <cfRule type="expression" dxfId="1523" priority="1201">
      <formula>($D23=$A$2)</formula>
    </cfRule>
    <cfRule type="expression" dxfId="1522" priority="1202">
      <formula>OR($E23="토",$E23="일")</formula>
    </cfRule>
  </conditionalFormatting>
  <conditionalFormatting sqref="L23:M23">
    <cfRule type="expression" dxfId="1521" priority="1197">
      <formula>$D23=$A$2</formula>
    </cfRule>
  </conditionalFormatting>
  <conditionalFormatting sqref="L23:M23">
    <cfRule type="expression" dxfId="1520" priority="1198">
      <formula>($D23=$A$2)</formula>
    </cfRule>
    <cfRule type="expression" dxfId="1519" priority="1199">
      <formula>OR($E23="토",$E23="일")</formula>
    </cfRule>
  </conditionalFormatting>
  <conditionalFormatting sqref="L23:M23">
    <cfRule type="expression" dxfId="1518" priority="1194">
      <formula>$D23=$A$2</formula>
    </cfRule>
  </conditionalFormatting>
  <conditionalFormatting sqref="L23:M23">
    <cfRule type="expression" dxfId="1517" priority="1195">
      <formula>($D23=$A$2)</formula>
    </cfRule>
    <cfRule type="expression" dxfId="1516" priority="1196">
      <formula>OR($E23="토",$E23="일")</formula>
    </cfRule>
  </conditionalFormatting>
  <conditionalFormatting sqref="J23:M23">
    <cfRule type="expression" dxfId="1515" priority="1191">
      <formula>$D23=$A$2</formula>
    </cfRule>
  </conditionalFormatting>
  <conditionalFormatting sqref="J23:M23">
    <cfRule type="expression" dxfId="1514" priority="1192">
      <formula>($D23=$A$2)</formula>
    </cfRule>
    <cfRule type="expression" dxfId="1513" priority="1193">
      <formula>OR($E23="토",$E23="일")</formula>
    </cfRule>
  </conditionalFormatting>
  <conditionalFormatting sqref="L24:M24">
    <cfRule type="expression" dxfId="1512" priority="1188">
      <formula>$D24=$A$2</formula>
    </cfRule>
  </conditionalFormatting>
  <conditionalFormatting sqref="L24:M24">
    <cfRule type="expression" dxfId="1511" priority="1189">
      <formula>($D24=$A$2)</formula>
    </cfRule>
    <cfRule type="expression" dxfId="1510" priority="1190">
      <formula>OR($E24="토",$E24="일")</formula>
    </cfRule>
  </conditionalFormatting>
  <conditionalFormatting sqref="L24:M24">
    <cfRule type="expression" dxfId="1509" priority="1185">
      <formula>$D24=$A$2</formula>
    </cfRule>
  </conditionalFormatting>
  <conditionalFormatting sqref="L24:M24">
    <cfRule type="expression" dxfId="1508" priority="1186">
      <formula>($D24=$A$2)</formula>
    </cfRule>
    <cfRule type="expression" dxfId="1507" priority="1187">
      <formula>OR($E24="토",$E24="일")</formula>
    </cfRule>
  </conditionalFormatting>
  <conditionalFormatting sqref="L24:M24">
    <cfRule type="expression" dxfId="1506" priority="1182">
      <formula>$D24=$A$2</formula>
    </cfRule>
  </conditionalFormatting>
  <conditionalFormatting sqref="L24:M24">
    <cfRule type="expression" dxfId="1505" priority="1183">
      <formula>($D24=$A$2)</formula>
    </cfRule>
    <cfRule type="expression" dxfId="1504" priority="1184">
      <formula>OR($E24="토",$E24="일")</formula>
    </cfRule>
  </conditionalFormatting>
  <conditionalFormatting sqref="L24:M24">
    <cfRule type="expression" dxfId="1503" priority="1179">
      <formula>$D24=$A$2</formula>
    </cfRule>
  </conditionalFormatting>
  <conditionalFormatting sqref="L24:M24">
    <cfRule type="expression" dxfId="1502" priority="1180">
      <formula>($D24=$A$2)</formula>
    </cfRule>
    <cfRule type="expression" dxfId="1501" priority="1181">
      <formula>OR($E24="토",$E24="일")</formula>
    </cfRule>
  </conditionalFormatting>
  <conditionalFormatting sqref="L24:M24">
    <cfRule type="expression" dxfId="1500" priority="1176">
      <formula>$D24=$A$2</formula>
    </cfRule>
  </conditionalFormatting>
  <conditionalFormatting sqref="L24:M24">
    <cfRule type="expression" dxfId="1499" priority="1177">
      <formula>($D24=$A$2)</formula>
    </cfRule>
    <cfRule type="expression" dxfId="1498" priority="1178">
      <formula>OR($E24="토",$E24="일")</formula>
    </cfRule>
  </conditionalFormatting>
  <conditionalFormatting sqref="J24:M24">
    <cfRule type="expression" dxfId="1497" priority="1173">
      <formula>$D24=$A$2</formula>
    </cfRule>
  </conditionalFormatting>
  <conditionalFormatting sqref="J24:M24">
    <cfRule type="expression" dxfId="1496" priority="1174">
      <formula>($D24=$A$2)</formula>
    </cfRule>
    <cfRule type="expression" dxfId="1495" priority="1175">
      <formula>OR($E24="토",$E24="일")</formula>
    </cfRule>
  </conditionalFormatting>
  <conditionalFormatting sqref="J24:M24">
    <cfRule type="expression" dxfId="1494" priority="1170">
      <formula>$D24=$A$2</formula>
    </cfRule>
  </conditionalFormatting>
  <conditionalFormatting sqref="J24:M24">
    <cfRule type="expression" dxfId="1493" priority="1171">
      <formula>($D24=$A$2)</formula>
    </cfRule>
    <cfRule type="expression" dxfId="1492" priority="1172">
      <formula>OR($E24="토",$E24="일")</formula>
    </cfRule>
  </conditionalFormatting>
  <conditionalFormatting sqref="L24:M24">
    <cfRule type="expression" dxfId="1491" priority="1167">
      <formula>$D24=$A$2</formula>
    </cfRule>
  </conditionalFormatting>
  <conditionalFormatting sqref="L24:M24">
    <cfRule type="expression" dxfId="1490" priority="1168">
      <formula>($D24=$A$2)</formula>
    </cfRule>
    <cfRule type="expression" dxfId="1489" priority="1169">
      <formula>OR($E24="토",$E24="일")</formula>
    </cfRule>
  </conditionalFormatting>
  <conditionalFormatting sqref="L24:M24">
    <cfRule type="expression" dxfId="1488" priority="1164">
      <formula>$D24=$A$2</formula>
    </cfRule>
  </conditionalFormatting>
  <conditionalFormatting sqref="L24:M24">
    <cfRule type="expression" dxfId="1487" priority="1165">
      <formula>($D24=$A$2)</formula>
    </cfRule>
    <cfRule type="expression" dxfId="1486" priority="1166">
      <formula>OR($E24="토",$E24="일")</formula>
    </cfRule>
  </conditionalFormatting>
  <conditionalFormatting sqref="L24:M24">
    <cfRule type="expression" dxfId="1485" priority="1161">
      <formula>$D24=$A$2</formula>
    </cfRule>
  </conditionalFormatting>
  <conditionalFormatting sqref="L24:M24">
    <cfRule type="expression" dxfId="1484" priority="1162">
      <formula>($D24=$A$2)</formula>
    </cfRule>
    <cfRule type="expression" dxfId="1483" priority="1163">
      <formula>OR($E24="토",$E24="일")</formula>
    </cfRule>
  </conditionalFormatting>
  <conditionalFormatting sqref="J24:M24">
    <cfRule type="expression" dxfId="1482" priority="1158">
      <formula>$D24=$A$2</formula>
    </cfRule>
  </conditionalFormatting>
  <conditionalFormatting sqref="J24:M24">
    <cfRule type="expression" dxfId="1481" priority="1159">
      <formula>($D24=$A$2)</formula>
    </cfRule>
    <cfRule type="expression" dxfId="1480" priority="1160">
      <formula>OR($E24="토",$E24="일")</formula>
    </cfRule>
  </conditionalFormatting>
  <conditionalFormatting sqref="L25:M25">
    <cfRule type="expression" dxfId="1479" priority="1155">
      <formula>$D25=$A$2</formula>
    </cfRule>
  </conditionalFormatting>
  <conditionalFormatting sqref="L25:M25">
    <cfRule type="expression" dxfId="1478" priority="1156">
      <formula>($D25=$A$2)</formula>
    </cfRule>
    <cfRule type="expression" dxfId="1477" priority="1157">
      <formula>OR($E25="토",$E25="일")</formula>
    </cfRule>
  </conditionalFormatting>
  <conditionalFormatting sqref="G23:H23">
    <cfRule type="expression" dxfId="1476" priority="1152">
      <formula>$D23=$A$2</formula>
    </cfRule>
  </conditionalFormatting>
  <conditionalFormatting sqref="G23:H23">
    <cfRule type="expression" dxfId="1475" priority="1153">
      <formula>($D23=$A$2)</formula>
    </cfRule>
    <cfRule type="expression" dxfId="1474" priority="1154">
      <formula>OR($E23="토",$E23="일")</formula>
    </cfRule>
  </conditionalFormatting>
  <conditionalFormatting sqref="J23:M23">
    <cfRule type="expression" dxfId="1473" priority="1149">
      <formula>$D23=$A$2</formula>
    </cfRule>
  </conditionalFormatting>
  <conditionalFormatting sqref="J23:M23">
    <cfRule type="expression" dxfId="1472" priority="1150">
      <formula>($D23=$A$2)</formula>
    </cfRule>
    <cfRule type="expression" dxfId="1471" priority="1151">
      <formula>OR($E23="토",$E23="일")</formula>
    </cfRule>
  </conditionalFormatting>
  <conditionalFormatting sqref="L25:M25">
    <cfRule type="expression" dxfId="1470" priority="1146">
      <formula>$D25=$A$2</formula>
    </cfRule>
  </conditionalFormatting>
  <conditionalFormatting sqref="L25:M25">
    <cfRule type="expression" dxfId="1469" priority="1147">
      <formula>($D25=$A$2)</formula>
    </cfRule>
    <cfRule type="expression" dxfId="1468" priority="1148">
      <formula>OR($E25="토",$E25="일")</formula>
    </cfRule>
  </conditionalFormatting>
  <conditionalFormatting sqref="L25:M25">
    <cfRule type="expression" dxfId="1467" priority="1143">
      <formula>$D25=$A$2</formula>
    </cfRule>
  </conditionalFormatting>
  <conditionalFormatting sqref="L25:M25">
    <cfRule type="expression" dxfId="1466" priority="1144">
      <formula>($D25=$A$2)</formula>
    </cfRule>
    <cfRule type="expression" dxfId="1465" priority="1145">
      <formula>OR($E25="토",$E25="일")</formula>
    </cfRule>
  </conditionalFormatting>
  <conditionalFormatting sqref="J25:M25">
    <cfRule type="expression" dxfId="1464" priority="1140">
      <formula>$D25=$A$2</formula>
    </cfRule>
  </conditionalFormatting>
  <conditionalFormatting sqref="J25:M25">
    <cfRule type="expression" dxfId="1463" priority="1141">
      <formula>($D25=$A$2)</formula>
    </cfRule>
    <cfRule type="expression" dxfId="1462" priority="1142">
      <formula>OR($E25="토",$E25="일")</formula>
    </cfRule>
  </conditionalFormatting>
  <conditionalFormatting sqref="G24:H24">
    <cfRule type="expression" dxfId="1461" priority="1137">
      <formula>$D24=$A$2</formula>
    </cfRule>
  </conditionalFormatting>
  <conditionalFormatting sqref="G24:H24">
    <cfRule type="expression" dxfId="1460" priority="1138">
      <formula>($D24=$A$2)</formula>
    </cfRule>
    <cfRule type="expression" dxfId="1459" priority="1139">
      <formula>OR($E24="토",$E24="일")</formula>
    </cfRule>
  </conditionalFormatting>
  <conditionalFormatting sqref="J24:M24">
    <cfRule type="expression" dxfId="1458" priority="1134">
      <formula>$D24=$A$2</formula>
    </cfRule>
  </conditionalFormatting>
  <conditionalFormatting sqref="J24:M24">
    <cfRule type="expression" dxfId="1457" priority="1135">
      <formula>($D24=$A$2)</formula>
    </cfRule>
    <cfRule type="expression" dxfId="1456" priority="1136">
      <formula>OR($E24="토",$E24="일")</formula>
    </cfRule>
  </conditionalFormatting>
  <conditionalFormatting sqref="J23:M23">
    <cfRule type="expression" dxfId="1455" priority="1131">
      <formula>$D23=$A$2</formula>
    </cfRule>
  </conditionalFormatting>
  <conditionalFormatting sqref="J23:M23">
    <cfRule type="expression" dxfId="1454" priority="1132">
      <formula>($D23=$A$2)</formula>
    </cfRule>
    <cfRule type="expression" dxfId="1453" priority="1133">
      <formula>OR($E23="토",$E23="일")</formula>
    </cfRule>
  </conditionalFormatting>
  <conditionalFormatting sqref="J23:M23">
    <cfRule type="expression" dxfId="1452" priority="1128">
      <formula>$D23=$A$2</formula>
    </cfRule>
  </conditionalFormatting>
  <conditionalFormatting sqref="J23:M23">
    <cfRule type="expression" dxfId="1451" priority="1129">
      <formula>($D23=$A$2)</formula>
    </cfRule>
    <cfRule type="expression" dxfId="1450" priority="1130">
      <formula>OR($E23="토",$E23="일")</formula>
    </cfRule>
  </conditionalFormatting>
  <conditionalFormatting sqref="J24:M24">
    <cfRule type="expression" dxfId="1449" priority="1125">
      <formula>$D24=$A$2</formula>
    </cfRule>
  </conditionalFormatting>
  <conditionalFormatting sqref="J24:M24">
    <cfRule type="expression" dxfId="1448" priority="1126">
      <formula>($D24=$A$2)</formula>
    </cfRule>
    <cfRule type="expression" dxfId="1447" priority="1127">
      <formula>OR($E24="토",$E24="일")</formula>
    </cfRule>
  </conditionalFormatting>
  <conditionalFormatting sqref="L23:M23">
    <cfRule type="expression" dxfId="1446" priority="1122">
      <formula>$D23=$A$2</formula>
    </cfRule>
  </conditionalFormatting>
  <conditionalFormatting sqref="L23:M23">
    <cfRule type="expression" dxfId="1445" priority="1123">
      <formula>($D23=$A$2)</formula>
    </cfRule>
    <cfRule type="expression" dxfId="1444" priority="1124">
      <formula>OR($E23="토",$E23="일")</formula>
    </cfRule>
  </conditionalFormatting>
  <conditionalFormatting sqref="J25:M25">
    <cfRule type="expression" dxfId="1443" priority="1119">
      <formula>$D25=$A$2</formula>
    </cfRule>
  </conditionalFormatting>
  <conditionalFormatting sqref="J25:M25">
    <cfRule type="expression" dxfId="1442" priority="1120">
      <formula>($D25=$A$2)</formula>
    </cfRule>
    <cfRule type="expression" dxfId="1441" priority="1121">
      <formula>OR($E25="토",$E25="일")</formula>
    </cfRule>
  </conditionalFormatting>
  <conditionalFormatting sqref="L24:M24">
    <cfRule type="expression" dxfId="1440" priority="1116">
      <formula>$D24=$A$2</formula>
    </cfRule>
  </conditionalFormatting>
  <conditionalFormatting sqref="L24:M24">
    <cfRule type="expression" dxfId="1439" priority="1117">
      <formula>($D24=$A$2)</formula>
    </cfRule>
    <cfRule type="expression" dxfId="1438" priority="1118">
      <formula>OR($E24="토",$E24="일")</formula>
    </cfRule>
  </conditionalFormatting>
  <conditionalFormatting sqref="L24:M24">
    <cfRule type="expression" dxfId="1437" priority="1113">
      <formula>$D24=$A$2</formula>
    </cfRule>
  </conditionalFormatting>
  <conditionalFormatting sqref="L24:M24">
    <cfRule type="expression" dxfId="1436" priority="1114">
      <formula>($D24=$A$2)</formula>
    </cfRule>
    <cfRule type="expression" dxfId="1435" priority="1115">
      <formula>OR($E24="토",$E24="일")</formula>
    </cfRule>
  </conditionalFormatting>
  <conditionalFormatting sqref="L24:M24">
    <cfRule type="expression" dxfId="1434" priority="1110">
      <formula>$D24=$A$2</formula>
    </cfRule>
  </conditionalFormatting>
  <conditionalFormatting sqref="L24:M24">
    <cfRule type="expression" dxfId="1433" priority="1111">
      <formula>($D24=$A$2)</formula>
    </cfRule>
    <cfRule type="expression" dxfId="1432" priority="1112">
      <formula>OR($E24="토",$E24="일")</formula>
    </cfRule>
  </conditionalFormatting>
  <conditionalFormatting sqref="J24:M24">
    <cfRule type="expression" dxfId="1431" priority="1107">
      <formula>$D24=$A$2</formula>
    </cfRule>
  </conditionalFormatting>
  <conditionalFormatting sqref="J24:M24">
    <cfRule type="expression" dxfId="1430" priority="1108">
      <formula>($D24=$A$2)</formula>
    </cfRule>
    <cfRule type="expression" dxfId="1429" priority="1109">
      <formula>OR($E24="토",$E24="일")</formula>
    </cfRule>
  </conditionalFormatting>
  <conditionalFormatting sqref="L25:M25">
    <cfRule type="expression" dxfId="1428" priority="1104">
      <formula>$D25=$A$2</formula>
    </cfRule>
  </conditionalFormatting>
  <conditionalFormatting sqref="L25:M25">
    <cfRule type="expression" dxfId="1427" priority="1105">
      <formula>($D25=$A$2)</formula>
    </cfRule>
    <cfRule type="expression" dxfId="1426" priority="1106">
      <formula>OR($E25="토",$E25="일")</formula>
    </cfRule>
  </conditionalFormatting>
  <conditionalFormatting sqref="L25:M25">
    <cfRule type="expression" dxfId="1425" priority="1101">
      <formula>$D25=$A$2</formula>
    </cfRule>
  </conditionalFormatting>
  <conditionalFormatting sqref="L25:M25">
    <cfRule type="expression" dxfId="1424" priority="1102">
      <formula>($D25=$A$2)</formula>
    </cfRule>
    <cfRule type="expression" dxfId="1423" priority="1103">
      <formula>OR($E25="토",$E25="일")</formula>
    </cfRule>
  </conditionalFormatting>
  <conditionalFormatting sqref="L25:M25">
    <cfRule type="expression" dxfId="1422" priority="1098">
      <formula>$D25=$A$2</formula>
    </cfRule>
  </conditionalFormatting>
  <conditionalFormatting sqref="L25:M25">
    <cfRule type="expression" dxfId="1421" priority="1099">
      <formula>($D25=$A$2)</formula>
    </cfRule>
    <cfRule type="expression" dxfId="1420" priority="1100">
      <formula>OR($E25="토",$E25="일")</formula>
    </cfRule>
  </conditionalFormatting>
  <conditionalFormatting sqref="J25:M25">
    <cfRule type="expression" dxfId="1419" priority="1095">
      <formula>$D25=$A$2</formula>
    </cfRule>
  </conditionalFormatting>
  <conditionalFormatting sqref="J25:M25">
    <cfRule type="expression" dxfId="1418" priority="1096">
      <formula>($D25=$A$2)</formula>
    </cfRule>
    <cfRule type="expression" dxfId="1417" priority="1097">
      <formula>OR($E25="토",$E25="일")</formula>
    </cfRule>
  </conditionalFormatting>
  <conditionalFormatting sqref="J24:M24">
    <cfRule type="expression" dxfId="1416" priority="1092">
      <formula>$D24=$A$2</formula>
    </cfRule>
  </conditionalFormatting>
  <conditionalFormatting sqref="J24:M24">
    <cfRule type="expression" dxfId="1415" priority="1093">
      <formula>($D24=$A$2)</formula>
    </cfRule>
    <cfRule type="expression" dxfId="1414" priority="1094">
      <formula>OR($E24="토",$E24="일")</formula>
    </cfRule>
  </conditionalFormatting>
  <conditionalFormatting sqref="L24:M24">
    <cfRule type="expression" dxfId="1413" priority="1089">
      <formula>$D24=$A$2</formula>
    </cfRule>
  </conditionalFormatting>
  <conditionalFormatting sqref="L24:M24">
    <cfRule type="expression" dxfId="1412" priority="1090">
      <formula>($D24=$A$2)</formula>
    </cfRule>
    <cfRule type="expression" dxfId="1411" priority="1091">
      <formula>OR($E24="토",$E24="일")</formula>
    </cfRule>
  </conditionalFormatting>
  <conditionalFormatting sqref="L24:M24">
    <cfRule type="expression" dxfId="1410" priority="1086">
      <formula>$D24=$A$2</formula>
    </cfRule>
  </conditionalFormatting>
  <conditionalFormatting sqref="L24:M24">
    <cfRule type="expression" dxfId="1409" priority="1087">
      <formula>($D24=$A$2)</formula>
    </cfRule>
    <cfRule type="expression" dxfId="1408" priority="1088">
      <formula>OR($E24="토",$E24="일")</formula>
    </cfRule>
  </conditionalFormatting>
  <conditionalFormatting sqref="L24:M24">
    <cfRule type="expression" dxfId="1407" priority="1083">
      <formula>$D24=$A$2</formula>
    </cfRule>
  </conditionalFormatting>
  <conditionalFormatting sqref="L24:M24">
    <cfRule type="expression" dxfId="1406" priority="1084">
      <formula>($D24=$A$2)</formula>
    </cfRule>
    <cfRule type="expression" dxfId="1405" priority="1085">
      <formula>OR($E24="토",$E24="일")</formula>
    </cfRule>
  </conditionalFormatting>
  <conditionalFormatting sqref="J24:M24">
    <cfRule type="expression" dxfId="1404" priority="1080">
      <formula>$D24=$A$2</formula>
    </cfRule>
  </conditionalFormatting>
  <conditionalFormatting sqref="J24:M24">
    <cfRule type="expression" dxfId="1403" priority="1081">
      <formula>($D24=$A$2)</formula>
    </cfRule>
    <cfRule type="expression" dxfId="1402" priority="1082">
      <formula>OR($E24="토",$E24="일")</formula>
    </cfRule>
  </conditionalFormatting>
  <conditionalFormatting sqref="G23:H23">
    <cfRule type="expression" dxfId="1401" priority="1077">
      <formula>$D23=$A$2</formula>
    </cfRule>
  </conditionalFormatting>
  <conditionalFormatting sqref="G23:H23">
    <cfRule type="expression" dxfId="1400" priority="1078">
      <formula>($D23=$A$2)</formula>
    </cfRule>
    <cfRule type="expression" dxfId="1399" priority="1079">
      <formula>OR($E23="토",$E23="일")</formula>
    </cfRule>
  </conditionalFormatting>
  <conditionalFormatting sqref="J23:M23">
    <cfRule type="expression" dxfId="1398" priority="1074">
      <formula>$D23=$A$2</formula>
    </cfRule>
  </conditionalFormatting>
  <conditionalFormatting sqref="J23:M23">
    <cfRule type="expression" dxfId="1397" priority="1075">
      <formula>($D23=$A$2)</formula>
    </cfRule>
    <cfRule type="expression" dxfId="1396" priority="1076">
      <formula>OR($E23="토",$E23="일")</formula>
    </cfRule>
  </conditionalFormatting>
  <conditionalFormatting sqref="J23:M23">
    <cfRule type="expression" dxfId="1395" priority="1071">
      <formula>$D23=$A$2</formula>
    </cfRule>
  </conditionalFormatting>
  <conditionalFormatting sqref="J23:M23">
    <cfRule type="expression" dxfId="1394" priority="1072">
      <formula>($D23=$A$2)</formula>
    </cfRule>
    <cfRule type="expression" dxfId="1393" priority="1073">
      <formula>OR($E23="토",$E23="일")</formula>
    </cfRule>
  </conditionalFormatting>
  <conditionalFormatting sqref="J24:M24">
    <cfRule type="expression" dxfId="1392" priority="1068">
      <formula>$D24=$A$2</formula>
    </cfRule>
  </conditionalFormatting>
  <conditionalFormatting sqref="J24:M24">
    <cfRule type="expression" dxfId="1391" priority="1069">
      <formula>($D24=$A$2)</formula>
    </cfRule>
    <cfRule type="expression" dxfId="1390" priority="1070">
      <formula>OR($E24="토",$E24="일")</formula>
    </cfRule>
  </conditionalFormatting>
  <conditionalFormatting sqref="L23:M23">
    <cfRule type="expression" dxfId="1389" priority="1065">
      <formula>$D23=$A$2</formula>
    </cfRule>
  </conditionalFormatting>
  <conditionalFormatting sqref="L23:M23">
    <cfRule type="expression" dxfId="1388" priority="1066">
      <formula>($D23=$A$2)</formula>
    </cfRule>
    <cfRule type="expression" dxfId="1387" priority="1067">
      <formula>OR($E23="토",$E23="일")</formula>
    </cfRule>
  </conditionalFormatting>
  <conditionalFormatting sqref="L23:M23">
    <cfRule type="expression" dxfId="1386" priority="1062">
      <formula>$D23=$A$2</formula>
    </cfRule>
  </conditionalFormatting>
  <conditionalFormatting sqref="L23:M23">
    <cfRule type="expression" dxfId="1385" priority="1063">
      <formula>($D23=$A$2)</formula>
    </cfRule>
    <cfRule type="expression" dxfId="1384" priority="1064">
      <formula>OR($E23="토",$E23="일")</formula>
    </cfRule>
  </conditionalFormatting>
  <conditionalFormatting sqref="L23:M23">
    <cfRule type="expression" dxfId="1383" priority="1059">
      <formula>$D23=$A$2</formula>
    </cfRule>
  </conditionalFormatting>
  <conditionalFormatting sqref="L23:M23">
    <cfRule type="expression" dxfId="1382" priority="1060">
      <formula>($D23=$A$2)</formula>
    </cfRule>
    <cfRule type="expression" dxfId="1381" priority="1061">
      <formula>OR($E23="토",$E23="일")</formula>
    </cfRule>
  </conditionalFormatting>
  <conditionalFormatting sqref="J23:M23">
    <cfRule type="expression" dxfId="1380" priority="1056">
      <formula>$D23=$A$2</formula>
    </cfRule>
  </conditionalFormatting>
  <conditionalFormatting sqref="J23:M23">
    <cfRule type="expression" dxfId="1379" priority="1057">
      <formula>($D23=$A$2)</formula>
    </cfRule>
    <cfRule type="expression" dxfId="1378" priority="1058">
      <formula>OR($E23="토",$E23="일")</formula>
    </cfRule>
  </conditionalFormatting>
  <conditionalFormatting sqref="L24:M24">
    <cfRule type="expression" dxfId="1377" priority="1053">
      <formula>$D24=$A$2</formula>
    </cfRule>
  </conditionalFormatting>
  <conditionalFormatting sqref="L24:M24">
    <cfRule type="expression" dxfId="1376" priority="1054">
      <formula>($D24=$A$2)</formula>
    </cfRule>
    <cfRule type="expression" dxfId="1375" priority="1055">
      <formula>OR($E24="토",$E24="일")</formula>
    </cfRule>
  </conditionalFormatting>
  <conditionalFormatting sqref="L24:M24">
    <cfRule type="expression" dxfId="1374" priority="1050">
      <formula>$D24=$A$2</formula>
    </cfRule>
  </conditionalFormatting>
  <conditionalFormatting sqref="L24:M24">
    <cfRule type="expression" dxfId="1373" priority="1051">
      <formula>($D24=$A$2)</formula>
    </cfRule>
    <cfRule type="expression" dxfId="1372" priority="1052">
      <formula>OR($E24="토",$E24="일")</formula>
    </cfRule>
  </conditionalFormatting>
  <conditionalFormatting sqref="L24:M24">
    <cfRule type="expression" dxfId="1371" priority="1047">
      <formula>$D24=$A$2</formula>
    </cfRule>
  </conditionalFormatting>
  <conditionalFormatting sqref="L24:M24">
    <cfRule type="expression" dxfId="1370" priority="1048">
      <formula>($D24=$A$2)</formula>
    </cfRule>
    <cfRule type="expression" dxfId="1369" priority="1049">
      <formula>OR($E24="토",$E24="일")</formula>
    </cfRule>
  </conditionalFormatting>
  <conditionalFormatting sqref="J24:M24">
    <cfRule type="expression" dxfId="1368" priority="1044">
      <formula>$D24=$A$2</formula>
    </cfRule>
  </conditionalFormatting>
  <conditionalFormatting sqref="J24:M24">
    <cfRule type="expression" dxfId="1367" priority="1045">
      <formula>($D24=$A$2)</formula>
    </cfRule>
    <cfRule type="expression" dxfId="1366" priority="1046">
      <formula>OR($E24="토",$E24="일")</formula>
    </cfRule>
  </conditionalFormatting>
  <conditionalFormatting sqref="J23:M23">
    <cfRule type="expression" dxfId="1365" priority="1041">
      <formula>$D23=$A$2</formula>
    </cfRule>
  </conditionalFormatting>
  <conditionalFormatting sqref="J23:M23">
    <cfRule type="expression" dxfId="1364" priority="1042">
      <formula>($D23=$A$2)</formula>
    </cfRule>
    <cfRule type="expression" dxfId="1363" priority="1043">
      <formula>OR($E23="토",$E23="일")</formula>
    </cfRule>
  </conditionalFormatting>
  <conditionalFormatting sqref="L25:M25">
    <cfRule type="expression" dxfId="1362" priority="1038">
      <formula>$D25=$A$2</formula>
    </cfRule>
  </conditionalFormatting>
  <conditionalFormatting sqref="L25:M25">
    <cfRule type="expression" dxfId="1361" priority="1039">
      <formula>($D25=$A$2)</formula>
    </cfRule>
    <cfRule type="expression" dxfId="1360" priority="1040">
      <formula>OR($E25="토",$E25="일")</formula>
    </cfRule>
  </conditionalFormatting>
  <conditionalFormatting sqref="L25:M25">
    <cfRule type="expression" dxfId="1359" priority="1035">
      <formula>$D25=$A$2</formula>
    </cfRule>
  </conditionalFormatting>
  <conditionalFormatting sqref="L25:M25">
    <cfRule type="expression" dxfId="1358" priority="1036">
      <formula>($D25=$A$2)</formula>
    </cfRule>
    <cfRule type="expression" dxfId="1357" priority="1037">
      <formula>OR($E25="토",$E25="일")</formula>
    </cfRule>
  </conditionalFormatting>
  <conditionalFormatting sqref="L25:M25">
    <cfRule type="expression" dxfId="1356" priority="1032">
      <formula>$D25=$A$2</formula>
    </cfRule>
  </conditionalFormatting>
  <conditionalFormatting sqref="L25:M25">
    <cfRule type="expression" dxfId="1355" priority="1033">
      <formula>($D25=$A$2)</formula>
    </cfRule>
    <cfRule type="expression" dxfId="1354" priority="1034">
      <formula>OR($E25="토",$E25="일")</formula>
    </cfRule>
  </conditionalFormatting>
  <conditionalFormatting sqref="L25:M25">
    <cfRule type="expression" dxfId="1353" priority="1029">
      <formula>$D25=$A$2</formula>
    </cfRule>
  </conditionalFormatting>
  <conditionalFormatting sqref="L25:M25">
    <cfRule type="expression" dxfId="1352" priority="1030">
      <formula>($D25=$A$2)</formula>
    </cfRule>
    <cfRule type="expression" dxfId="1351" priority="1031">
      <formula>OR($E25="토",$E25="일")</formula>
    </cfRule>
  </conditionalFormatting>
  <conditionalFormatting sqref="L25:M25">
    <cfRule type="expression" dxfId="1350" priority="1026">
      <formula>$D25=$A$2</formula>
    </cfRule>
  </conditionalFormatting>
  <conditionalFormatting sqref="L25:M25">
    <cfRule type="expression" dxfId="1349" priority="1027">
      <formula>($D25=$A$2)</formula>
    </cfRule>
    <cfRule type="expression" dxfId="1348" priority="1028">
      <formula>OR($E25="토",$E25="일")</formula>
    </cfRule>
  </conditionalFormatting>
  <conditionalFormatting sqref="J25:M25">
    <cfRule type="expression" dxfId="1347" priority="1023">
      <formula>$D25=$A$2</formula>
    </cfRule>
  </conditionalFormatting>
  <conditionalFormatting sqref="J25:M25">
    <cfRule type="expression" dxfId="1346" priority="1024">
      <formula>($D25=$A$2)</formula>
    </cfRule>
    <cfRule type="expression" dxfId="1345" priority="1025">
      <formula>OR($E25="토",$E25="일")</formula>
    </cfRule>
  </conditionalFormatting>
  <conditionalFormatting sqref="J25:M25">
    <cfRule type="expression" dxfId="1344" priority="1020">
      <formula>$D25=$A$2</formula>
    </cfRule>
  </conditionalFormatting>
  <conditionalFormatting sqref="J25:M25">
    <cfRule type="expression" dxfId="1343" priority="1021">
      <formula>($D25=$A$2)</formula>
    </cfRule>
    <cfRule type="expression" dxfId="1342" priority="1022">
      <formula>OR($E25="토",$E25="일")</formula>
    </cfRule>
  </conditionalFormatting>
  <conditionalFormatting sqref="L25:M25">
    <cfRule type="expression" dxfId="1341" priority="1017">
      <formula>$D25=$A$2</formula>
    </cfRule>
  </conditionalFormatting>
  <conditionalFormatting sqref="L25:M25">
    <cfRule type="expression" dxfId="1340" priority="1018">
      <formula>($D25=$A$2)</formula>
    </cfRule>
    <cfRule type="expression" dxfId="1339" priority="1019">
      <formula>OR($E25="토",$E25="일")</formula>
    </cfRule>
  </conditionalFormatting>
  <conditionalFormatting sqref="L25:M25">
    <cfRule type="expression" dxfId="1338" priority="1014">
      <formula>$D25=$A$2</formula>
    </cfRule>
  </conditionalFormatting>
  <conditionalFormatting sqref="L25:M25">
    <cfRule type="expression" dxfId="1337" priority="1015">
      <formula>($D25=$A$2)</formula>
    </cfRule>
    <cfRule type="expression" dxfId="1336" priority="1016">
      <formula>OR($E25="토",$E25="일")</formula>
    </cfRule>
  </conditionalFormatting>
  <conditionalFormatting sqref="L25:M25">
    <cfRule type="expression" dxfId="1335" priority="1011">
      <formula>$D25=$A$2</formula>
    </cfRule>
  </conditionalFormatting>
  <conditionalFormatting sqref="L25:M25">
    <cfRule type="expression" dxfId="1334" priority="1012">
      <formula>($D25=$A$2)</formula>
    </cfRule>
    <cfRule type="expression" dxfId="1333" priority="1013">
      <formula>OR($E25="토",$E25="일")</formula>
    </cfRule>
  </conditionalFormatting>
  <conditionalFormatting sqref="J25:M25">
    <cfRule type="expression" dxfId="1332" priority="1008">
      <formula>$D25=$A$2</formula>
    </cfRule>
  </conditionalFormatting>
  <conditionalFormatting sqref="J25:M25">
    <cfRule type="expression" dxfId="1331" priority="1009">
      <formula>($D25=$A$2)</formula>
    </cfRule>
    <cfRule type="expression" dxfId="1330" priority="1010">
      <formula>OR($E25="토",$E25="일")</formula>
    </cfRule>
  </conditionalFormatting>
  <conditionalFormatting sqref="G23:H23">
    <cfRule type="expression" dxfId="1329" priority="1005">
      <formula>$D23=$A$2</formula>
    </cfRule>
  </conditionalFormatting>
  <conditionalFormatting sqref="G23:H23">
    <cfRule type="expression" dxfId="1328" priority="1006">
      <formula>($D23=$A$2)</formula>
    </cfRule>
    <cfRule type="expression" dxfId="1327" priority="1007">
      <formula>OR($E23="토",$E23="일")</formula>
    </cfRule>
  </conditionalFormatting>
  <conditionalFormatting sqref="J23:M23">
    <cfRule type="expression" dxfId="1326" priority="1002">
      <formula>$D23=$A$2</formula>
    </cfRule>
  </conditionalFormatting>
  <conditionalFormatting sqref="J23:M23">
    <cfRule type="expression" dxfId="1325" priority="1003">
      <formula>($D23=$A$2)</formula>
    </cfRule>
    <cfRule type="expression" dxfId="1324" priority="1004">
      <formula>OR($E23="토",$E23="일")</formula>
    </cfRule>
  </conditionalFormatting>
  <conditionalFormatting sqref="J23:M23">
    <cfRule type="expression" dxfId="1323" priority="999">
      <formula>$D23=$A$2</formula>
    </cfRule>
  </conditionalFormatting>
  <conditionalFormatting sqref="J23:M23">
    <cfRule type="expression" dxfId="1322" priority="1000">
      <formula>($D23=$A$2)</formula>
    </cfRule>
    <cfRule type="expression" dxfId="1321" priority="1001">
      <formula>OR($E23="토",$E23="일")</formula>
    </cfRule>
  </conditionalFormatting>
  <conditionalFormatting sqref="G24:H24">
    <cfRule type="expression" dxfId="1320" priority="996">
      <formula>$D24=$A$2</formula>
    </cfRule>
  </conditionalFormatting>
  <conditionalFormatting sqref="G24:H24">
    <cfRule type="expression" dxfId="1319" priority="997">
      <formula>($D24=$A$2)</formula>
    </cfRule>
    <cfRule type="expression" dxfId="1318" priority="998">
      <formula>OR($E24="토",$E24="일")</formula>
    </cfRule>
  </conditionalFormatting>
  <conditionalFormatting sqref="G23:H23">
    <cfRule type="expression" dxfId="1317" priority="993">
      <formula>$D23=$A$2</formula>
    </cfRule>
  </conditionalFormatting>
  <conditionalFormatting sqref="G23:H23">
    <cfRule type="expression" dxfId="1316" priority="994">
      <formula>($D23=$A$2)</formula>
    </cfRule>
    <cfRule type="expression" dxfId="1315" priority="995">
      <formula>OR($E23="토",$E23="일")</formula>
    </cfRule>
  </conditionalFormatting>
  <conditionalFormatting sqref="J24:M24">
    <cfRule type="expression" dxfId="1314" priority="990">
      <formula>$D24=$A$2</formula>
    </cfRule>
  </conditionalFormatting>
  <conditionalFormatting sqref="J24:M24">
    <cfRule type="expression" dxfId="1313" priority="991">
      <formula>($D24=$A$2)</formula>
    </cfRule>
    <cfRule type="expression" dxfId="1312" priority="992">
      <formula>OR($E24="토",$E24="일")</formula>
    </cfRule>
  </conditionalFormatting>
  <conditionalFormatting sqref="L23:M23">
    <cfRule type="expression" dxfId="1311" priority="987">
      <formula>$D23=$A$2</formula>
    </cfRule>
  </conditionalFormatting>
  <conditionalFormatting sqref="L23:M23">
    <cfRule type="expression" dxfId="1310" priority="988">
      <formula>($D23=$A$2)</formula>
    </cfRule>
    <cfRule type="expression" dxfId="1309" priority="989">
      <formula>OR($E23="토",$E23="일")</formula>
    </cfRule>
  </conditionalFormatting>
  <conditionalFormatting sqref="G25:H25">
    <cfRule type="expression" dxfId="1308" priority="984">
      <formula>$D25=$A$2</formula>
    </cfRule>
  </conditionalFormatting>
  <conditionalFormatting sqref="G25:H25">
    <cfRule type="expression" dxfId="1307" priority="985">
      <formula>($D25=$A$2)</formula>
    </cfRule>
    <cfRule type="expression" dxfId="1306" priority="986">
      <formula>OR($E25="토",$E25="일")</formula>
    </cfRule>
  </conditionalFormatting>
  <conditionalFormatting sqref="J25:M25">
    <cfRule type="expression" dxfId="1305" priority="981">
      <formula>$D25=$A$2</formula>
    </cfRule>
  </conditionalFormatting>
  <conditionalFormatting sqref="J25:M25">
    <cfRule type="expression" dxfId="1304" priority="982">
      <formula>($D25=$A$2)</formula>
    </cfRule>
    <cfRule type="expression" dxfId="1303" priority="983">
      <formula>OR($E25="토",$E25="일")</formula>
    </cfRule>
  </conditionalFormatting>
  <conditionalFormatting sqref="J23:M23">
    <cfRule type="expression" dxfId="1302" priority="978">
      <formula>$D23=$A$2</formula>
    </cfRule>
  </conditionalFormatting>
  <conditionalFormatting sqref="J23:M23">
    <cfRule type="expression" dxfId="1301" priority="979">
      <formula>($D23=$A$2)</formula>
    </cfRule>
    <cfRule type="expression" dxfId="1300" priority="980">
      <formula>OR($E23="토",$E23="일")</formula>
    </cfRule>
  </conditionalFormatting>
  <conditionalFormatting sqref="J24:M24">
    <cfRule type="expression" dxfId="1299" priority="975">
      <formula>$D24=$A$2</formula>
    </cfRule>
  </conditionalFormatting>
  <conditionalFormatting sqref="J24:M24">
    <cfRule type="expression" dxfId="1298" priority="976">
      <formula>($D24=$A$2)</formula>
    </cfRule>
    <cfRule type="expression" dxfId="1297" priority="977">
      <formula>OR($E24="토",$E24="일")</formula>
    </cfRule>
  </conditionalFormatting>
  <conditionalFormatting sqref="L23:M23">
    <cfRule type="expression" dxfId="1296" priority="972">
      <formula>$D23=$A$2</formula>
    </cfRule>
  </conditionalFormatting>
  <conditionalFormatting sqref="L23:M23">
    <cfRule type="expression" dxfId="1295" priority="973">
      <formula>($D23=$A$2)</formula>
    </cfRule>
    <cfRule type="expression" dxfId="1294" priority="974">
      <formula>OR($E23="토",$E23="일")</formula>
    </cfRule>
  </conditionalFormatting>
  <conditionalFormatting sqref="J24:M24">
    <cfRule type="expression" dxfId="1293" priority="969">
      <formula>$D24=$A$2</formula>
    </cfRule>
  </conditionalFormatting>
  <conditionalFormatting sqref="J24:M24">
    <cfRule type="expression" dxfId="1292" priority="970">
      <formula>($D24=$A$2)</formula>
    </cfRule>
    <cfRule type="expression" dxfId="1291" priority="971">
      <formula>OR($E24="토",$E24="일")</formula>
    </cfRule>
  </conditionalFormatting>
  <conditionalFormatting sqref="J25:M25">
    <cfRule type="expression" dxfId="1290" priority="966">
      <formula>$D25=$A$2</formula>
    </cfRule>
  </conditionalFormatting>
  <conditionalFormatting sqref="J25:M25">
    <cfRule type="expression" dxfId="1289" priority="967">
      <formula>($D25=$A$2)</formula>
    </cfRule>
    <cfRule type="expression" dxfId="1288" priority="968">
      <formula>OR($E25="토",$E25="일")</formula>
    </cfRule>
  </conditionalFormatting>
  <conditionalFormatting sqref="L24:M24">
    <cfRule type="expression" dxfId="1287" priority="963">
      <formula>$D24=$A$2</formula>
    </cfRule>
  </conditionalFormatting>
  <conditionalFormatting sqref="L24:M24">
    <cfRule type="expression" dxfId="1286" priority="964">
      <formula>($D24=$A$2)</formula>
    </cfRule>
    <cfRule type="expression" dxfId="1285" priority="965">
      <formula>OR($E24="토",$E24="일")</formula>
    </cfRule>
  </conditionalFormatting>
  <conditionalFormatting sqref="L25:M25">
    <cfRule type="expression" dxfId="1284" priority="960">
      <formula>$D25=$A$2</formula>
    </cfRule>
  </conditionalFormatting>
  <conditionalFormatting sqref="L25:M25">
    <cfRule type="expression" dxfId="1283" priority="961">
      <formula>($D25=$A$2)</formula>
    </cfRule>
    <cfRule type="expression" dxfId="1282" priority="962">
      <formula>OR($E25="토",$E25="일")</formula>
    </cfRule>
  </conditionalFormatting>
  <conditionalFormatting sqref="L25:M25">
    <cfRule type="expression" dxfId="1281" priority="957">
      <formula>$D25=$A$2</formula>
    </cfRule>
  </conditionalFormatting>
  <conditionalFormatting sqref="L25:M25">
    <cfRule type="expression" dxfId="1280" priority="958">
      <formula>($D25=$A$2)</formula>
    </cfRule>
    <cfRule type="expression" dxfId="1279" priority="959">
      <formula>OR($E25="토",$E25="일")</formula>
    </cfRule>
  </conditionalFormatting>
  <conditionalFormatting sqref="L25:M25">
    <cfRule type="expression" dxfId="1278" priority="954">
      <formula>$D25=$A$2</formula>
    </cfRule>
  </conditionalFormatting>
  <conditionalFormatting sqref="L25:M25">
    <cfRule type="expression" dxfId="1277" priority="955">
      <formula>($D25=$A$2)</formula>
    </cfRule>
    <cfRule type="expression" dxfId="1276" priority="956">
      <formula>OR($E25="토",$E25="일")</formula>
    </cfRule>
  </conditionalFormatting>
  <conditionalFormatting sqref="J25:M25">
    <cfRule type="expression" dxfId="1275" priority="951">
      <formula>$D25=$A$2</formula>
    </cfRule>
  </conditionalFormatting>
  <conditionalFormatting sqref="J25:M25">
    <cfRule type="expression" dxfId="1274" priority="952">
      <formula>($D25=$A$2)</formula>
    </cfRule>
    <cfRule type="expression" dxfId="1273" priority="953">
      <formula>OR($E25="토",$E25="일")</formula>
    </cfRule>
  </conditionalFormatting>
  <conditionalFormatting sqref="J25:M25">
    <cfRule type="expression" dxfId="1272" priority="948">
      <formula>$D25=$A$2</formula>
    </cfRule>
  </conditionalFormatting>
  <conditionalFormatting sqref="J25:M25">
    <cfRule type="expression" dxfId="1271" priority="949">
      <formula>($D25=$A$2)</formula>
    </cfRule>
    <cfRule type="expression" dxfId="1270" priority="950">
      <formula>OR($E25="토",$E25="일")</formula>
    </cfRule>
  </conditionalFormatting>
  <conditionalFormatting sqref="L26:M26">
    <cfRule type="expression" dxfId="1269" priority="945">
      <formula>$D26=$A$2</formula>
    </cfRule>
  </conditionalFormatting>
  <conditionalFormatting sqref="L26:M26">
    <cfRule type="expression" dxfId="1268" priority="946">
      <formula>($D26=$A$2)</formula>
    </cfRule>
    <cfRule type="expression" dxfId="1267" priority="947">
      <formula>OR($E26="토",$E26="일")</formula>
    </cfRule>
  </conditionalFormatting>
  <conditionalFormatting sqref="L26:M26">
    <cfRule type="expression" dxfId="1266" priority="942">
      <formula>$D26=$A$2</formula>
    </cfRule>
  </conditionalFormatting>
  <conditionalFormatting sqref="L26:M26">
    <cfRule type="expression" dxfId="1265" priority="943">
      <formula>($D26=$A$2)</formula>
    </cfRule>
    <cfRule type="expression" dxfId="1264" priority="944">
      <formula>OR($E26="토",$E26="일")</formula>
    </cfRule>
  </conditionalFormatting>
  <conditionalFormatting sqref="L26:M26">
    <cfRule type="expression" dxfId="1263" priority="939">
      <formula>$D26=$A$2</formula>
    </cfRule>
  </conditionalFormatting>
  <conditionalFormatting sqref="L26:M26">
    <cfRule type="expression" dxfId="1262" priority="940">
      <formula>($D26=$A$2)</formula>
    </cfRule>
    <cfRule type="expression" dxfId="1261" priority="941">
      <formula>OR($E26="토",$E26="일")</formula>
    </cfRule>
  </conditionalFormatting>
  <conditionalFormatting sqref="L26:M26">
    <cfRule type="expression" dxfId="1260" priority="936">
      <formula>$D26=$A$2</formula>
    </cfRule>
  </conditionalFormatting>
  <conditionalFormatting sqref="L26:M26">
    <cfRule type="expression" dxfId="1259" priority="937">
      <formula>($D26=$A$2)</formula>
    </cfRule>
    <cfRule type="expression" dxfId="1258" priority="938">
      <formula>OR($E26="토",$E26="일")</formula>
    </cfRule>
  </conditionalFormatting>
  <conditionalFormatting sqref="L26:M26">
    <cfRule type="expression" dxfId="1257" priority="933">
      <formula>$D26=$A$2</formula>
    </cfRule>
  </conditionalFormatting>
  <conditionalFormatting sqref="L26:M26">
    <cfRule type="expression" dxfId="1256" priority="934">
      <formula>($D26=$A$2)</formula>
    </cfRule>
    <cfRule type="expression" dxfId="1255" priority="935">
      <formula>OR($E26="토",$E26="일")</formula>
    </cfRule>
  </conditionalFormatting>
  <conditionalFormatting sqref="J26:M26">
    <cfRule type="expression" dxfId="1254" priority="930">
      <formula>$D26=$A$2</formula>
    </cfRule>
  </conditionalFormatting>
  <conditionalFormatting sqref="J26:M26">
    <cfRule type="expression" dxfId="1253" priority="931">
      <formula>($D26=$A$2)</formula>
    </cfRule>
    <cfRule type="expression" dxfId="1252" priority="932">
      <formula>OR($E26="토",$E26="일")</formula>
    </cfRule>
  </conditionalFormatting>
  <conditionalFormatting sqref="J26:M26">
    <cfRule type="expression" dxfId="1251" priority="927">
      <formula>$D26=$A$2</formula>
    </cfRule>
  </conditionalFormatting>
  <conditionalFormatting sqref="J26:M26">
    <cfRule type="expression" dxfId="1250" priority="928">
      <formula>($D26=$A$2)</formula>
    </cfRule>
    <cfRule type="expression" dxfId="1249" priority="929">
      <formula>OR($E26="토",$E26="일")</formula>
    </cfRule>
  </conditionalFormatting>
  <conditionalFormatting sqref="L26:M26">
    <cfRule type="expression" dxfId="1248" priority="924">
      <formula>$D26=$A$2</formula>
    </cfRule>
  </conditionalFormatting>
  <conditionalFormatting sqref="L26:M26">
    <cfRule type="expression" dxfId="1247" priority="925">
      <formula>($D26=$A$2)</formula>
    </cfRule>
    <cfRule type="expression" dxfId="1246" priority="926">
      <formula>OR($E26="토",$E26="일")</formula>
    </cfRule>
  </conditionalFormatting>
  <conditionalFormatting sqref="L26:M26">
    <cfRule type="expression" dxfId="1245" priority="921">
      <formula>$D26=$A$2</formula>
    </cfRule>
  </conditionalFormatting>
  <conditionalFormatting sqref="L26:M26">
    <cfRule type="expression" dxfId="1244" priority="922">
      <formula>($D26=$A$2)</formula>
    </cfRule>
    <cfRule type="expression" dxfId="1243" priority="923">
      <formula>OR($E26="토",$E26="일")</formula>
    </cfRule>
  </conditionalFormatting>
  <conditionalFormatting sqref="L26:M26">
    <cfRule type="expression" dxfId="1242" priority="918">
      <formula>$D26=$A$2</formula>
    </cfRule>
  </conditionalFormatting>
  <conditionalFormatting sqref="L26:M26">
    <cfRule type="expression" dxfId="1241" priority="919">
      <formula>($D26=$A$2)</formula>
    </cfRule>
    <cfRule type="expression" dxfId="1240" priority="920">
      <formula>OR($E26="토",$E26="일")</formula>
    </cfRule>
  </conditionalFormatting>
  <conditionalFormatting sqref="J26:M26">
    <cfRule type="expression" dxfId="1239" priority="915">
      <formula>$D26=$A$2</formula>
    </cfRule>
  </conditionalFormatting>
  <conditionalFormatting sqref="J26:M26">
    <cfRule type="expression" dxfId="1238" priority="916">
      <formula>($D26=$A$2)</formula>
    </cfRule>
    <cfRule type="expression" dxfId="1237" priority="917">
      <formula>OR($E26="토",$E26="일")</formula>
    </cfRule>
  </conditionalFormatting>
  <conditionalFormatting sqref="L23:M23">
    <cfRule type="expression" dxfId="1236" priority="912">
      <formula>$D23=$A$2</formula>
    </cfRule>
  </conditionalFormatting>
  <conditionalFormatting sqref="L23:M23">
    <cfRule type="expression" dxfId="1235" priority="913">
      <formula>($D23=$A$2)</formula>
    </cfRule>
    <cfRule type="expression" dxfId="1234" priority="914">
      <formula>OR($E23="토",$E23="일")</formula>
    </cfRule>
  </conditionalFormatting>
  <conditionalFormatting sqref="L23:M23">
    <cfRule type="expression" dxfId="1233" priority="909">
      <formula>$D23=$A$2</formula>
    </cfRule>
  </conditionalFormatting>
  <conditionalFormatting sqref="L23:M23">
    <cfRule type="expression" dxfId="1232" priority="910">
      <formula>($D23=$A$2)</formula>
    </cfRule>
    <cfRule type="expression" dxfId="1231" priority="911">
      <formula>OR($E23="토",$E23="일")</formula>
    </cfRule>
  </conditionalFormatting>
  <conditionalFormatting sqref="L23:M23">
    <cfRule type="expression" dxfId="1230" priority="906">
      <formula>$D23=$A$2</formula>
    </cfRule>
  </conditionalFormatting>
  <conditionalFormatting sqref="L23:M23">
    <cfRule type="expression" dxfId="1229" priority="907">
      <formula>($D23=$A$2)</formula>
    </cfRule>
    <cfRule type="expression" dxfId="1228" priority="908">
      <formula>OR($E23="토",$E23="일")</formula>
    </cfRule>
  </conditionalFormatting>
  <conditionalFormatting sqref="J23:M23">
    <cfRule type="expression" dxfId="1227" priority="903">
      <formula>$D23=$A$2</formula>
    </cfRule>
  </conditionalFormatting>
  <conditionalFormatting sqref="J23:M23">
    <cfRule type="expression" dxfId="1226" priority="904">
      <formula>($D23=$A$2)</formula>
    </cfRule>
    <cfRule type="expression" dxfId="1225" priority="905">
      <formula>OR($E23="토",$E23="일")</formula>
    </cfRule>
  </conditionalFormatting>
  <conditionalFormatting sqref="J23:M23">
    <cfRule type="expression" dxfId="1224" priority="900">
      <formula>$D23=$A$2</formula>
    </cfRule>
  </conditionalFormatting>
  <conditionalFormatting sqref="J23:M23">
    <cfRule type="expression" dxfId="1223" priority="901">
      <formula>($D23=$A$2)</formula>
    </cfRule>
    <cfRule type="expression" dxfId="1222" priority="902">
      <formula>OR($E23="토",$E23="일")</formula>
    </cfRule>
  </conditionalFormatting>
  <conditionalFormatting sqref="L23:M23">
    <cfRule type="expression" dxfId="1221" priority="897">
      <formula>$D23=$A$2</formula>
    </cfRule>
  </conditionalFormatting>
  <conditionalFormatting sqref="L23:M23">
    <cfRule type="expression" dxfId="1220" priority="898">
      <formula>($D23=$A$2)</formula>
    </cfRule>
    <cfRule type="expression" dxfId="1219" priority="899">
      <formula>OR($E23="토",$E23="일")</formula>
    </cfRule>
  </conditionalFormatting>
  <conditionalFormatting sqref="L23:M23">
    <cfRule type="expression" dxfId="1218" priority="894">
      <formula>$D23=$A$2</formula>
    </cfRule>
  </conditionalFormatting>
  <conditionalFormatting sqref="L23:M23">
    <cfRule type="expression" dxfId="1217" priority="895">
      <formula>($D23=$A$2)</formula>
    </cfRule>
    <cfRule type="expression" dxfId="1216" priority="896">
      <formula>OR($E23="토",$E23="일")</formula>
    </cfRule>
  </conditionalFormatting>
  <conditionalFormatting sqref="L23:M23">
    <cfRule type="expression" dxfId="1215" priority="891">
      <formula>$D23=$A$2</formula>
    </cfRule>
  </conditionalFormatting>
  <conditionalFormatting sqref="L23:M23">
    <cfRule type="expression" dxfId="1214" priority="892">
      <formula>($D23=$A$2)</formula>
    </cfRule>
    <cfRule type="expression" dxfId="1213" priority="893">
      <formula>OR($E23="토",$E23="일")</formula>
    </cfRule>
  </conditionalFormatting>
  <conditionalFormatting sqref="J23:M23">
    <cfRule type="expression" dxfId="1212" priority="888">
      <formula>$D23=$A$2</formula>
    </cfRule>
  </conditionalFormatting>
  <conditionalFormatting sqref="J23:M23">
    <cfRule type="expression" dxfId="1211" priority="889">
      <formula>($D23=$A$2)</formula>
    </cfRule>
    <cfRule type="expression" dxfId="1210" priority="890">
      <formula>OR($E23="토",$E23="일")</formula>
    </cfRule>
  </conditionalFormatting>
  <conditionalFormatting sqref="L24:M24">
    <cfRule type="expression" dxfId="1209" priority="885">
      <formula>$D24=$A$2</formula>
    </cfRule>
  </conditionalFormatting>
  <conditionalFormatting sqref="L24:M24">
    <cfRule type="expression" dxfId="1208" priority="886">
      <formula>($D24=$A$2)</formula>
    </cfRule>
    <cfRule type="expression" dxfId="1207" priority="887">
      <formula>OR($E24="토",$E24="일")</formula>
    </cfRule>
  </conditionalFormatting>
  <conditionalFormatting sqref="L24:M24">
    <cfRule type="expression" dxfId="1206" priority="882">
      <formula>$D24=$A$2</formula>
    </cfRule>
  </conditionalFormatting>
  <conditionalFormatting sqref="L24:M24">
    <cfRule type="expression" dxfId="1205" priority="883">
      <formula>($D24=$A$2)</formula>
    </cfRule>
    <cfRule type="expression" dxfId="1204" priority="884">
      <formula>OR($E24="토",$E24="일")</formula>
    </cfRule>
  </conditionalFormatting>
  <conditionalFormatting sqref="L24:M24">
    <cfRule type="expression" dxfId="1203" priority="879">
      <formula>$D24=$A$2</formula>
    </cfRule>
  </conditionalFormatting>
  <conditionalFormatting sqref="L24:M24">
    <cfRule type="expression" dxfId="1202" priority="880">
      <formula>($D24=$A$2)</formula>
    </cfRule>
    <cfRule type="expression" dxfId="1201" priority="881">
      <formula>OR($E24="토",$E24="일")</formula>
    </cfRule>
  </conditionalFormatting>
  <conditionalFormatting sqref="L24:M24">
    <cfRule type="expression" dxfId="1200" priority="876">
      <formula>$D24=$A$2</formula>
    </cfRule>
  </conditionalFormatting>
  <conditionalFormatting sqref="L24:M24">
    <cfRule type="expression" dxfId="1199" priority="877">
      <formula>($D24=$A$2)</formula>
    </cfRule>
    <cfRule type="expression" dxfId="1198" priority="878">
      <formula>OR($E24="토",$E24="일")</formula>
    </cfRule>
  </conditionalFormatting>
  <conditionalFormatting sqref="L24:M24">
    <cfRule type="expression" dxfId="1197" priority="873">
      <formula>$D24=$A$2</formula>
    </cfRule>
  </conditionalFormatting>
  <conditionalFormatting sqref="L24:M24">
    <cfRule type="expression" dxfId="1196" priority="874">
      <formula>($D24=$A$2)</formula>
    </cfRule>
    <cfRule type="expression" dxfId="1195" priority="875">
      <formula>OR($E24="토",$E24="일")</formula>
    </cfRule>
  </conditionalFormatting>
  <conditionalFormatting sqref="J24:M24">
    <cfRule type="expression" dxfId="1194" priority="870">
      <formula>$D24=$A$2</formula>
    </cfRule>
  </conditionalFormatting>
  <conditionalFormatting sqref="J24:M24">
    <cfRule type="expression" dxfId="1193" priority="871">
      <formula>($D24=$A$2)</formula>
    </cfRule>
    <cfRule type="expression" dxfId="1192" priority="872">
      <formula>OR($E24="토",$E24="일")</formula>
    </cfRule>
  </conditionalFormatting>
  <conditionalFormatting sqref="J24:M24">
    <cfRule type="expression" dxfId="1191" priority="867">
      <formula>$D24=$A$2</formula>
    </cfRule>
  </conditionalFormatting>
  <conditionalFormatting sqref="J24:M24">
    <cfRule type="expression" dxfId="1190" priority="868">
      <formula>($D24=$A$2)</formula>
    </cfRule>
    <cfRule type="expression" dxfId="1189" priority="869">
      <formula>OR($E24="토",$E24="일")</formula>
    </cfRule>
  </conditionalFormatting>
  <conditionalFormatting sqref="L24:M24">
    <cfRule type="expression" dxfId="1188" priority="864">
      <formula>$D24=$A$2</formula>
    </cfRule>
  </conditionalFormatting>
  <conditionalFormatting sqref="L24:M24">
    <cfRule type="expression" dxfId="1187" priority="865">
      <formula>($D24=$A$2)</formula>
    </cfRule>
    <cfRule type="expression" dxfId="1186" priority="866">
      <formula>OR($E24="토",$E24="일")</formula>
    </cfRule>
  </conditionalFormatting>
  <conditionalFormatting sqref="L24:M24">
    <cfRule type="expression" dxfId="1185" priority="861">
      <formula>$D24=$A$2</formula>
    </cfRule>
  </conditionalFormatting>
  <conditionalFormatting sqref="L24:M24">
    <cfRule type="expression" dxfId="1184" priority="862">
      <formula>($D24=$A$2)</formula>
    </cfRule>
    <cfRule type="expression" dxfId="1183" priority="863">
      <formula>OR($E24="토",$E24="일")</formula>
    </cfRule>
  </conditionalFormatting>
  <conditionalFormatting sqref="L24:M24">
    <cfRule type="expression" dxfId="1182" priority="858">
      <formula>$D24=$A$2</formula>
    </cfRule>
  </conditionalFormatting>
  <conditionalFormatting sqref="L24:M24">
    <cfRule type="expression" dxfId="1181" priority="859">
      <formula>($D24=$A$2)</formula>
    </cfRule>
    <cfRule type="expression" dxfId="1180" priority="860">
      <formula>OR($E24="토",$E24="일")</formula>
    </cfRule>
  </conditionalFormatting>
  <conditionalFormatting sqref="J24:M24">
    <cfRule type="expression" dxfId="1179" priority="855">
      <formula>$D24=$A$2</formula>
    </cfRule>
  </conditionalFormatting>
  <conditionalFormatting sqref="J24:M24">
    <cfRule type="expression" dxfId="1178" priority="856">
      <formula>($D24=$A$2)</formula>
    </cfRule>
    <cfRule type="expression" dxfId="1177" priority="857">
      <formula>OR($E24="토",$E24="일")</formula>
    </cfRule>
  </conditionalFormatting>
  <conditionalFormatting sqref="L25:M25">
    <cfRule type="expression" dxfId="1176" priority="852">
      <formula>$D25=$A$2</formula>
    </cfRule>
  </conditionalFormatting>
  <conditionalFormatting sqref="L25:M25">
    <cfRule type="expression" dxfId="1175" priority="853">
      <formula>($D25=$A$2)</formula>
    </cfRule>
    <cfRule type="expression" dxfId="1174" priority="854">
      <formula>OR($E25="토",$E25="일")</formula>
    </cfRule>
  </conditionalFormatting>
  <conditionalFormatting sqref="G23:H23">
    <cfRule type="expression" dxfId="1173" priority="849">
      <formula>$D23=$A$2</formula>
    </cfRule>
  </conditionalFormatting>
  <conditionalFormatting sqref="G23:H23">
    <cfRule type="expression" dxfId="1172" priority="850">
      <formula>($D23=$A$2)</formula>
    </cfRule>
    <cfRule type="expression" dxfId="1171" priority="851">
      <formula>OR($E23="토",$E23="일")</formula>
    </cfRule>
  </conditionalFormatting>
  <conditionalFormatting sqref="J23:M23">
    <cfRule type="expression" dxfId="1170" priority="846">
      <formula>$D23=$A$2</formula>
    </cfRule>
  </conditionalFormatting>
  <conditionalFormatting sqref="J23:M23">
    <cfRule type="expression" dxfId="1169" priority="847">
      <formula>($D23=$A$2)</formula>
    </cfRule>
    <cfRule type="expression" dxfId="1168" priority="848">
      <formula>OR($E23="토",$E23="일")</formula>
    </cfRule>
  </conditionalFormatting>
  <conditionalFormatting sqref="L25:M25">
    <cfRule type="expression" dxfId="1167" priority="843">
      <formula>$D25=$A$2</formula>
    </cfRule>
  </conditionalFormatting>
  <conditionalFormatting sqref="L25:M25">
    <cfRule type="expression" dxfId="1166" priority="844">
      <formula>($D25=$A$2)</formula>
    </cfRule>
    <cfRule type="expression" dxfId="1165" priority="845">
      <formula>OR($E25="토",$E25="일")</formula>
    </cfRule>
  </conditionalFormatting>
  <conditionalFormatting sqref="L25:M25">
    <cfRule type="expression" dxfId="1164" priority="840">
      <formula>$D25=$A$2</formula>
    </cfRule>
  </conditionalFormatting>
  <conditionalFormatting sqref="L25:M25">
    <cfRule type="expression" dxfId="1163" priority="841">
      <formula>($D25=$A$2)</formula>
    </cfRule>
    <cfRule type="expression" dxfId="1162" priority="842">
      <formula>OR($E25="토",$E25="일")</formula>
    </cfRule>
  </conditionalFormatting>
  <conditionalFormatting sqref="J25:M25">
    <cfRule type="expression" dxfId="1161" priority="837">
      <formula>$D25=$A$2</formula>
    </cfRule>
  </conditionalFormatting>
  <conditionalFormatting sqref="J25:M25">
    <cfRule type="expression" dxfId="1160" priority="838">
      <formula>($D25=$A$2)</formula>
    </cfRule>
    <cfRule type="expression" dxfId="1159" priority="839">
      <formula>OR($E25="토",$E25="일")</formula>
    </cfRule>
  </conditionalFormatting>
  <conditionalFormatting sqref="G24:H24">
    <cfRule type="expression" dxfId="1158" priority="834">
      <formula>$D24=$A$2</formula>
    </cfRule>
  </conditionalFormatting>
  <conditionalFormatting sqref="G24:H24">
    <cfRule type="expression" dxfId="1157" priority="835">
      <formula>($D24=$A$2)</formula>
    </cfRule>
    <cfRule type="expression" dxfId="1156" priority="836">
      <formula>OR($E24="토",$E24="일")</formula>
    </cfRule>
  </conditionalFormatting>
  <conditionalFormatting sqref="J24:M24">
    <cfRule type="expression" dxfId="1155" priority="831">
      <formula>$D24=$A$2</formula>
    </cfRule>
  </conditionalFormatting>
  <conditionalFormatting sqref="J24:M24">
    <cfRule type="expression" dxfId="1154" priority="832">
      <formula>($D24=$A$2)</formula>
    </cfRule>
    <cfRule type="expression" dxfId="1153" priority="833">
      <formula>OR($E24="토",$E24="일")</formula>
    </cfRule>
  </conditionalFormatting>
  <conditionalFormatting sqref="J23:M23">
    <cfRule type="expression" dxfId="1152" priority="828">
      <formula>$D23=$A$2</formula>
    </cfRule>
  </conditionalFormatting>
  <conditionalFormatting sqref="J23:M23">
    <cfRule type="expression" dxfId="1151" priority="829">
      <formula>($D23=$A$2)</formula>
    </cfRule>
    <cfRule type="expression" dxfId="1150" priority="830">
      <formula>OR($E23="토",$E23="일")</formula>
    </cfRule>
  </conditionalFormatting>
  <conditionalFormatting sqref="J23:M23">
    <cfRule type="expression" dxfId="1149" priority="825">
      <formula>$D23=$A$2</formula>
    </cfRule>
  </conditionalFormatting>
  <conditionalFormatting sqref="J23:M23">
    <cfRule type="expression" dxfId="1148" priority="826">
      <formula>($D23=$A$2)</formula>
    </cfRule>
    <cfRule type="expression" dxfId="1147" priority="827">
      <formula>OR($E23="토",$E23="일")</formula>
    </cfRule>
  </conditionalFormatting>
  <conditionalFormatting sqref="J24:M24">
    <cfRule type="expression" dxfId="1146" priority="822">
      <formula>$D24=$A$2</formula>
    </cfRule>
  </conditionalFormatting>
  <conditionalFormatting sqref="J24:M24">
    <cfRule type="expression" dxfId="1145" priority="823">
      <formula>($D24=$A$2)</formula>
    </cfRule>
    <cfRule type="expression" dxfId="1144" priority="824">
      <formula>OR($E24="토",$E24="일")</formula>
    </cfRule>
  </conditionalFormatting>
  <conditionalFormatting sqref="L23:M23">
    <cfRule type="expression" dxfId="1143" priority="819">
      <formula>$D23=$A$2</formula>
    </cfRule>
  </conditionalFormatting>
  <conditionalFormatting sqref="L23:M23">
    <cfRule type="expression" dxfId="1142" priority="820">
      <formula>($D23=$A$2)</formula>
    </cfRule>
    <cfRule type="expression" dxfId="1141" priority="821">
      <formula>OR($E23="토",$E23="일")</formula>
    </cfRule>
  </conditionalFormatting>
  <conditionalFormatting sqref="J25:M25">
    <cfRule type="expression" dxfId="1140" priority="816">
      <formula>$D25=$A$2</formula>
    </cfRule>
  </conditionalFormatting>
  <conditionalFormatting sqref="J25:M25">
    <cfRule type="expression" dxfId="1139" priority="817">
      <formula>($D25=$A$2)</formula>
    </cfRule>
    <cfRule type="expression" dxfId="1138" priority="818">
      <formula>OR($E25="토",$E25="일")</formula>
    </cfRule>
  </conditionalFormatting>
  <conditionalFormatting sqref="L24:M24">
    <cfRule type="expression" dxfId="1137" priority="813">
      <formula>$D24=$A$2</formula>
    </cfRule>
  </conditionalFormatting>
  <conditionalFormatting sqref="L24:M24">
    <cfRule type="expression" dxfId="1136" priority="814">
      <formula>($D24=$A$2)</formula>
    </cfRule>
    <cfRule type="expression" dxfId="1135" priority="815">
      <formula>OR($E24="토",$E24="일")</formula>
    </cfRule>
  </conditionalFormatting>
  <conditionalFormatting sqref="L24:M24">
    <cfRule type="expression" dxfId="1134" priority="810">
      <formula>$D24=$A$2</formula>
    </cfRule>
  </conditionalFormatting>
  <conditionalFormatting sqref="L24:M24">
    <cfRule type="expression" dxfId="1133" priority="811">
      <formula>($D24=$A$2)</formula>
    </cfRule>
    <cfRule type="expression" dxfId="1132" priority="812">
      <formula>OR($E24="토",$E24="일")</formula>
    </cfRule>
  </conditionalFormatting>
  <conditionalFormatting sqref="L24:M24">
    <cfRule type="expression" dxfId="1131" priority="807">
      <formula>$D24=$A$2</formula>
    </cfRule>
  </conditionalFormatting>
  <conditionalFormatting sqref="L24:M24">
    <cfRule type="expression" dxfId="1130" priority="808">
      <formula>($D24=$A$2)</formula>
    </cfRule>
    <cfRule type="expression" dxfId="1129" priority="809">
      <formula>OR($E24="토",$E24="일")</formula>
    </cfRule>
  </conditionalFormatting>
  <conditionalFormatting sqref="J24:M24">
    <cfRule type="expression" dxfId="1128" priority="804">
      <formula>$D24=$A$2</formula>
    </cfRule>
  </conditionalFormatting>
  <conditionalFormatting sqref="J24:M24">
    <cfRule type="expression" dxfId="1127" priority="805">
      <formula>($D24=$A$2)</formula>
    </cfRule>
    <cfRule type="expression" dxfId="1126" priority="806">
      <formula>OR($E24="토",$E24="일")</formula>
    </cfRule>
  </conditionalFormatting>
  <conditionalFormatting sqref="L25:M25">
    <cfRule type="expression" dxfId="1125" priority="801">
      <formula>$D25=$A$2</formula>
    </cfRule>
  </conditionalFormatting>
  <conditionalFormatting sqref="L25:M25">
    <cfRule type="expression" dxfId="1124" priority="802">
      <formula>($D25=$A$2)</formula>
    </cfRule>
    <cfRule type="expression" dxfId="1123" priority="803">
      <formula>OR($E25="토",$E25="일")</formula>
    </cfRule>
  </conditionalFormatting>
  <conditionalFormatting sqref="L25:M25">
    <cfRule type="expression" dxfId="1122" priority="798">
      <formula>$D25=$A$2</formula>
    </cfRule>
  </conditionalFormatting>
  <conditionalFormatting sqref="L25:M25">
    <cfRule type="expression" dxfId="1121" priority="799">
      <formula>($D25=$A$2)</formula>
    </cfRule>
    <cfRule type="expression" dxfId="1120" priority="800">
      <formula>OR($E25="토",$E25="일")</formula>
    </cfRule>
  </conditionalFormatting>
  <conditionalFormatting sqref="L25:M25">
    <cfRule type="expression" dxfId="1119" priority="795">
      <formula>$D25=$A$2</formula>
    </cfRule>
  </conditionalFormatting>
  <conditionalFormatting sqref="L25:M25">
    <cfRule type="expression" dxfId="1118" priority="796">
      <formula>($D25=$A$2)</formula>
    </cfRule>
    <cfRule type="expression" dxfId="1117" priority="797">
      <formula>OR($E25="토",$E25="일")</formula>
    </cfRule>
  </conditionalFormatting>
  <conditionalFormatting sqref="J25:M25">
    <cfRule type="expression" dxfId="1116" priority="792">
      <formula>$D25=$A$2</formula>
    </cfRule>
  </conditionalFormatting>
  <conditionalFormatting sqref="J25:M25">
    <cfRule type="expression" dxfId="1115" priority="793">
      <formula>($D25=$A$2)</formula>
    </cfRule>
    <cfRule type="expression" dxfId="1114" priority="794">
      <formula>OR($E25="토",$E25="일")</formula>
    </cfRule>
  </conditionalFormatting>
  <conditionalFormatting sqref="J24:M24">
    <cfRule type="expression" dxfId="1113" priority="789">
      <formula>$D24=$A$2</formula>
    </cfRule>
  </conditionalFormatting>
  <conditionalFormatting sqref="J24:M24">
    <cfRule type="expression" dxfId="1112" priority="790">
      <formula>($D24=$A$2)</formula>
    </cfRule>
    <cfRule type="expression" dxfId="1111" priority="791">
      <formula>OR($E24="토",$E24="일")</formula>
    </cfRule>
  </conditionalFormatting>
  <conditionalFormatting sqref="L26:M26">
    <cfRule type="expression" dxfId="1110" priority="786">
      <formula>$D26=$A$2</formula>
    </cfRule>
  </conditionalFormatting>
  <conditionalFormatting sqref="L26:M26">
    <cfRule type="expression" dxfId="1109" priority="787">
      <formula>($D26=$A$2)</formula>
    </cfRule>
    <cfRule type="expression" dxfId="1108" priority="788">
      <formula>OR($E26="토",$E26="일")</formula>
    </cfRule>
  </conditionalFormatting>
  <conditionalFormatting sqref="L26:M26">
    <cfRule type="expression" dxfId="1107" priority="783">
      <formula>$D26=$A$2</formula>
    </cfRule>
  </conditionalFormatting>
  <conditionalFormatting sqref="L26:M26">
    <cfRule type="expression" dxfId="1106" priority="784">
      <formula>($D26=$A$2)</formula>
    </cfRule>
    <cfRule type="expression" dxfId="1105" priority="785">
      <formula>OR($E26="토",$E26="일")</formula>
    </cfRule>
  </conditionalFormatting>
  <conditionalFormatting sqref="L26:M26">
    <cfRule type="expression" dxfId="1104" priority="780">
      <formula>$D26=$A$2</formula>
    </cfRule>
  </conditionalFormatting>
  <conditionalFormatting sqref="L26:M26">
    <cfRule type="expression" dxfId="1103" priority="781">
      <formula>($D26=$A$2)</formula>
    </cfRule>
    <cfRule type="expression" dxfId="1102" priority="782">
      <formula>OR($E26="토",$E26="일")</formula>
    </cfRule>
  </conditionalFormatting>
  <conditionalFormatting sqref="L26:M26">
    <cfRule type="expression" dxfId="1101" priority="777">
      <formula>$D26=$A$2</formula>
    </cfRule>
  </conditionalFormatting>
  <conditionalFormatting sqref="L26:M26">
    <cfRule type="expression" dxfId="1100" priority="778">
      <formula>($D26=$A$2)</formula>
    </cfRule>
    <cfRule type="expression" dxfId="1099" priority="779">
      <formula>OR($E26="토",$E26="일")</formula>
    </cfRule>
  </conditionalFormatting>
  <conditionalFormatting sqref="L26:M26">
    <cfRule type="expression" dxfId="1098" priority="774">
      <formula>$D26=$A$2</formula>
    </cfRule>
  </conditionalFormatting>
  <conditionalFormatting sqref="L26:M26">
    <cfRule type="expression" dxfId="1097" priority="775">
      <formula>($D26=$A$2)</formula>
    </cfRule>
    <cfRule type="expression" dxfId="1096" priority="776">
      <formula>OR($E26="토",$E26="일")</formula>
    </cfRule>
  </conditionalFormatting>
  <conditionalFormatting sqref="J26:M26">
    <cfRule type="expression" dxfId="1095" priority="771">
      <formula>$D26=$A$2</formula>
    </cfRule>
  </conditionalFormatting>
  <conditionalFormatting sqref="J26:M26">
    <cfRule type="expression" dxfId="1094" priority="772">
      <formula>($D26=$A$2)</formula>
    </cfRule>
    <cfRule type="expression" dxfId="1093" priority="773">
      <formula>OR($E26="토",$E26="일")</formula>
    </cfRule>
  </conditionalFormatting>
  <conditionalFormatting sqref="J26:M26">
    <cfRule type="expression" dxfId="1092" priority="768">
      <formula>$D26=$A$2</formula>
    </cfRule>
  </conditionalFormatting>
  <conditionalFormatting sqref="J26:M26">
    <cfRule type="expression" dxfId="1091" priority="769">
      <formula>($D26=$A$2)</formula>
    </cfRule>
    <cfRule type="expression" dxfId="1090" priority="770">
      <formula>OR($E26="토",$E26="일")</formula>
    </cfRule>
  </conditionalFormatting>
  <conditionalFormatting sqref="L26:M26">
    <cfRule type="expression" dxfId="1089" priority="765">
      <formula>$D26=$A$2</formula>
    </cfRule>
  </conditionalFormatting>
  <conditionalFormatting sqref="L26:M26">
    <cfRule type="expression" dxfId="1088" priority="766">
      <formula>($D26=$A$2)</formula>
    </cfRule>
    <cfRule type="expression" dxfId="1087" priority="767">
      <formula>OR($E26="토",$E26="일")</formula>
    </cfRule>
  </conditionalFormatting>
  <conditionalFormatting sqref="L26:M26">
    <cfRule type="expression" dxfId="1086" priority="762">
      <formula>$D26=$A$2</formula>
    </cfRule>
  </conditionalFormatting>
  <conditionalFormatting sqref="L26:M26">
    <cfRule type="expression" dxfId="1085" priority="763">
      <formula>($D26=$A$2)</formula>
    </cfRule>
    <cfRule type="expression" dxfId="1084" priority="764">
      <formula>OR($E26="토",$E26="일")</formula>
    </cfRule>
  </conditionalFormatting>
  <conditionalFormatting sqref="L26:M26">
    <cfRule type="expression" dxfId="1083" priority="759">
      <formula>$D26=$A$2</formula>
    </cfRule>
  </conditionalFormatting>
  <conditionalFormatting sqref="L26:M26">
    <cfRule type="expression" dxfId="1082" priority="760">
      <formula>($D26=$A$2)</formula>
    </cfRule>
    <cfRule type="expression" dxfId="1081" priority="761">
      <formula>OR($E26="토",$E26="일")</formula>
    </cfRule>
  </conditionalFormatting>
  <conditionalFormatting sqref="J26:M26">
    <cfRule type="expression" dxfId="1080" priority="756">
      <formula>$D26=$A$2</formula>
    </cfRule>
  </conditionalFormatting>
  <conditionalFormatting sqref="J26:M26">
    <cfRule type="expression" dxfId="1079" priority="757">
      <formula>($D26=$A$2)</formula>
    </cfRule>
    <cfRule type="expression" dxfId="1078" priority="758">
      <formula>OR($E26="토",$E26="일")</formula>
    </cfRule>
  </conditionalFormatting>
  <conditionalFormatting sqref="L24:M24">
    <cfRule type="expression" dxfId="1077" priority="753">
      <formula>$D24=$A$2</formula>
    </cfRule>
  </conditionalFormatting>
  <conditionalFormatting sqref="L24:M24">
    <cfRule type="expression" dxfId="1076" priority="754">
      <formula>($D24=$A$2)</formula>
    </cfRule>
    <cfRule type="expression" dxfId="1075" priority="755">
      <formula>OR($E24="토",$E24="일")</formula>
    </cfRule>
  </conditionalFormatting>
  <conditionalFormatting sqref="L24:M24">
    <cfRule type="expression" dxfId="1074" priority="750">
      <formula>$D24=$A$2</formula>
    </cfRule>
  </conditionalFormatting>
  <conditionalFormatting sqref="L24:M24">
    <cfRule type="expression" dxfId="1073" priority="751">
      <formula>($D24=$A$2)</formula>
    </cfRule>
    <cfRule type="expression" dxfId="1072" priority="752">
      <formula>OR($E24="토",$E24="일")</formula>
    </cfRule>
  </conditionalFormatting>
  <conditionalFormatting sqref="L24:M24">
    <cfRule type="expression" dxfId="1071" priority="747">
      <formula>$D24=$A$2</formula>
    </cfRule>
  </conditionalFormatting>
  <conditionalFormatting sqref="L24:M24">
    <cfRule type="expression" dxfId="1070" priority="748">
      <formula>($D24=$A$2)</formula>
    </cfRule>
    <cfRule type="expression" dxfId="1069" priority="749">
      <formula>OR($E24="토",$E24="일")</formula>
    </cfRule>
  </conditionalFormatting>
  <conditionalFormatting sqref="J24:M24">
    <cfRule type="expression" dxfId="1068" priority="744">
      <formula>$D24=$A$2</formula>
    </cfRule>
  </conditionalFormatting>
  <conditionalFormatting sqref="J24:M24">
    <cfRule type="expression" dxfId="1067" priority="745">
      <formula>($D24=$A$2)</formula>
    </cfRule>
    <cfRule type="expression" dxfId="1066" priority="746">
      <formula>OR($E24="토",$E24="일")</formula>
    </cfRule>
  </conditionalFormatting>
  <conditionalFormatting sqref="G23:H23">
    <cfRule type="expression" dxfId="1065" priority="741">
      <formula>$D23=$A$2</formula>
    </cfRule>
  </conditionalFormatting>
  <conditionalFormatting sqref="G23:H23">
    <cfRule type="expression" dxfId="1064" priority="742">
      <formula>($D23=$A$2)</formula>
    </cfRule>
    <cfRule type="expression" dxfId="1063" priority="743">
      <formula>OR($E23="토",$E23="일")</formula>
    </cfRule>
  </conditionalFormatting>
  <conditionalFormatting sqref="J23:M23">
    <cfRule type="expression" dxfId="1062" priority="738">
      <formula>$D23=$A$2</formula>
    </cfRule>
  </conditionalFormatting>
  <conditionalFormatting sqref="J23:M23">
    <cfRule type="expression" dxfId="1061" priority="739">
      <formula>($D23=$A$2)</formula>
    </cfRule>
    <cfRule type="expression" dxfId="1060" priority="740">
      <formula>OR($E23="토",$E23="일")</formula>
    </cfRule>
  </conditionalFormatting>
  <conditionalFormatting sqref="J23:M23">
    <cfRule type="expression" dxfId="1059" priority="735">
      <formula>$D23=$A$2</formula>
    </cfRule>
  </conditionalFormatting>
  <conditionalFormatting sqref="J23:M23">
    <cfRule type="expression" dxfId="1058" priority="736">
      <formula>($D23=$A$2)</formula>
    </cfRule>
    <cfRule type="expression" dxfId="1057" priority="737">
      <formula>OR($E23="토",$E23="일")</formula>
    </cfRule>
  </conditionalFormatting>
  <conditionalFormatting sqref="J24:M24">
    <cfRule type="expression" dxfId="1056" priority="732">
      <formula>$D24=$A$2</formula>
    </cfRule>
  </conditionalFormatting>
  <conditionalFormatting sqref="J24:M24">
    <cfRule type="expression" dxfId="1055" priority="733">
      <formula>($D24=$A$2)</formula>
    </cfRule>
    <cfRule type="expression" dxfId="1054" priority="734">
      <formula>OR($E24="토",$E24="일")</formula>
    </cfRule>
  </conditionalFormatting>
  <conditionalFormatting sqref="L23:M23">
    <cfRule type="expression" dxfId="1053" priority="729">
      <formula>$D23=$A$2</formula>
    </cfRule>
  </conditionalFormatting>
  <conditionalFormatting sqref="L23:M23">
    <cfRule type="expression" dxfId="1052" priority="730">
      <formula>($D23=$A$2)</formula>
    </cfRule>
    <cfRule type="expression" dxfId="1051" priority="731">
      <formula>OR($E23="토",$E23="일")</formula>
    </cfRule>
  </conditionalFormatting>
  <conditionalFormatting sqref="L23:M23">
    <cfRule type="expression" dxfId="1050" priority="726">
      <formula>$D23=$A$2</formula>
    </cfRule>
  </conditionalFormatting>
  <conditionalFormatting sqref="L23:M23">
    <cfRule type="expression" dxfId="1049" priority="727">
      <formula>($D23=$A$2)</formula>
    </cfRule>
    <cfRule type="expression" dxfId="1048" priority="728">
      <formula>OR($E23="토",$E23="일")</formula>
    </cfRule>
  </conditionalFormatting>
  <conditionalFormatting sqref="L23:M23">
    <cfRule type="expression" dxfId="1047" priority="723">
      <formula>$D23=$A$2</formula>
    </cfRule>
  </conditionalFormatting>
  <conditionalFormatting sqref="L23:M23">
    <cfRule type="expression" dxfId="1046" priority="724">
      <formula>($D23=$A$2)</formula>
    </cfRule>
    <cfRule type="expression" dxfId="1045" priority="725">
      <formula>OR($E23="토",$E23="일")</formula>
    </cfRule>
  </conditionalFormatting>
  <conditionalFormatting sqref="J23:M23">
    <cfRule type="expression" dxfId="1044" priority="720">
      <formula>$D23=$A$2</formula>
    </cfRule>
  </conditionalFormatting>
  <conditionalFormatting sqref="J23:M23">
    <cfRule type="expression" dxfId="1043" priority="721">
      <formula>($D23=$A$2)</formula>
    </cfRule>
    <cfRule type="expression" dxfId="1042" priority="722">
      <formula>OR($E23="토",$E23="일")</formula>
    </cfRule>
  </conditionalFormatting>
  <conditionalFormatting sqref="L24:M24">
    <cfRule type="expression" dxfId="1041" priority="717">
      <formula>$D24=$A$2</formula>
    </cfRule>
  </conditionalFormatting>
  <conditionalFormatting sqref="L24:M24">
    <cfRule type="expression" dxfId="1040" priority="718">
      <formula>($D24=$A$2)</formula>
    </cfRule>
    <cfRule type="expression" dxfId="1039" priority="719">
      <formula>OR($E24="토",$E24="일")</formula>
    </cfRule>
  </conditionalFormatting>
  <conditionalFormatting sqref="L24:M24">
    <cfRule type="expression" dxfId="1038" priority="714">
      <formula>$D24=$A$2</formula>
    </cfRule>
  </conditionalFormatting>
  <conditionalFormatting sqref="L24:M24">
    <cfRule type="expression" dxfId="1037" priority="715">
      <formula>($D24=$A$2)</formula>
    </cfRule>
    <cfRule type="expression" dxfId="1036" priority="716">
      <formula>OR($E24="토",$E24="일")</formula>
    </cfRule>
  </conditionalFormatting>
  <conditionalFormatting sqref="L24:M24">
    <cfRule type="expression" dxfId="1035" priority="711">
      <formula>$D24=$A$2</formula>
    </cfRule>
  </conditionalFormatting>
  <conditionalFormatting sqref="L24:M24">
    <cfRule type="expression" dxfId="1034" priority="712">
      <formula>($D24=$A$2)</formula>
    </cfRule>
    <cfRule type="expression" dxfId="1033" priority="713">
      <formula>OR($E24="토",$E24="일")</formula>
    </cfRule>
  </conditionalFormatting>
  <conditionalFormatting sqref="J24:M24">
    <cfRule type="expression" dxfId="1032" priority="708">
      <formula>$D24=$A$2</formula>
    </cfRule>
  </conditionalFormatting>
  <conditionalFormatting sqref="J24:M24">
    <cfRule type="expression" dxfId="1031" priority="709">
      <formula>($D24=$A$2)</formula>
    </cfRule>
    <cfRule type="expression" dxfId="1030" priority="710">
      <formula>OR($E24="토",$E24="일")</formula>
    </cfRule>
  </conditionalFormatting>
  <conditionalFormatting sqref="J23:M23">
    <cfRule type="expression" dxfId="1029" priority="705">
      <formula>$D23=$A$2</formula>
    </cfRule>
  </conditionalFormatting>
  <conditionalFormatting sqref="J23:M23">
    <cfRule type="expression" dxfId="1028" priority="706">
      <formula>($D23=$A$2)</formula>
    </cfRule>
    <cfRule type="expression" dxfId="1027" priority="707">
      <formula>OR($E23="토",$E23="일")</formula>
    </cfRule>
  </conditionalFormatting>
  <conditionalFormatting sqref="L25:M25">
    <cfRule type="expression" dxfId="1026" priority="702">
      <formula>$D25=$A$2</formula>
    </cfRule>
  </conditionalFormatting>
  <conditionalFormatting sqref="L25:M25">
    <cfRule type="expression" dxfId="1025" priority="703">
      <formula>($D25=$A$2)</formula>
    </cfRule>
    <cfRule type="expression" dxfId="1024" priority="704">
      <formula>OR($E25="토",$E25="일")</formula>
    </cfRule>
  </conditionalFormatting>
  <conditionalFormatting sqref="L25:M25">
    <cfRule type="expression" dxfId="1023" priority="699">
      <formula>$D25=$A$2</formula>
    </cfRule>
  </conditionalFormatting>
  <conditionalFormatting sqref="L25:M25">
    <cfRule type="expression" dxfId="1022" priority="700">
      <formula>($D25=$A$2)</formula>
    </cfRule>
    <cfRule type="expression" dxfId="1021" priority="701">
      <formula>OR($E25="토",$E25="일")</formula>
    </cfRule>
  </conditionalFormatting>
  <conditionalFormatting sqref="L25:M25">
    <cfRule type="expression" dxfId="1020" priority="696">
      <formula>$D25=$A$2</formula>
    </cfRule>
  </conditionalFormatting>
  <conditionalFormatting sqref="L25:M25">
    <cfRule type="expression" dxfId="1019" priority="697">
      <formula>($D25=$A$2)</formula>
    </cfRule>
    <cfRule type="expression" dxfId="1018" priority="698">
      <formula>OR($E25="토",$E25="일")</formula>
    </cfRule>
  </conditionalFormatting>
  <conditionalFormatting sqref="L25:M25">
    <cfRule type="expression" dxfId="1017" priority="693">
      <formula>$D25=$A$2</formula>
    </cfRule>
  </conditionalFormatting>
  <conditionalFormatting sqref="L25:M25">
    <cfRule type="expression" dxfId="1016" priority="694">
      <formula>($D25=$A$2)</formula>
    </cfRule>
    <cfRule type="expression" dxfId="1015" priority="695">
      <formula>OR($E25="토",$E25="일")</formula>
    </cfRule>
  </conditionalFormatting>
  <conditionalFormatting sqref="L25:M25">
    <cfRule type="expression" dxfId="1014" priority="690">
      <formula>$D25=$A$2</formula>
    </cfRule>
  </conditionalFormatting>
  <conditionalFormatting sqref="L25:M25">
    <cfRule type="expression" dxfId="1013" priority="691">
      <formula>($D25=$A$2)</formula>
    </cfRule>
    <cfRule type="expression" dxfId="1012" priority="692">
      <formula>OR($E25="토",$E25="일")</formula>
    </cfRule>
  </conditionalFormatting>
  <conditionalFormatting sqref="J25:M25">
    <cfRule type="expression" dxfId="1011" priority="687">
      <formula>$D25=$A$2</formula>
    </cfRule>
  </conditionalFormatting>
  <conditionalFormatting sqref="J25:M25">
    <cfRule type="expression" dxfId="1010" priority="688">
      <formula>($D25=$A$2)</formula>
    </cfRule>
    <cfRule type="expression" dxfId="1009" priority="689">
      <formula>OR($E25="토",$E25="일")</formula>
    </cfRule>
  </conditionalFormatting>
  <conditionalFormatting sqref="J25:M25">
    <cfRule type="expression" dxfId="1008" priority="684">
      <formula>$D25=$A$2</formula>
    </cfRule>
  </conditionalFormatting>
  <conditionalFormatting sqref="J25:M25">
    <cfRule type="expression" dxfId="1007" priority="685">
      <formula>($D25=$A$2)</formula>
    </cfRule>
    <cfRule type="expression" dxfId="1006" priority="686">
      <formula>OR($E25="토",$E25="일")</formula>
    </cfRule>
  </conditionalFormatting>
  <conditionalFormatting sqref="L25:M25">
    <cfRule type="expression" dxfId="1005" priority="681">
      <formula>$D25=$A$2</formula>
    </cfRule>
  </conditionalFormatting>
  <conditionalFormatting sqref="L25:M25">
    <cfRule type="expression" dxfId="1004" priority="682">
      <formula>($D25=$A$2)</formula>
    </cfRule>
    <cfRule type="expression" dxfId="1003" priority="683">
      <formula>OR($E25="토",$E25="일")</formula>
    </cfRule>
  </conditionalFormatting>
  <conditionalFormatting sqref="L25:M25">
    <cfRule type="expression" dxfId="1002" priority="678">
      <formula>$D25=$A$2</formula>
    </cfRule>
  </conditionalFormatting>
  <conditionalFormatting sqref="L25:M25">
    <cfRule type="expression" dxfId="1001" priority="679">
      <formula>($D25=$A$2)</formula>
    </cfRule>
    <cfRule type="expression" dxfId="1000" priority="680">
      <formula>OR($E25="토",$E25="일")</formula>
    </cfRule>
  </conditionalFormatting>
  <conditionalFormatting sqref="L25:M25">
    <cfRule type="expression" dxfId="999" priority="675">
      <formula>$D25=$A$2</formula>
    </cfRule>
  </conditionalFormatting>
  <conditionalFormatting sqref="L25:M25">
    <cfRule type="expression" dxfId="998" priority="676">
      <formula>($D25=$A$2)</formula>
    </cfRule>
    <cfRule type="expression" dxfId="997" priority="677">
      <formula>OR($E25="토",$E25="일")</formula>
    </cfRule>
  </conditionalFormatting>
  <conditionalFormatting sqref="J25:M25">
    <cfRule type="expression" dxfId="996" priority="672">
      <formula>$D25=$A$2</formula>
    </cfRule>
  </conditionalFormatting>
  <conditionalFormatting sqref="J25:M25">
    <cfRule type="expression" dxfId="995" priority="673">
      <formula>($D25=$A$2)</formula>
    </cfRule>
    <cfRule type="expression" dxfId="994" priority="674">
      <formula>OR($E25="토",$E25="일")</formula>
    </cfRule>
  </conditionalFormatting>
  <conditionalFormatting sqref="G23:H23">
    <cfRule type="expression" dxfId="993" priority="669">
      <formula>$D23=$A$2</formula>
    </cfRule>
  </conditionalFormatting>
  <conditionalFormatting sqref="G23:H23">
    <cfRule type="expression" dxfId="992" priority="670">
      <formula>($D23=$A$2)</formula>
    </cfRule>
    <cfRule type="expression" dxfId="991" priority="671">
      <formula>OR($E23="토",$E23="일")</formula>
    </cfRule>
  </conditionalFormatting>
  <conditionalFormatting sqref="J23:M23">
    <cfRule type="expression" dxfId="990" priority="666">
      <formula>$D23=$A$2</formula>
    </cfRule>
  </conditionalFormatting>
  <conditionalFormatting sqref="J23:M23">
    <cfRule type="expression" dxfId="989" priority="667">
      <formula>($D23=$A$2)</formula>
    </cfRule>
    <cfRule type="expression" dxfId="988" priority="668">
      <formula>OR($E23="토",$E23="일")</formula>
    </cfRule>
  </conditionalFormatting>
  <conditionalFormatting sqref="J23:M23">
    <cfRule type="expression" dxfId="987" priority="663">
      <formula>$D23=$A$2</formula>
    </cfRule>
  </conditionalFormatting>
  <conditionalFormatting sqref="J23:M23">
    <cfRule type="expression" dxfId="986" priority="664">
      <formula>($D23=$A$2)</formula>
    </cfRule>
    <cfRule type="expression" dxfId="985" priority="665">
      <formula>OR($E23="토",$E23="일")</formula>
    </cfRule>
  </conditionalFormatting>
  <conditionalFormatting sqref="L26:M26">
    <cfRule type="expression" dxfId="984" priority="660">
      <formula>$D26=$A$2</formula>
    </cfRule>
  </conditionalFormatting>
  <conditionalFormatting sqref="L26:M26">
    <cfRule type="expression" dxfId="983" priority="661">
      <formula>($D26=$A$2)</formula>
    </cfRule>
    <cfRule type="expression" dxfId="982" priority="662">
      <formula>OR($E26="토",$E26="일")</formula>
    </cfRule>
  </conditionalFormatting>
  <conditionalFormatting sqref="G24:H24">
    <cfRule type="expression" dxfId="981" priority="657">
      <formula>$D24=$A$2</formula>
    </cfRule>
  </conditionalFormatting>
  <conditionalFormatting sqref="G24:H24">
    <cfRule type="expression" dxfId="980" priority="658">
      <formula>($D24=$A$2)</formula>
    </cfRule>
    <cfRule type="expression" dxfId="979" priority="659">
      <formula>OR($E24="토",$E24="일")</formula>
    </cfRule>
  </conditionalFormatting>
  <conditionalFormatting sqref="G23:H23">
    <cfRule type="expression" dxfId="978" priority="654">
      <formula>$D23=$A$2</formula>
    </cfRule>
  </conditionalFormatting>
  <conditionalFormatting sqref="G23:H23">
    <cfRule type="expression" dxfId="977" priority="655">
      <formula>($D23=$A$2)</formula>
    </cfRule>
    <cfRule type="expression" dxfId="976" priority="656">
      <formula>OR($E23="토",$E23="일")</formula>
    </cfRule>
  </conditionalFormatting>
  <conditionalFormatting sqref="J24:M24">
    <cfRule type="expression" dxfId="975" priority="651">
      <formula>$D24=$A$2</formula>
    </cfRule>
  </conditionalFormatting>
  <conditionalFormatting sqref="J24:M24">
    <cfRule type="expression" dxfId="974" priority="652">
      <formula>($D24=$A$2)</formula>
    </cfRule>
    <cfRule type="expression" dxfId="973" priority="653">
      <formula>OR($E24="토",$E24="일")</formula>
    </cfRule>
  </conditionalFormatting>
  <conditionalFormatting sqref="L23:M23">
    <cfRule type="expression" dxfId="972" priority="648">
      <formula>$D23=$A$2</formula>
    </cfRule>
  </conditionalFormatting>
  <conditionalFormatting sqref="L23:M23">
    <cfRule type="expression" dxfId="971" priority="649">
      <formula>($D23=$A$2)</formula>
    </cfRule>
    <cfRule type="expression" dxfId="970" priority="650">
      <formula>OR($E23="토",$E23="일")</formula>
    </cfRule>
  </conditionalFormatting>
  <conditionalFormatting sqref="L26:M26">
    <cfRule type="expression" dxfId="969" priority="645">
      <formula>$D26=$A$2</formula>
    </cfRule>
  </conditionalFormatting>
  <conditionalFormatting sqref="L26:M26">
    <cfRule type="expression" dxfId="968" priority="646">
      <formula>($D26=$A$2)</formula>
    </cfRule>
    <cfRule type="expression" dxfId="967" priority="647">
      <formula>OR($E26="토",$E26="일")</formula>
    </cfRule>
  </conditionalFormatting>
  <conditionalFormatting sqref="L26:M26">
    <cfRule type="expression" dxfId="966" priority="642">
      <formula>$D26=$A$2</formula>
    </cfRule>
  </conditionalFormatting>
  <conditionalFormatting sqref="L26:M26">
    <cfRule type="expression" dxfId="965" priority="643">
      <formula>($D26=$A$2)</formula>
    </cfRule>
    <cfRule type="expression" dxfId="964" priority="644">
      <formula>OR($E26="토",$E26="일")</formula>
    </cfRule>
  </conditionalFormatting>
  <conditionalFormatting sqref="J26:M26">
    <cfRule type="expression" dxfId="963" priority="639">
      <formula>$D26=$A$2</formula>
    </cfRule>
  </conditionalFormatting>
  <conditionalFormatting sqref="J26:M26">
    <cfRule type="expression" dxfId="962" priority="640">
      <formula>($D26=$A$2)</formula>
    </cfRule>
    <cfRule type="expression" dxfId="961" priority="641">
      <formula>OR($E26="토",$E26="일")</formula>
    </cfRule>
  </conditionalFormatting>
  <conditionalFormatting sqref="G25:H25">
    <cfRule type="expression" dxfId="960" priority="636">
      <formula>$D25=$A$2</formula>
    </cfRule>
  </conditionalFormatting>
  <conditionalFormatting sqref="G25:H25">
    <cfRule type="expression" dxfId="959" priority="637">
      <formula>($D25=$A$2)</formula>
    </cfRule>
    <cfRule type="expression" dxfId="958" priority="638">
      <formula>OR($E25="토",$E25="일")</formula>
    </cfRule>
  </conditionalFormatting>
  <conditionalFormatting sqref="J25:M25">
    <cfRule type="expression" dxfId="957" priority="633">
      <formula>$D25=$A$2</formula>
    </cfRule>
  </conditionalFormatting>
  <conditionalFormatting sqref="J25:M25">
    <cfRule type="expression" dxfId="956" priority="634">
      <formula>($D25=$A$2)</formula>
    </cfRule>
    <cfRule type="expression" dxfId="955" priority="635">
      <formula>OR($E25="토",$E25="일")</formula>
    </cfRule>
  </conditionalFormatting>
  <conditionalFormatting sqref="J23:M23">
    <cfRule type="expression" dxfId="954" priority="630">
      <formula>$D23=$A$2</formula>
    </cfRule>
  </conditionalFormatting>
  <conditionalFormatting sqref="J23:M23">
    <cfRule type="expression" dxfId="953" priority="631">
      <formula>($D23=$A$2)</formula>
    </cfRule>
    <cfRule type="expression" dxfId="952" priority="632">
      <formula>OR($E23="토",$E23="일")</formula>
    </cfRule>
  </conditionalFormatting>
  <conditionalFormatting sqref="J24:M24">
    <cfRule type="expression" dxfId="951" priority="627">
      <formula>$D24=$A$2</formula>
    </cfRule>
  </conditionalFormatting>
  <conditionalFormatting sqref="J24:M24">
    <cfRule type="expression" dxfId="950" priority="628">
      <formula>($D24=$A$2)</formula>
    </cfRule>
    <cfRule type="expression" dxfId="949" priority="629">
      <formula>OR($E24="토",$E24="일")</formula>
    </cfRule>
  </conditionalFormatting>
  <conditionalFormatting sqref="L23:M23">
    <cfRule type="expression" dxfId="948" priority="624">
      <formula>$D23=$A$2</formula>
    </cfRule>
  </conditionalFormatting>
  <conditionalFormatting sqref="L23:M23">
    <cfRule type="expression" dxfId="947" priority="625">
      <formula>($D23=$A$2)</formula>
    </cfRule>
    <cfRule type="expression" dxfId="946" priority="626">
      <formula>OR($E23="토",$E23="일")</formula>
    </cfRule>
  </conditionalFormatting>
  <conditionalFormatting sqref="J24:M24">
    <cfRule type="expression" dxfId="945" priority="621">
      <formula>$D24=$A$2</formula>
    </cfRule>
  </conditionalFormatting>
  <conditionalFormatting sqref="J24:M24">
    <cfRule type="expression" dxfId="944" priority="622">
      <formula>($D24=$A$2)</formula>
    </cfRule>
    <cfRule type="expression" dxfId="943" priority="623">
      <formula>OR($E24="토",$E24="일")</formula>
    </cfRule>
  </conditionalFormatting>
  <conditionalFormatting sqref="J25:M25">
    <cfRule type="expression" dxfId="942" priority="618">
      <formula>$D25=$A$2</formula>
    </cfRule>
  </conditionalFormatting>
  <conditionalFormatting sqref="J25:M25">
    <cfRule type="expression" dxfId="941" priority="619">
      <formula>($D25=$A$2)</formula>
    </cfRule>
    <cfRule type="expression" dxfId="940" priority="620">
      <formula>OR($E25="토",$E25="일")</formula>
    </cfRule>
  </conditionalFormatting>
  <conditionalFormatting sqref="L24:M24">
    <cfRule type="expression" dxfId="939" priority="615">
      <formula>$D24=$A$2</formula>
    </cfRule>
  </conditionalFormatting>
  <conditionalFormatting sqref="L24:M24">
    <cfRule type="expression" dxfId="938" priority="616">
      <formula>($D24=$A$2)</formula>
    </cfRule>
    <cfRule type="expression" dxfId="937" priority="617">
      <formula>OR($E24="토",$E24="일")</formula>
    </cfRule>
  </conditionalFormatting>
  <conditionalFormatting sqref="J26:M26">
    <cfRule type="expression" dxfId="936" priority="612">
      <formula>$D26=$A$2</formula>
    </cfRule>
  </conditionalFormatting>
  <conditionalFormatting sqref="J26:M26">
    <cfRule type="expression" dxfId="935" priority="613">
      <formula>($D26=$A$2)</formula>
    </cfRule>
    <cfRule type="expression" dxfId="934" priority="614">
      <formula>OR($E26="토",$E26="일")</formula>
    </cfRule>
  </conditionalFormatting>
  <conditionalFormatting sqref="L25:M25">
    <cfRule type="expression" dxfId="933" priority="609">
      <formula>$D25=$A$2</formula>
    </cfRule>
  </conditionalFormatting>
  <conditionalFormatting sqref="L25:M25">
    <cfRule type="expression" dxfId="932" priority="610">
      <formula>($D25=$A$2)</formula>
    </cfRule>
    <cfRule type="expression" dxfId="931" priority="611">
      <formula>OR($E25="토",$E25="일")</formula>
    </cfRule>
  </conditionalFormatting>
  <conditionalFormatting sqref="L25:M25">
    <cfRule type="expression" dxfId="930" priority="606">
      <formula>$D25=$A$2</formula>
    </cfRule>
  </conditionalFormatting>
  <conditionalFormatting sqref="L25:M25">
    <cfRule type="expression" dxfId="929" priority="607">
      <formula>($D25=$A$2)</formula>
    </cfRule>
    <cfRule type="expression" dxfId="928" priority="608">
      <formula>OR($E25="토",$E25="일")</formula>
    </cfRule>
  </conditionalFormatting>
  <conditionalFormatting sqref="L25:M25">
    <cfRule type="expression" dxfId="927" priority="603">
      <formula>$D25=$A$2</formula>
    </cfRule>
  </conditionalFormatting>
  <conditionalFormatting sqref="L25:M25">
    <cfRule type="expression" dxfId="926" priority="604">
      <formula>($D25=$A$2)</formula>
    </cfRule>
    <cfRule type="expression" dxfId="925" priority="605">
      <formula>OR($E25="토",$E25="일")</formula>
    </cfRule>
  </conditionalFormatting>
  <conditionalFormatting sqref="J25:M25">
    <cfRule type="expression" dxfId="924" priority="600">
      <formula>$D25=$A$2</formula>
    </cfRule>
  </conditionalFormatting>
  <conditionalFormatting sqref="J25:M25">
    <cfRule type="expression" dxfId="923" priority="601">
      <formula>($D25=$A$2)</formula>
    </cfRule>
    <cfRule type="expression" dxfId="922" priority="602">
      <formula>OR($E25="토",$E25="일")</formula>
    </cfRule>
  </conditionalFormatting>
  <conditionalFormatting sqref="L26:M26">
    <cfRule type="expression" dxfId="921" priority="597">
      <formula>$D26=$A$2</formula>
    </cfRule>
  </conditionalFormatting>
  <conditionalFormatting sqref="L26:M26">
    <cfRule type="expression" dxfId="920" priority="598">
      <formula>($D26=$A$2)</formula>
    </cfRule>
    <cfRule type="expression" dxfId="919" priority="599">
      <formula>OR($E26="토",$E26="일")</formula>
    </cfRule>
  </conditionalFormatting>
  <conditionalFormatting sqref="L26:M26">
    <cfRule type="expression" dxfId="918" priority="594">
      <formula>$D26=$A$2</formula>
    </cfRule>
  </conditionalFormatting>
  <conditionalFormatting sqref="L26:M26">
    <cfRule type="expression" dxfId="917" priority="595">
      <formula>($D26=$A$2)</formula>
    </cfRule>
    <cfRule type="expression" dxfId="916" priority="596">
      <formula>OR($E26="토",$E26="일")</formula>
    </cfRule>
  </conditionalFormatting>
  <conditionalFormatting sqref="L26:M26">
    <cfRule type="expression" dxfId="915" priority="591">
      <formula>$D26=$A$2</formula>
    </cfRule>
  </conditionalFormatting>
  <conditionalFormatting sqref="L26:M26">
    <cfRule type="expression" dxfId="914" priority="592">
      <formula>($D26=$A$2)</formula>
    </cfRule>
    <cfRule type="expression" dxfId="913" priority="593">
      <formula>OR($E26="토",$E26="일")</formula>
    </cfRule>
  </conditionalFormatting>
  <conditionalFormatting sqref="J26:M26">
    <cfRule type="expression" dxfId="912" priority="588">
      <formula>$D26=$A$2</formula>
    </cfRule>
  </conditionalFormatting>
  <conditionalFormatting sqref="J26:M26">
    <cfRule type="expression" dxfId="911" priority="589">
      <formula>($D26=$A$2)</formula>
    </cfRule>
    <cfRule type="expression" dxfId="910" priority="590">
      <formula>OR($E26="토",$E26="일")</formula>
    </cfRule>
  </conditionalFormatting>
  <conditionalFormatting sqref="J25:M25">
    <cfRule type="expression" dxfId="909" priority="585">
      <formula>$D25=$A$2</formula>
    </cfRule>
  </conditionalFormatting>
  <conditionalFormatting sqref="J25:M25">
    <cfRule type="expression" dxfId="908" priority="586">
      <formula>($D25=$A$2)</formula>
    </cfRule>
    <cfRule type="expression" dxfId="907" priority="587">
      <formula>OR($E25="토",$E25="일")</formula>
    </cfRule>
  </conditionalFormatting>
  <conditionalFormatting sqref="L24:M24">
    <cfRule type="expression" dxfId="906" priority="582">
      <formula>$D24=$A$2</formula>
    </cfRule>
  </conditionalFormatting>
  <conditionalFormatting sqref="L24:M24">
    <cfRule type="expression" dxfId="905" priority="583">
      <formula>($D24=$A$2)</formula>
    </cfRule>
    <cfRule type="expression" dxfId="904" priority="584">
      <formula>OR($E24="토",$E24="일")</formula>
    </cfRule>
  </conditionalFormatting>
  <conditionalFormatting sqref="L24:M24">
    <cfRule type="expression" dxfId="903" priority="579">
      <formula>$D24=$A$2</formula>
    </cfRule>
  </conditionalFormatting>
  <conditionalFormatting sqref="L24:M24">
    <cfRule type="expression" dxfId="902" priority="580">
      <formula>($D24=$A$2)</formula>
    </cfRule>
    <cfRule type="expression" dxfId="901" priority="581">
      <formula>OR($E24="토",$E24="일")</formula>
    </cfRule>
  </conditionalFormatting>
  <conditionalFormatting sqref="L24:M24">
    <cfRule type="expression" dxfId="900" priority="576">
      <formula>$D24=$A$2</formula>
    </cfRule>
  </conditionalFormatting>
  <conditionalFormatting sqref="L24:M24">
    <cfRule type="expression" dxfId="899" priority="577">
      <formula>($D24=$A$2)</formula>
    </cfRule>
    <cfRule type="expression" dxfId="898" priority="578">
      <formula>OR($E24="토",$E24="일")</formula>
    </cfRule>
  </conditionalFormatting>
  <conditionalFormatting sqref="J24:M24">
    <cfRule type="expression" dxfId="897" priority="573">
      <formula>$D24=$A$2</formula>
    </cfRule>
  </conditionalFormatting>
  <conditionalFormatting sqref="J24:M24">
    <cfRule type="expression" dxfId="896" priority="574">
      <formula>($D24=$A$2)</formula>
    </cfRule>
    <cfRule type="expression" dxfId="895" priority="575">
      <formula>OR($E24="토",$E24="일")</formula>
    </cfRule>
  </conditionalFormatting>
  <conditionalFormatting sqref="G23:H23">
    <cfRule type="expression" dxfId="894" priority="570">
      <formula>$D23=$A$2</formula>
    </cfRule>
  </conditionalFormatting>
  <conditionalFormatting sqref="G23:H23">
    <cfRule type="expression" dxfId="893" priority="571">
      <formula>($D23=$A$2)</formula>
    </cfRule>
    <cfRule type="expression" dxfId="892" priority="572">
      <formula>OR($E23="토",$E23="일")</formula>
    </cfRule>
  </conditionalFormatting>
  <conditionalFormatting sqref="J23:M23">
    <cfRule type="expression" dxfId="891" priority="567">
      <formula>$D23=$A$2</formula>
    </cfRule>
  </conditionalFormatting>
  <conditionalFormatting sqref="J23:M23">
    <cfRule type="expression" dxfId="890" priority="568">
      <formula>($D23=$A$2)</formula>
    </cfRule>
    <cfRule type="expression" dxfId="889" priority="569">
      <formula>OR($E23="토",$E23="일")</formula>
    </cfRule>
  </conditionalFormatting>
  <conditionalFormatting sqref="J23:M23">
    <cfRule type="expression" dxfId="888" priority="564">
      <formula>$D23=$A$2</formula>
    </cfRule>
  </conditionalFormatting>
  <conditionalFormatting sqref="J23:M23">
    <cfRule type="expression" dxfId="887" priority="565">
      <formula>($D23=$A$2)</formula>
    </cfRule>
    <cfRule type="expression" dxfId="886" priority="566">
      <formula>OR($E23="토",$E23="일")</formula>
    </cfRule>
  </conditionalFormatting>
  <conditionalFormatting sqref="J24:M24">
    <cfRule type="expression" dxfId="885" priority="561">
      <formula>$D24=$A$2</formula>
    </cfRule>
  </conditionalFormatting>
  <conditionalFormatting sqref="J24:M24">
    <cfRule type="expression" dxfId="884" priority="562">
      <formula>($D24=$A$2)</formula>
    </cfRule>
    <cfRule type="expression" dxfId="883" priority="563">
      <formula>OR($E24="토",$E24="일")</formula>
    </cfRule>
  </conditionalFormatting>
  <conditionalFormatting sqref="L23:M23">
    <cfRule type="expression" dxfId="882" priority="558">
      <formula>$D23=$A$2</formula>
    </cfRule>
  </conditionalFormatting>
  <conditionalFormatting sqref="L23:M23">
    <cfRule type="expression" dxfId="881" priority="559">
      <formula>($D23=$A$2)</formula>
    </cfRule>
    <cfRule type="expression" dxfId="880" priority="560">
      <formula>OR($E23="토",$E23="일")</formula>
    </cfRule>
  </conditionalFormatting>
  <conditionalFormatting sqref="L23:M23">
    <cfRule type="expression" dxfId="879" priority="555">
      <formula>$D23=$A$2</formula>
    </cfRule>
  </conditionalFormatting>
  <conditionalFormatting sqref="L23:M23">
    <cfRule type="expression" dxfId="878" priority="556">
      <formula>($D23=$A$2)</formula>
    </cfRule>
    <cfRule type="expression" dxfId="877" priority="557">
      <formula>OR($E23="토",$E23="일")</formula>
    </cfRule>
  </conditionalFormatting>
  <conditionalFormatting sqref="L23:M23">
    <cfRule type="expression" dxfId="876" priority="552">
      <formula>$D23=$A$2</formula>
    </cfRule>
  </conditionalFormatting>
  <conditionalFormatting sqref="L23:M23">
    <cfRule type="expression" dxfId="875" priority="553">
      <formula>($D23=$A$2)</formula>
    </cfRule>
    <cfRule type="expression" dxfId="874" priority="554">
      <formula>OR($E23="토",$E23="일")</formula>
    </cfRule>
  </conditionalFormatting>
  <conditionalFormatting sqref="J23:M23">
    <cfRule type="expression" dxfId="873" priority="549">
      <formula>$D23=$A$2</formula>
    </cfRule>
  </conditionalFormatting>
  <conditionalFormatting sqref="J23:M23">
    <cfRule type="expression" dxfId="872" priority="550">
      <formula>($D23=$A$2)</formula>
    </cfRule>
    <cfRule type="expression" dxfId="871" priority="551">
      <formula>OR($E23="토",$E23="일")</formula>
    </cfRule>
  </conditionalFormatting>
  <conditionalFormatting sqref="L24:M24">
    <cfRule type="expression" dxfId="870" priority="546">
      <formula>$D24=$A$2</formula>
    </cfRule>
  </conditionalFormatting>
  <conditionalFormatting sqref="L24:M24">
    <cfRule type="expression" dxfId="869" priority="547">
      <formula>($D24=$A$2)</formula>
    </cfRule>
    <cfRule type="expression" dxfId="868" priority="548">
      <formula>OR($E24="토",$E24="일")</formula>
    </cfRule>
  </conditionalFormatting>
  <conditionalFormatting sqref="L24:M24">
    <cfRule type="expression" dxfId="867" priority="543">
      <formula>$D24=$A$2</formula>
    </cfRule>
  </conditionalFormatting>
  <conditionalFormatting sqref="L24:M24">
    <cfRule type="expression" dxfId="866" priority="544">
      <formula>($D24=$A$2)</formula>
    </cfRule>
    <cfRule type="expression" dxfId="865" priority="545">
      <formula>OR($E24="토",$E24="일")</formula>
    </cfRule>
  </conditionalFormatting>
  <conditionalFormatting sqref="L24:M24">
    <cfRule type="expression" dxfId="864" priority="540">
      <formula>$D24=$A$2</formula>
    </cfRule>
  </conditionalFormatting>
  <conditionalFormatting sqref="L24:M24">
    <cfRule type="expression" dxfId="863" priority="541">
      <formula>($D24=$A$2)</formula>
    </cfRule>
    <cfRule type="expression" dxfId="862" priority="542">
      <formula>OR($E24="토",$E24="일")</formula>
    </cfRule>
  </conditionalFormatting>
  <conditionalFormatting sqref="J24:M24">
    <cfRule type="expression" dxfId="861" priority="537">
      <formula>$D24=$A$2</formula>
    </cfRule>
  </conditionalFormatting>
  <conditionalFormatting sqref="J24:M24">
    <cfRule type="expression" dxfId="860" priority="538">
      <formula>($D24=$A$2)</formula>
    </cfRule>
    <cfRule type="expression" dxfId="859" priority="539">
      <formula>OR($E24="토",$E24="일")</formula>
    </cfRule>
  </conditionalFormatting>
  <conditionalFormatting sqref="J23:M23">
    <cfRule type="expression" dxfId="858" priority="534">
      <formula>$D23=$A$2</formula>
    </cfRule>
  </conditionalFormatting>
  <conditionalFormatting sqref="J23:M23">
    <cfRule type="expression" dxfId="857" priority="535">
      <formula>($D23=$A$2)</formula>
    </cfRule>
    <cfRule type="expression" dxfId="856" priority="536">
      <formula>OR($E23="토",$E23="일")</formula>
    </cfRule>
  </conditionalFormatting>
  <conditionalFormatting sqref="L25:M25">
    <cfRule type="expression" dxfId="855" priority="531">
      <formula>$D25=$A$2</formula>
    </cfRule>
  </conditionalFormatting>
  <conditionalFormatting sqref="L25:M25">
    <cfRule type="expression" dxfId="854" priority="532">
      <formula>($D25=$A$2)</formula>
    </cfRule>
    <cfRule type="expression" dxfId="853" priority="533">
      <formula>OR($E25="토",$E25="일")</formula>
    </cfRule>
  </conditionalFormatting>
  <conditionalFormatting sqref="L25:M25">
    <cfRule type="expression" dxfId="852" priority="528">
      <formula>$D25=$A$2</formula>
    </cfRule>
  </conditionalFormatting>
  <conditionalFormatting sqref="L25:M25">
    <cfRule type="expression" dxfId="851" priority="529">
      <formula>($D25=$A$2)</formula>
    </cfRule>
    <cfRule type="expression" dxfId="850" priority="530">
      <formula>OR($E25="토",$E25="일")</formula>
    </cfRule>
  </conditionalFormatting>
  <conditionalFormatting sqref="L25:M25">
    <cfRule type="expression" dxfId="849" priority="525">
      <formula>$D25=$A$2</formula>
    </cfRule>
  </conditionalFormatting>
  <conditionalFormatting sqref="L25:M25">
    <cfRule type="expression" dxfId="848" priority="526">
      <formula>($D25=$A$2)</formula>
    </cfRule>
    <cfRule type="expression" dxfId="847" priority="527">
      <formula>OR($E25="토",$E25="일")</formula>
    </cfRule>
  </conditionalFormatting>
  <conditionalFormatting sqref="L25:M25">
    <cfRule type="expression" dxfId="846" priority="522">
      <formula>$D25=$A$2</formula>
    </cfRule>
  </conditionalFormatting>
  <conditionalFormatting sqref="L25:M25">
    <cfRule type="expression" dxfId="845" priority="523">
      <formula>($D25=$A$2)</formula>
    </cfRule>
    <cfRule type="expression" dxfId="844" priority="524">
      <formula>OR($E25="토",$E25="일")</formula>
    </cfRule>
  </conditionalFormatting>
  <conditionalFormatting sqref="L25:M25">
    <cfRule type="expression" dxfId="843" priority="519">
      <formula>$D25=$A$2</formula>
    </cfRule>
  </conditionalFormatting>
  <conditionalFormatting sqref="L25:M25">
    <cfRule type="expression" dxfId="842" priority="520">
      <formula>($D25=$A$2)</formula>
    </cfRule>
    <cfRule type="expression" dxfId="841" priority="521">
      <formula>OR($E25="토",$E25="일")</formula>
    </cfRule>
  </conditionalFormatting>
  <conditionalFormatting sqref="J25:M25">
    <cfRule type="expression" dxfId="840" priority="516">
      <formula>$D25=$A$2</formula>
    </cfRule>
  </conditionalFormatting>
  <conditionalFormatting sqref="J25:M25">
    <cfRule type="expression" dxfId="839" priority="517">
      <formula>($D25=$A$2)</formula>
    </cfRule>
    <cfRule type="expression" dxfId="838" priority="518">
      <formula>OR($E25="토",$E25="일")</formula>
    </cfRule>
  </conditionalFormatting>
  <conditionalFormatting sqref="J25:M25">
    <cfRule type="expression" dxfId="837" priority="513">
      <formula>$D25=$A$2</formula>
    </cfRule>
  </conditionalFormatting>
  <conditionalFormatting sqref="J25:M25">
    <cfRule type="expression" dxfId="836" priority="514">
      <formula>($D25=$A$2)</formula>
    </cfRule>
    <cfRule type="expression" dxfId="835" priority="515">
      <formula>OR($E25="토",$E25="일")</formula>
    </cfRule>
  </conditionalFormatting>
  <conditionalFormatting sqref="L25:M25">
    <cfRule type="expression" dxfId="834" priority="510">
      <formula>$D25=$A$2</formula>
    </cfRule>
  </conditionalFormatting>
  <conditionalFormatting sqref="L25:M25">
    <cfRule type="expression" dxfId="833" priority="511">
      <formula>($D25=$A$2)</formula>
    </cfRule>
    <cfRule type="expression" dxfId="832" priority="512">
      <formula>OR($E25="토",$E25="일")</formula>
    </cfRule>
  </conditionalFormatting>
  <conditionalFormatting sqref="L25:M25">
    <cfRule type="expression" dxfId="831" priority="507">
      <formula>$D25=$A$2</formula>
    </cfRule>
  </conditionalFormatting>
  <conditionalFormatting sqref="L25:M25">
    <cfRule type="expression" dxfId="830" priority="508">
      <formula>($D25=$A$2)</formula>
    </cfRule>
    <cfRule type="expression" dxfId="829" priority="509">
      <formula>OR($E25="토",$E25="일")</formula>
    </cfRule>
  </conditionalFormatting>
  <conditionalFormatting sqref="L25:M25">
    <cfRule type="expression" dxfId="828" priority="504">
      <formula>$D25=$A$2</formula>
    </cfRule>
  </conditionalFormatting>
  <conditionalFormatting sqref="L25:M25">
    <cfRule type="expression" dxfId="827" priority="505">
      <formula>($D25=$A$2)</formula>
    </cfRule>
    <cfRule type="expression" dxfId="826" priority="506">
      <formula>OR($E25="토",$E25="일")</formula>
    </cfRule>
  </conditionalFormatting>
  <conditionalFormatting sqref="J25:M25">
    <cfRule type="expression" dxfId="825" priority="501">
      <formula>$D25=$A$2</formula>
    </cfRule>
  </conditionalFormatting>
  <conditionalFormatting sqref="J25:M25">
    <cfRule type="expression" dxfId="824" priority="502">
      <formula>($D25=$A$2)</formula>
    </cfRule>
    <cfRule type="expression" dxfId="823" priority="503">
      <formula>OR($E25="토",$E25="일")</formula>
    </cfRule>
  </conditionalFormatting>
  <conditionalFormatting sqref="G23:H23">
    <cfRule type="expression" dxfId="822" priority="498">
      <formula>$D23=$A$2</formula>
    </cfRule>
  </conditionalFormatting>
  <conditionalFormatting sqref="G23:H23">
    <cfRule type="expression" dxfId="821" priority="499">
      <formula>($D23=$A$2)</formula>
    </cfRule>
    <cfRule type="expression" dxfId="820" priority="500">
      <formula>OR($E23="토",$E23="일")</formula>
    </cfRule>
  </conditionalFormatting>
  <conditionalFormatting sqref="J23:M23">
    <cfRule type="expression" dxfId="819" priority="495">
      <formula>$D23=$A$2</formula>
    </cfRule>
  </conditionalFormatting>
  <conditionalFormatting sqref="J23:M23">
    <cfRule type="expression" dxfId="818" priority="496">
      <formula>($D23=$A$2)</formula>
    </cfRule>
    <cfRule type="expression" dxfId="817" priority="497">
      <formula>OR($E23="토",$E23="일")</formula>
    </cfRule>
  </conditionalFormatting>
  <conditionalFormatting sqref="J23:M23">
    <cfRule type="expression" dxfId="816" priority="492">
      <formula>$D23=$A$2</formula>
    </cfRule>
  </conditionalFormatting>
  <conditionalFormatting sqref="J23:M23">
    <cfRule type="expression" dxfId="815" priority="493">
      <formula>($D23=$A$2)</formula>
    </cfRule>
    <cfRule type="expression" dxfId="814" priority="494">
      <formula>OR($E23="토",$E23="일")</formula>
    </cfRule>
  </conditionalFormatting>
  <conditionalFormatting sqref="L26:M26">
    <cfRule type="expression" dxfId="813" priority="489">
      <formula>$D26=$A$2</formula>
    </cfRule>
  </conditionalFormatting>
  <conditionalFormatting sqref="L26:M26">
    <cfRule type="expression" dxfId="812" priority="490">
      <formula>($D26=$A$2)</formula>
    </cfRule>
    <cfRule type="expression" dxfId="811" priority="491">
      <formula>OR($E26="토",$E26="일")</formula>
    </cfRule>
  </conditionalFormatting>
  <conditionalFormatting sqref="G24:H24">
    <cfRule type="expression" dxfId="810" priority="486">
      <formula>$D24=$A$2</formula>
    </cfRule>
  </conditionalFormatting>
  <conditionalFormatting sqref="G24:H24">
    <cfRule type="expression" dxfId="809" priority="487">
      <formula>($D24=$A$2)</formula>
    </cfRule>
    <cfRule type="expression" dxfId="808" priority="488">
      <formula>OR($E24="토",$E24="일")</formula>
    </cfRule>
  </conditionalFormatting>
  <conditionalFormatting sqref="G23:H23">
    <cfRule type="expression" dxfId="807" priority="483">
      <formula>$D23=$A$2</formula>
    </cfRule>
  </conditionalFormatting>
  <conditionalFormatting sqref="G23:H23">
    <cfRule type="expression" dxfId="806" priority="484">
      <formula>($D23=$A$2)</formula>
    </cfRule>
    <cfRule type="expression" dxfId="805" priority="485">
      <formula>OR($E23="토",$E23="일")</formula>
    </cfRule>
  </conditionalFormatting>
  <conditionalFormatting sqref="J24:M24">
    <cfRule type="expression" dxfId="804" priority="480">
      <formula>$D24=$A$2</formula>
    </cfRule>
  </conditionalFormatting>
  <conditionalFormatting sqref="J24:M24">
    <cfRule type="expression" dxfId="803" priority="481">
      <formula>($D24=$A$2)</formula>
    </cfRule>
    <cfRule type="expression" dxfId="802" priority="482">
      <formula>OR($E24="토",$E24="일")</formula>
    </cfRule>
  </conditionalFormatting>
  <conditionalFormatting sqref="L23:M23">
    <cfRule type="expression" dxfId="801" priority="477">
      <formula>$D23=$A$2</formula>
    </cfRule>
  </conditionalFormatting>
  <conditionalFormatting sqref="L23:M23">
    <cfRule type="expression" dxfId="800" priority="478">
      <formula>($D23=$A$2)</formula>
    </cfRule>
    <cfRule type="expression" dxfId="799" priority="479">
      <formula>OR($E23="토",$E23="일")</formula>
    </cfRule>
  </conditionalFormatting>
  <conditionalFormatting sqref="L26:M26">
    <cfRule type="expression" dxfId="798" priority="474">
      <formula>$D26=$A$2</formula>
    </cfRule>
  </conditionalFormatting>
  <conditionalFormatting sqref="L26:M26">
    <cfRule type="expression" dxfId="797" priority="475">
      <formula>($D26=$A$2)</formula>
    </cfRule>
    <cfRule type="expression" dxfId="796" priority="476">
      <formula>OR($E26="토",$E26="일")</formula>
    </cfRule>
  </conditionalFormatting>
  <conditionalFormatting sqref="L26:M26">
    <cfRule type="expression" dxfId="795" priority="471">
      <formula>$D26=$A$2</formula>
    </cfRule>
  </conditionalFormatting>
  <conditionalFormatting sqref="L26:M26">
    <cfRule type="expression" dxfId="794" priority="472">
      <formula>($D26=$A$2)</formula>
    </cfRule>
    <cfRule type="expression" dxfId="793" priority="473">
      <formula>OR($E26="토",$E26="일")</formula>
    </cfRule>
  </conditionalFormatting>
  <conditionalFormatting sqref="J26:M26">
    <cfRule type="expression" dxfId="792" priority="468">
      <formula>$D26=$A$2</formula>
    </cfRule>
  </conditionalFormatting>
  <conditionalFormatting sqref="J26:M26">
    <cfRule type="expression" dxfId="791" priority="469">
      <formula>($D26=$A$2)</formula>
    </cfRule>
    <cfRule type="expression" dxfId="790" priority="470">
      <formula>OR($E26="토",$E26="일")</formula>
    </cfRule>
  </conditionalFormatting>
  <conditionalFormatting sqref="G25:H25">
    <cfRule type="expression" dxfId="789" priority="465">
      <formula>$D25=$A$2</formula>
    </cfRule>
  </conditionalFormatting>
  <conditionalFormatting sqref="G25:H25">
    <cfRule type="expression" dxfId="788" priority="466">
      <formula>($D25=$A$2)</formula>
    </cfRule>
    <cfRule type="expression" dxfId="787" priority="467">
      <formula>OR($E25="토",$E25="일")</formula>
    </cfRule>
  </conditionalFormatting>
  <conditionalFormatting sqref="J25:M25">
    <cfRule type="expression" dxfId="786" priority="462">
      <formula>$D25=$A$2</formula>
    </cfRule>
  </conditionalFormatting>
  <conditionalFormatting sqref="J25:M25">
    <cfRule type="expression" dxfId="785" priority="463">
      <formula>($D25=$A$2)</formula>
    </cfRule>
    <cfRule type="expression" dxfId="784" priority="464">
      <formula>OR($E25="토",$E25="일")</formula>
    </cfRule>
  </conditionalFormatting>
  <conditionalFormatting sqref="J23:M23">
    <cfRule type="expression" dxfId="783" priority="459">
      <formula>$D23=$A$2</formula>
    </cfRule>
  </conditionalFormatting>
  <conditionalFormatting sqref="J23:M23">
    <cfRule type="expression" dxfId="782" priority="460">
      <formula>($D23=$A$2)</formula>
    </cfRule>
    <cfRule type="expression" dxfId="781" priority="461">
      <formula>OR($E23="토",$E23="일")</formula>
    </cfRule>
  </conditionalFormatting>
  <conditionalFormatting sqref="J24:M24">
    <cfRule type="expression" dxfId="780" priority="456">
      <formula>$D24=$A$2</formula>
    </cfRule>
  </conditionalFormatting>
  <conditionalFormatting sqref="J24:M24">
    <cfRule type="expression" dxfId="779" priority="457">
      <formula>($D24=$A$2)</formula>
    </cfRule>
    <cfRule type="expression" dxfId="778" priority="458">
      <formula>OR($E24="토",$E24="일")</formula>
    </cfRule>
  </conditionalFormatting>
  <conditionalFormatting sqref="L23:M23">
    <cfRule type="expression" dxfId="777" priority="453">
      <formula>$D23=$A$2</formula>
    </cfRule>
  </conditionalFormatting>
  <conditionalFormatting sqref="L23:M23">
    <cfRule type="expression" dxfId="776" priority="454">
      <formula>($D23=$A$2)</formula>
    </cfRule>
    <cfRule type="expression" dxfId="775" priority="455">
      <formula>OR($E23="토",$E23="일")</formula>
    </cfRule>
  </conditionalFormatting>
  <conditionalFormatting sqref="J24:M24">
    <cfRule type="expression" dxfId="774" priority="450">
      <formula>$D24=$A$2</formula>
    </cfRule>
  </conditionalFormatting>
  <conditionalFormatting sqref="J24:M24">
    <cfRule type="expression" dxfId="773" priority="451">
      <formula>($D24=$A$2)</formula>
    </cfRule>
    <cfRule type="expression" dxfId="772" priority="452">
      <formula>OR($E24="토",$E24="일")</formula>
    </cfRule>
  </conditionalFormatting>
  <conditionalFormatting sqref="J25:M25">
    <cfRule type="expression" dxfId="771" priority="447">
      <formula>$D25=$A$2</formula>
    </cfRule>
  </conditionalFormatting>
  <conditionalFormatting sqref="J25:M25">
    <cfRule type="expression" dxfId="770" priority="448">
      <formula>($D25=$A$2)</formula>
    </cfRule>
    <cfRule type="expression" dxfId="769" priority="449">
      <formula>OR($E25="토",$E25="일")</formula>
    </cfRule>
  </conditionalFormatting>
  <conditionalFormatting sqref="L24:M24">
    <cfRule type="expression" dxfId="768" priority="444">
      <formula>$D24=$A$2</formula>
    </cfRule>
  </conditionalFormatting>
  <conditionalFormatting sqref="L24:M24">
    <cfRule type="expression" dxfId="767" priority="445">
      <formula>($D24=$A$2)</formula>
    </cfRule>
    <cfRule type="expression" dxfId="766" priority="446">
      <formula>OR($E24="토",$E24="일")</formula>
    </cfRule>
  </conditionalFormatting>
  <conditionalFormatting sqref="J26:M26">
    <cfRule type="expression" dxfId="765" priority="441">
      <formula>$D26=$A$2</formula>
    </cfRule>
  </conditionalFormatting>
  <conditionalFormatting sqref="J26:M26">
    <cfRule type="expression" dxfId="764" priority="442">
      <formula>($D26=$A$2)</formula>
    </cfRule>
    <cfRule type="expression" dxfId="763" priority="443">
      <formula>OR($E26="토",$E26="일")</formula>
    </cfRule>
  </conditionalFormatting>
  <conditionalFormatting sqref="L25:M25">
    <cfRule type="expression" dxfId="762" priority="438">
      <formula>$D25=$A$2</formula>
    </cfRule>
  </conditionalFormatting>
  <conditionalFormatting sqref="L25:M25">
    <cfRule type="expression" dxfId="761" priority="439">
      <formula>($D25=$A$2)</formula>
    </cfRule>
    <cfRule type="expression" dxfId="760" priority="440">
      <formula>OR($E25="토",$E25="일")</formula>
    </cfRule>
  </conditionalFormatting>
  <conditionalFormatting sqref="L25:M25">
    <cfRule type="expression" dxfId="759" priority="435">
      <formula>$D25=$A$2</formula>
    </cfRule>
  </conditionalFormatting>
  <conditionalFormatting sqref="L25:M25">
    <cfRule type="expression" dxfId="758" priority="436">
      <formula>($D25=$A$2)</formula>
    </cfRule>
    <cfRule type="expression" dxfId="757" priority="437">
      <formula>OR($E25="토",$E25="일")</formula>
    </cfRule>
  </conditionalFormatting>
  <conditionalFormatting sqref="L25:M25">
    <cfRule type="expression" dxfId="756" priority="432">
      <formula>$D25=$A$2</formula>
    </cfRule>
  </conditionalFormatting>
  <conditionalFormatting sqref="L25:M25">
    <cfRule type="expression" dxfId="755" priority="433">
      <formula>($D25=$A$2)</formula>
    </cfRule>
    <cfRule type="expression" dxfId="754" priority="434">
      <formula>OR($E25="토",$E25="일")</formula>
    </cfRule>
  </conditionalFormatting>
  <conditionalFormatting sqref="J25:M25">
    <cfRule type="expression" dxfId="753" priority="429">
      <formula>$D25=$A$2</formula>
    </cfRule>
  </conditionalFormatting>
  <conditionalFormatting sqref="J25:M25">
    <cfRule type="expression" dxfId="752" priority="430">
      <formula>($D25=$A$2)</formula>
    </cfRule>
    <cfRule type="expression" dxfId="751" priority="431">
      <formula>OR($E25="토",$E25="일")</formula>
    </cfRule>
  </conditionalFormatting>
  <conditionalFormatting sqref="L26:M26">
    <cfRule type="expression" dxfId="750" priority="426">
      <formula>$D26=$A$2</formula>
    </cfRule>
  </conditionalFormatting>
  <conditionalFormatting sqref="L26:M26">
    <cfRule type="expression" dxfId="749" priority="427">
      <formula>($D26=$A$2)</formula>
    </cfRule>
    <cfRule type="expression" dxfId="748" priority="428">
      <formula>OR($E26="토",$E26="일")</formula>
    </cfRule>
  </conditionalFormatting>
  <conditionalFormatting sqref="L26:M26">
    <cfRule type="expression" dxfId="747" priority="423">
      <formula>$D26=$A$2</formula>
    </cfRule>
  </conditionalFormatting>
  <conditionalFormatting sqref="L26:M26">
    <cfRule type="expression" dxfId="746" priority="424">
      <formula>($D26=$A$2)</formula>
    </cfRule>
    <cfRule type="expression" dxfId="745" priority="425">
      <formula>OR($E26="토",$E26="일")</formula>
    </cfRule>
  </conditionalFormatting>
  <conditionalFormatting sqref="L26:M26">
    <cfRule type="expression" dxfId="744" priority="420">
      <formula>$D26=$A$2</formula>
    </cfRule>
  </conditionalFormatting>
  <conditionalFormatting sqref="L26:M26">
    <cfRule type="expression" dxfId="743" priority="421">
      <formula>($D26=$A$2)</formula>
    </cfRule>
    <cfRule type="expression" dxfId="742" priority="422">
      <formula>OR($E26="토",$E26="일")</formula>
    </cfRule>
  </conditionalFormatting>
  <conditionalFormatting sqref="J26:M26">
    <cfRule type="expression" dxfId="741" priority="417">
      <formula>$D26=$A$2</formula>
    </cfRule>
  </conditionalFormatting>
  <conditionalFormatting sqref="J26:M26">
    <cfRule type="expression" dxfId="740" priority="418">
      <formula>($D26=$A$2)</formula>
    </cfRule>
    <cfRule type="expression" dxfId="739" priority="419">
      <formula>OR($E26="토",$E26="일")</formula>
    </cfRule>
  </conditionalFormatting>
  <conditionalFormatting sqref="J25:M25">
    <cfRule type="expression" dxfId="738" priority="414">
      <formula>$D25=$A$2</formula>
    </cfRule>
  </conditionalFormatting>
  <conditionalFormatting sqref="J25:M25">
    <cfRule type="expression" dxfId="737" priority="415">
      <formula>($D25=$A$2)</formula>
    </cfRule>
    <cfRule type="expression" dxfId="736" priority="416">
      <formula>OR($E25="토",$E25="일")</formula>
    </cfRule>
  </conditionalFormatting>
  <conditionalFormatting sqref="L25:M25">
    <cfRule type="expression" dxfId="735" priority="411">
      <formula>$D25=$A$2</formula>
    </cfRule>
  </conditionalFormatting>
  <conditionalFormatting sqref="L25:M25">
    <cfRule type="expression" dxfId="734" priority="412">
      <formula>($D25=$A$2)</formula>
    </cfRule>
    <cfRule type="expression" dxfId="733" priority="413">
      <formula>OR($E25="토",$E25="일")</formula>
    </cfRule>
  </conditionalFormatting>
  <conditionalFormatting sqref="L25:M25">
    <cfRule type="expression" dxfId="732" priority="408">
      <formula>$D25=$A$2</formula>
    </cfRule>
  </conditionalFormatting>
  <conditionalFormatting sqref="L25:M25">
    <cfRule type="expression" dxfId="731" priority="409">
      <formula>($D25=$A$2)</formula>
    </cfRule>
    <cfRule type="expression" dxfId="730" priority="410">
      <formula>OR($E25="토",$E25="일")</formula>
    </cfRule>
  </conditionalFormatting>
  <conditionalFormatting sqref="L25:M25">
    <cfRule type="expression" dxfId="729" priority="405">
      <formula>$D25=$A$2</formula>
    </cfRule>
  </conditionalFormatting>
  <conditionalFormatting sqref="L25:M25">
    <cfRule type="expression" dxfId="728" priority="406">
      <formula>($D25=$A$2)</formula>
    </cfRule>
    <cfRule type="expression" dxfId="727" priority="407">
      <formula>OR($E25="토",$E25="일")</formula>
    </cfRule>
  </conditionalFormatting>
  <conditionalFormatting sqref="J25:M25">
    <cfRule type="expression" dxfId="726" priority="402">
      <formula>$D25=$A$2</formula>
    </cfRule>
  </conditionalFormatting>
  <conditionalFormatting sqref="J25:M25">
    <cfRule type="expression" dxfId="725" priority="403">
      <formula>($D25=$A$2)</formula>
    </cfRule>
    <cfRule type="expression" dxfId="724" priority="404">
      <formula>OR($E25="토",$E25="일")</formula>
    </cfRule>
  </conditionalFormatting>
  <conditionalFormatting sqref="G24:H24">
    <cfRule type="expression" dxfId="723" priority="399">
      <formula>$D24=$A$2</formula>
    </cfRule>
  </conditionalFormatting>
  <conditionalFormatting sqref="G24:H24">
    <cfRule type="expression" dxfId="722" priority="400">
      <formula>($D24=$A$2)</formula>
    </cfRule>
    <cfRule type="expression" dxfId="721" priority="401">
      <formula>OR($E24="토",$E24="일")</formula>
    </cfRule>
  </conditionalFormatting>
  <conditionalFormatting sqref="J24:M24">
    <cfRule type="expression" dxfId="720" priority="396">
      <formula>$D24=$A$2</formula>
    </cfRule>
  </conditionalFormatting>
  <conditionalFormatting sqref="J24:M24">
    <cfRule type="expression" dxfId="719" priority="397">
      <formula>($D24=$A$2)</formula>
    </cfRule>
    <cfRule type="expression" dxfId="718" priority="398">
      <formula>OR($E24="토",$E24="일")</formula>
    </cfRule>
  </conditionalFormatting>
  <conditionalFormatting sqref="J24:M24">
    <cfRule type="expression" dxfId="717" priority="393">
      <formula>$D24=$A$2</formula>
    </cfRule>
  </conditionalFormatting>
  <conditionalFormatting sqref="J24:M24">
    <cfRule type="expression" dxfId="716" priority="394">
      <formula>($D24=$A$2)</formula>
    </cfRule>
    <cfRule type="expression" dxfId="715" priority="395">
      <formula>OR($E24="토",$E24="일")</formula>
    </cfRule>
  </conditionalFormatting>
  <conditionalFormatting sqref="J25:M25">
    <cfRule type="expression" dxfId="714" priority="390">
      <formula>$D25=$A$2</formula>
    </cfRule>
  </conditionalFormatting>
  <conditionalFormatting sqref="J25:M25">
    <cfRule type="expression" dxfId="713" priority="391">
      <formula>($D25=$A$2)</formula>
    </cfRule>
    <cfRule type="expression" dxfId="712" priority="392">
      <formula>OR($E25="토",$E25="일")</formula>
    </cfRule>
  </conditionalFormatting>
  <conditionalFormatting sqref="L24:M24">
    <cfRule type="expression" dxfId="711" priority="387">
      <formula>$D24=$A$2</formula>
    </cfRule>
  </conditionalFormatting>
  <conditionalFormatting sqref="L24:M24">
    <cfRule type="expression" dxfId="710" priority="388">
      <formula>($D24=$A$2)</formula>
    </cfRule>
    <cfRule type="expression" dxfId="709" priority="389">
      <formula>OR($E24="토",$E24="일")</formula>
    </cfRule>
  </conditionalFormatting>
  <conditionalFormatting sqref="L24:M24">
    <cfRule type="expression" dxfId="708" priority="384">
      <formula>$D24=$A$2</formula>
    </cfRule>
  </conditionalFormatting>
  <conditionalFormatting sqref="L24:M24">
    <cfRule type="expression" dxfId="707" priority="385">
      <formula>($D24=$A$2)</formula>
    </cfRule>
    <cfRule type="expression" dxfId="706" priority="386">
      <formula>OR($E24="토",$E24="일")</formula>
    </cfRule>
  </conditionalFormatting>
  <conditionalFormatting sqref="L24:M24">
    <cfRule type="expression" dxfId="705" priority="381">
      <formula>$D24=$A$2</formula>
    </cfRule>
  </conditionalFormatting>
  <conditionalFormatting sqref="L24:M24">
    <cfRule type="expression" dxfId="704" priority="382">
      <formula>($D24=$A$2)</formula>
    </cfRule>
    <cfRule type="expression" dxfId="703" priority="383">
      <formula>OR($E24="토",$E24="일")</formula>
    </cfRule>
  </conditionalFormatting>
  <conditionalFormatting sqref="J24:M24">
    <cfRule type="expression" dxfId="702" priority="378">
      <formula>$D24=$A$2</formula>
    </cfRule>
  </conditionalFormatting>
  <conditionalFormatting sqref="J24:M24">
    <cfRule type="expression" dxfId="701" priority="379">
      <formula>($D24=$A$2)</formula>
    </cfRule>
    <cfRule type="expression" dxfId="700" priority="380">
      <formula>OR($E24="토",$E24="일")</formula>
    </cfRule>
  </conditionalFormatting>
  <conditionalFormatting sqref="L25:M25">
    <cfRule type="expression" dxfId="699" priority="375">
      <formula>$D25=$A$2</formula>
    </cfRule>
  </conditionalFormatting>
  <conditionalFormatting sqref="L25:M25">
    <cfRule type="expression" dxfId="698" priority="376">
      <formula>($D25=$A$2)</formula>
    </cfRule>
    <cfRule type="expression" dxfId="697" priority="377">
      <formula>OR($E25="토",$E25="일")</formula>
    </cfRule>
  </conditionalFormatting>
  <conditionalFormatting sqref="L25:M25">
    <cfRule type="expression" dxfId="696" priority="372">
      <formula>$D25=$A$2</formula>
    </cfRule>
  </conditionalFormatting>
  <conditionalFormatting sqref="L25:M25">
    <cfRule type="expression" dxfId="695" priority="373">
      <formula>($D25=$A$2)</formula>
    </cfRule>
    <cfRule type="expression" dxfId="694" priority="374">
      <formula>OR($E25="토",$E25="일")</formula>
    </cfRule>
  </conditionalFormatting>
  <conditionalFormatting sqref="L25:M25">
    <cfRule type="expression" dxfId="693" priority="369">
      <formula>$D25=$A$2</formula>
    </cfRule>
  </conditionalFormatting>
  <conditionalFormatting sqref="L25:M25">
    <cfRule type="expression" dxfId="692" priority="370">
      <formula>($D25=$A$2)</formula>
    </cfRule>
    <cfRule type="expression" dxfId="691" priority="371">
      <formula>OR($E25="토",$E25="일")</formula>
    </cfRule>
  </conditionalFormatting>
  <conditionalFormatting sqref="J25:M25">
    <cfRule type="expression" dxfId="690" priority="366">
      <formula>$D25=$A$2</formula>
    </cfRule>
  </conditionalFormatting>
  <conditionalFormatting sqref="J25:M25">
    <cfRule type="expression" dxfId="689" priority="367">
      <formula>($D25=$A$2)</formula>
    </cfRule>
    <cfRule type="expression" dxfId="688" priority="368">
      <formula>OR($E25="토",$E25="일")</formula>
    </cfRule>
  </conditionalFormatting>
  <conditionalFormatting sqref="J24:M24">
    <cfRule type="expression" dxfId="687" priority="363">
      <formula>$D24=$A$2</formula>
    </cfRule>
  </conditionalFormatting>
  <conditionalFormatting sqref="J24:M24">
    <cfRule type="expression" dxfId="686" priority="364">
      <formula>($D24=$A$2)</formula>
    </cfRule>
    <cfRule type="expression" dxfId="685" priority="365">
      <formula>OR($E24="토",$E24="일")</formula>
    </cfRule>
  </conditionalFormatting>
  <conditionalFormatting sqref="L26:M26">
    <cfRule type="expression" dxfId="684" priority="360">
      <formula>$D26=$A$2</formula>
    </cfRule>
  </conditionalFormatting>
  <conditionalFormatting sqref="L26:M26">
    <cfRule type="expression" dxfId="683" priority="361">
      <formula>($D26=$A$2)</formula>
    </cfRule>
    <cfRule type="expression" dxfId="682" priority="362">
      <formula>OR($E26="토",$E26="일")</formula>
    </cfRule>
  </conditionalFormatting>
  <conditionalFormatting sqref="L26:M26">
    <cfRule type="expression" dxfId="681" priority="357">
      <formula>$D26=$A$2</formula>
    </cfRule>
  </conditionalFormatting>
  <conditionalFormatting sqref="L26:M26">
    <cfRule type="expression" dxfId="680" priority="358">
      <formula>($D26=$A$2)</formula>
    </cfRule>
    <cfRule type="expression" dxfId="679" priority="359">
      <formula>OR($E26="토",$E26="일")</formula>
    </cfRule>
  </conditionalFormatting>
  <conditionalFormatting sqref="L26:M26">
    <cfRule type="expression" dxfId="678" priority="354">
      <formula>$D26=$A$2</formula>
    </cfRule>
  </conditionalFormatting>
  <conditionalFormatting sqref="L26:M26">
    <cfRule type="expression" dxfId="677" priority="355">
      <formula>($D26=$A$2)</formula>
    </cfRule>
    <cfRule type="expression" dxfId="676" priority="356">
      <formula>OR($E26="토",$E26="일")</formula>
    </cfRule>
  </conditionalFormatting>
  <conditionalFormatting sqref="L26:M26">
    <cfRule type="expression" dxfId="675" priority="351">
      <formula>$D26=$A$2</formula>
    </cfRule>
  </conditionalFormatting>
  <conditionalFormatting sqref="L26:M26">
    <cfRule type="expression" dxfId="674" priority="352">
      <formula>($D26=$A$2)</formula>
    </cfRule>
    <cfRule type="expression" dxfId="673" priority="353">
      <formula>OR($E26="토",$E26="일")</formula>
    </cfRule>
  </conditionalFormatting>
  <conditionalFormatting sqref="L26:M26">
    <cfRule type="expression" dxfId="672" priority="348">
      <formula>$D26=$A$2</formula>
    </cfRule>
  </conditionalFormatting>
  <conditionalFormatting sqref="L26:M26">
    <cfRule type="expression" dxfId="671" priority="349">
      <formula>($D26=$A$2)</formula>
    </cfRule>
    <cfRule type="expression" dxfId="670" priority="350">
      <formula>OR($E26="토",$E26="일")</formula>
    </cfRule>
  </conditionalFormatting>
  <conditionalFormatting sqref="J26:M26">
    <cfRule type="expression" dxfId="669" priority="345">
      <formula>$D26=$A$2</formula>
    </cfRule>
  </conditionalFormatting>
  <conditionalFormatting sqref="J26:M26">
    <cfRule type="expression" dxfId="668" priority="346">
      <formula>($D26=$A$2)</formula>
    </cfRule>
    <cfRule type="expression" dxfId="667" priority="347">
      <formula>OR($E26="토",$E26="일")</formula>
    </cfRule>
  </conditionalFormatting>
  <conditionalFormatting sqref="J26:M26">
    <cfRule type="expression" dxfId="666" priority="342">
      <formula>$D26=$A$2</formula>
    </cfRule>
  </conditionalFormatting>
  <conditionalFormatting sqref="J26:M26">
    <cfRule type="expression" dxfId="665" priority="343">
      <formula>($D26=$A$2)</formula>
    </cfRule>
    <cfRule type="expression" dxfId="664" priority="344">
      <formula>OR($E26="토",$E26="일")</formula>
    </cfRule>
  </conditionalFormatting>
  <conditionalFormatting sqref="L26:M26">
    <cfRule type="expression" dxfId="663" priority="339">
      <formula>$D26=$A$2</formula>
    </cfRule>
  </conditionalFormatting>
  <conditionalFormatting sqref="L26:M26">
    <cfRule type="expression" dxfId="662" priority="340">
      <formula>($D26=$A$2)</formula>
    </cfRule>
    <cfRule type="expression" dxfId="661" priority="341">
      <formula>OR($E26="토",$E26="일")</formula>
    </cfRule>
  </conditionalFormatting>
  <conditionalFormatting sqref="L26:M26">
    <cfRule type="expression" dxfId="660" priority="336">
      <formula>$D26=$A$2</formula>
    </cfRule>
  </conditionalFormatting>
  <conditionalFormatting sqref="L26:M26">
    <cfRule type="expression" dxfId="659" priority="337">
      <formula>($D26=$A$2)</formula>
    </cfRule>
    <cfRule type="expression" dxfId="658" priority="338">
      <formula>OR($E26="토",$E26="일")</formula>
    </cfRule>
  </conditionalFormatting>
  <conditionalFormatting sqref="L26:M26">
    <cfRule type="expression" dxfId="657" priority="333">
      <formula>$D26=$A$2</formula>
    </cfRule>
  </conditionalFormatting>
  <conditionalFormatting sqref="L26:M26">
    <cfRule type="expression" dxfId="656" priority="334">
      <formula>($D26=$A$2)</formula>
    </cfRule>
    <cfRule type="expression" dxfId="655" priority="335">
      <formula>OR($E26="토",$E26="일")</formula>
    </cfRule>
  </conditionalFormatting>
  <conditionalFormatting sqref="J26:M26">
    <cfRule type="expression" dxfId="654" priority="330">
      <formula>$D26=$A$2</formula>
    </cfRule>
  </conditionalFormatting>
  <conditionalFormatting sqref="J26:M26">
    <cfRule type="expression" dxfId="653" priority="331">
      <formula>($D26=$A$2)</formula>
    </cfRule>
    <cfRule type="expression" dxfId="652" priority="332">
      <formula>OR($E26="토",$E26="일")</formula>
    </cfRule>
  </conditionalFormatting>
  <conditionalFormatting sqref="G24:H24">
    <cfRule type="expression" dxfId="651" priority="327">
      <formula>$D24=$A$2</formula>
    </cfRule>
  </conditionalFormatting>
  <conditionalFormatting sqref="G24:H24">
    <cfRule type="expression" dxfId="650" priority="328">
      <formula>($D24=$A$2)</formula>
    </cfRule>
    <cfRule type="expression" dxfId="649" priority="329">
      <formula>OR($E24="토",$E24="일")</formula>
    </cfRule>
  </conditionalFormatting>
  <conditionalFormatting sqref="J24:M24">
    <cfRule type="expression" dxfId="648" priority="324">
      <formula>$D24=$A$2</formula>
    </cfRule>
  </conditionalFormatting>
  <conditionalFormatting sqref="J24:M24">
    <cfRule type="expression" dxfId="647" priority="325">
      <formula>($D24=$A$2)</formula>
    </cfRule>
    <cfRule type="expression" dxfId="646" priority="326">
      <formula>OR($E24="토",$E24="일")</formula>
    </cfRule>
  </conditionalFormatting>
  <conditionalFormatting sqref="J24:M24">
    <cfRule type="expression" dxfId="645" priority="321">
      <formula>$D24=$A$2</formula>
    </cfRule>
  </conditionalFormatting>
  <conditionalFormatting sqref="J24:M24">
    <cfRule type="expression" dxfId="644" priority="322">
      <formula>($D24=$A$2)</formula>
    </cfRule>
    <cfRule type="expression" dxfId="643" priority="323">
      <formula>OR($E24="토",$E24="일")</formula>
    </cfRule>
  </conditionalFormatting>
  <conditionalFormatting sqref="G25:H25">
    <cfRule type="expression" dxfId="642" priority="318">
      <formula>$D25=$A$2</formula>
    </cfRule>
  </conditionalFormatting>
  <conditionalFormatting sqref="G25:H25">
    <cfRule type="expression" dxfId="641" priority="319">
      <formula>($D25=$A$2)</formula>
    </cfRule>
    <cfRule type="expression" dxfId="640" priority="320">
      <formula>OR($E25="토",$E25="일")</formula>
    </cfRule>
  </conditionalFormatting>
  <conditionalFormatting sqref="G24:H24">
    <cfRule type="expression" dxfId="639" priority="315">
      <formula>$D24=$A$2</formula>
    </cfRule>
  </conditionalFormatting>
  <conditionalFormatting sqref="G24:H24">
    <cfRule type="expression" dxfId="638" priority="316">
      <formula>($D24=$A$2)</formula>
    </cfRule>
    <cfRule type="expression" dxfId="637" priority="317">
      <formula>OR($E24="토",$E24="일")</formula>
    </cfRule>
  </conditionalFormatting>
  <conditionalFormatting sqref="J25:M25">
    <cfRule type="expression" dxfId="636" priority="312">
      <formula>$D25=$A$2</formula>
    </cfRule>
  </conditionalFormatting>
  <conditionalFormatting sqref="J25:M25">
    <cfRule type="expression" dxfId="635" priority="313">
      <formula>($D25=$A$2)</formula>
    </cfRule>
    <cfRule type="expression" dxfId="634" priority="314">
      <formula>OR($E25="토",$E25="일")</formula>
    </cfRule>
  </conditionalFormatting>
  <conditionalFormatting sqref="L24:M24">
    <cfRule type="expression" dxfId="633" priority="309">
      <formula>$D24=$A$2</formula>
    </cfRule>
  </conditionalFormatting>
  <conditionalFormatting sqref="L24:M24">
    <cfRule type="expression" dxfId="632" priority="310">
      <formula>($D24=$A$2)</formula>
    </cfRule>
    <cfRule type="expression" dxfId="631" priority="311">
      <formula>OR($E24="토",$E24="일")</formula>
    </cfRule>
  </conditionalFormatting>
  <conditionalFormatting sqref="G26:H26">
    <cfRule type="expression" dxfId="630" priority="306">
      <formula>$D26=$A$2</formula>
    </cfRule>
  </conditionalFormatting>
  <conditionalFormatting sqref="G26:H26">
    <cfRule type="expression" dxfId="629" priority="307">
      <formula>($D26=$A$2)</formula>
    </cfRule>
    <cfRule type="expression" dxfId="628" priority="308">
      <formula>OR($E26="토",$E26="일")</formula>
    </cfRule>
  </conditionalFormatting>
  <conditionalFormatting sqref="J26:M26">
    <cfRule type="expression" dxfId="627" priority="303">
      <formula>$D26=$A$2</formula>
    </cfRule>
  </conditionalFormatting>
  <conditionalFormatting sqref="J26:M26">
    <cfRule type="expression" dxfId="626" priority="304">
      <formula>($D26=$A$2)</formula>
    </cfRule>
    <cfRule type="expression" dxfId="625" priority="305">
      <formula>OR($E26="토",$E26="일")</formula>
    </cfRule>
  </conditionalFormatting>
  <conditionalFormatting sqref="J24:M24">
    <cfRule type="expression" dxfId="624" priority="300">
      <formula>$D24=$A$2</formula>
    </cfRule>
  </conditionalFormatting>
  <conditionalFormatting sqref="J24:M24">
    <cfRule type="expression" dxfId="623" priority="301">
      <formula>($D24=$A$2)</formula>
    </cfRule>
    <cfRule type="expression" dxfId="622" priority="302">
      <formula>OR($E24="토",$E24="일")</formula>
    </cfRule>
  </conditionalFormatting>
  <conditionalFormatting sqref="J25:M25">
    <cfRule type="expression" dxfId="621" priority="297">
      <formula>$D25=$A$2</formula>
    </cfRule>
  </conditionalFormatting>
  <conditionalFormatting sqref="J25:M25">
    <cfRule type="expression" dxfId="620" priority="298">
      <formula>($D25=$A$2)</formula>
    </cfRule>
    <cfRule type="expression" dxfId="619" priority="299">
      <formula>OR($E25="토",$E25="일")</formula>
    </cfRule>
  </conditionalFormatting>
  <conditionalFormatting sqref="L24:M24">
    <cfRule type="expression" dxfId="618" priority="294">
      <formula>$D24=$A$2</formula>
    </cfRule>
  </conditionalFormatting>
  <conditionalFormatting sqref="L24:M24">
    <cfRule type="expression" dxfId="617" priority="295">
      <formula>($D24=$A$2)</formula>
    </cfRule>
    <cfRule type="expression" dxfId="616" priority="296">
      <formula>OR($E24="토",$E24="일")</formula>
    </cfRule>
  </conditionalFormatting>
  <conditionalFormatting sqref="J25:M25">
    <cfRule type="expression" dxfId="615" priority="291">
      <formula>$D25=$A$2</formula>
    </cfRule>
  </conditionalFormatting>
  <conditionalFormatting sqref="J25:M25">
    <cfRule type="expression" dxfId="614" priority="292">
      <formula>($D25=$A$2)</formula>
    </cfRule>
    <cfRule type="expression" dxfId="613" priority="293">
      <formula>OR($E25="토",$E25="일")</formula>
    </cfRule>
  </conditionalFormatting>
  <conditionalFormatting sqref="J26:M26">
    <cfRule type="expression" dxfId="612" priority="288">
      <formula>$D26=$A$2</formula>
    </cfRule>
  </conditionalFormatting>
  <conditionalFormatting sqref="J26:M26">
    <cfRule type="expression" dxfId="611" priority="289">
      <formula>($D26=$A$2)</formula>
    </cfRule>
    <cfRule type="expression" dxfId="610" priority="290">
      <formula>OR($E26="토",$E26="일")</formula>
    </cfRule>
  </conditionalFormatting>
  <conditionalFormatting sqref="L25:M25">
    <cfRule type="expression" dxfId="609" priority="285">
      <formula>$D25=$A$2</formula>
    </cfRule>
  </conditionalFormatting>
  <conditionalFormatting sqref="L25:M25">
    <cfRule type="expression" dxfId="608" priority="286">
      <formula>($D25=$A$2)</formula>
    </cfRule>
    <cfRule type="expression" dxfId="607" priority="287">
      <formula>OR($E25="토",$E25="일")</formula>
    </cfRule>
  </conditionalFormatting>
  <conditionalFormatting sqref="L26:M26">
    <cfRule type="expression" dxfId="606" priority="282">
      <formula>$D26=$A$2</formula>
    </cfRule>
  </conditionalFormatting>
  <conditionalFormatting sqref="L26:M26">
    <cfRule type="expression" dxfId="605" priority="283">
      <formula>($D26=$A$2)</formula>
    </cfRule>
    <cfRule type="expression" dxfId="604" priority="284">
      <formula>OR($E26="토",$E26="일")</formula>
    </cfRule>
  </conditionalFormatting>
  <conditionalFormatting sqref="L26:M26">
    <cfRule type="expression" dxfId="603" priority="279">
      <formula>$D26=$A$2</formula>
    </cfRule>
  </conditionalFormatting>
  <conditionalFormatting sqref="L26:M26">
    <cfRule type="expression" dxfId="602" priority="280">
      <formula>($D26=$A$2)</formula>
    </cfRule>
    <cfRule type="expression" dxfId="601" priority="281">
      <formula>OR($E26="토",$E26="일")</formula>
    </cfRule>
  </conditionalFormatting>
  <conditionalFormatting sqref="L26:M26">
    <cfRule type="expression" dxfId="600" priority="276">
      <formula>$D26=$A$2</formula>
    </cfRule>
  </conditionalFormatting>
  <conditionalFormatting sqref="L26:M26">
    <cfRule type="expression" dxfId="599" priority="277">
      <formula>($D26=$A$2)</formula>
    </cfRule>
    <cfRule type="expression" dxfId="598" priority="278">
      <formula>OR($E26="토",$E26="일")</formula>
    </cfRule>
  </conditionalFormatting>
  <conditionalFormatting sqref="J26:M26">
    <cfRule type="expression" dxfId="597" priority="273">
      <formula>$D26=$A$2</formula>
    </cfRule>
  </conditionalFormatting>
  <conditionalFormatting sqref="J26:M26">
    <cfRule type="expression" dxfId="596" priority="274">
      <formula>($D26=$A$2)</formula>
    </cfRule>
    <cfRule type="expression" dxfId="595" priority="275">
      <formula>OR($E26="토",$E26="일")</formula>
    </cfRule>
  </conditionalFormatting>
  <conditionalFormatting sqref="J26:M26">
    <cfRule type="expression" dxfId="594" priority="270">
      <formula>$D26=$A$2</formula>
    </cfRule>
  </conditionalFormatting>
  <conditionalFormatting sqref="J26:M26">
    <cfRule type="expression" dxfId="593" priority="271">
      <formula>($D26=$A$2)</formula>
    </cfRule>
    <cfRule type="expression" dxfId="592" priority="272">
      <formula>OR($E26="토",$E26="일")</formula>
    </cfRule>
  </conditionalFormatting>
  <conditionalFormatting sqref="L27:M27">
    <cfRule type="expression" dxfId="591" priority="267">
      <formula>$D27=$A$2</formula>
    </cfRule>
  </conditionalFormatting>
  <conditionalFormatting sqref="L27:M27">
    <cfRule type="expression" dxfId="590" priority="268">
      <formula>($D27=$A$2)</formula>
    </cfRule>
    <cfRule type="expression" dxfId="589" priority="269">
      <formula>OR($E27="토",$E27="일")</formula>
    </cfRule>
  </conditionalFormatting>
  <conditionalFormatting sqref="L27:M27">
    <cfRule type="expression" dxfId="588" priority="264">
      <formula>$D27=$A$2</formula>
    </cfRule>
  </conditionalFormatting>
  <conditionalFormatting sqref="L27:M27">
    <cfRule type="expression" dxfId="587" priority="265">
      <formula>($D27=$A$2)</formula>
    </cfRule>
    <cfRule type="expression" dxfId="586" priority="266">
      <formula>OR($E27="토",$E27="일")</formula>
    </cfRule>
  </conditionalFormatting>
  <conditionalFormatting sqref="L27:M27">
    <cfRule type="expression" dxfId="585" priority="261">
      <formula>$D27=$A$2</formula>
    </cfRule>
  </conditionalFormatting>
  <conditionalFormatting sqref="L27:M27">
    <cfRule type="expression" dxfId="584" priority="262">
      <formula>($D27=$A$2)</formula>
    </cfRule>
    <cfRule type="expression" dxfId="583" priority="263">
      <formula>OR($E27="토",$E27="일")</formula>
    </cfRule>
  </conditionalFormatting>
  <conditionalFormatting sqref="L27:M27">
    <cfRule type="expression" dxfId="582" priority="258">
      <formula>$D27=$A$2</formula>
    </cfRule>
  </conditionalFormatting>
  <conditionalFormatting sqref="L27:M27">
    <cfRule type="expression" dxfId="581" priority="259">
      <formula>($D27=$A$2)</formula>
    </cfRule>
    <cfRule type="expression" dxfId="580" priority="260">
      <formula>OR($E27="토",$E27="일")</formula>
    </cfRule>
  </conditionalFormatting>
  <conditionalFormatting sqref="L27:M27">
    <cfRule type="expression" dxfId="579" priority="255">
      <formula>$D27=$A$2</formula>
    </cfRule>
  </conditionalFormatting>
  <conditionalFormatting sqref="L27:M27">
    <cfRule type="expression" dxfId="578" priority="256">
      <formula>($D27=$A$2)</formula>
    </cfRule>
    <cfRule type="expression" dxfId="577" priority="257">
      <formula>OR($E27="토",$E27="일")</formula>
    </cfRule>
  </conditionalFormatting>
  <conditionalFormatting sqref="J27:M27">
    <cfRule type="expression" dxfId="576" priority="252">
      <formula>$D27=$A$2</formula>
    </cfRule>
  </conditionalFormatting>
  <conditionalFormatting sqref="J27:M27">
    <cfRule type="expression" dxfId="575" priority="253">
      <formula>($D27=$A$2)</formula>
    </cfRule>
    <cfRule type="expression" dxfId="574" priority="254">
      <formula>OR($E27="토",$E27="일")</formula>
    </cfRule>
  </conditionalFormatting>
  <conditionalFormatting sqref="J27:M27">
    <cfRule type="expression" dxfId="573" priority="249">
      <formula>$D27=$A$2</formula>
    </cfRule>
  </conditionalFormatting>
  <conditionalFormatting sqref="J27:M27">
    <cfRule type="expression" dxfId="572" priority="250">
      <formula>($D27=$A$2)</formula>
    </cfRule>
    <cfRule type="expression" dxfId="571" priority="251">
      <formula>OR($E27="토",$E27="일")</formula>
    </cfRule>
  </conditionalFormatting>
  <conditionalFormatting sqref="L27:M27">
    <cfRule type="expression" dxfId="570" priority="246">
      <formula>$D27=$A$2</formula>
    </cfRule>
  </conditionalFormatting>
  <conditionalFormatting sqref="L27:M27">
    <cfRule type="expression" dxfId="569" priority="247">
      <formula>($D27=$A$2)</formula>
    </cfRule>
    <cfRule type="expression" dxfId="568" priority="248">
      <formula>OR($E27="토",$E27="일")</formula>
    </cfRule>
  </conditionalFormatting>
  <conditionalFormatting sqref="L27:M27">
    <cfRule type="expression" dxfId="567" priority="243">
      <formula>$D27=$A$2</formula>
    </cfRule>
  </conditionalFormatting>
  <conditionalFormatting sqref="L27:M27">
    <cfRule type="expression" dxfId="566" priority="244">
      <formula>($D27=$A$2)</formula>
    </cfRule>
    <cfRule type="expression" dxfId="565" priority="245">
      <formula>OR($E27="토",$E27="일")</formula>
    </cfRule>
  </conditionalFormatting>
  <conditionalFormatting sqref="L27:M27">
    <cfRule type="expression" dxfId="564" priority="240">
      <formula>$D27=$A$2</formula>
    </cfRule>
  </conditionalFormatting>
  <conditionalFormatting sqref="L27:M27">
    <cfRule type="expression" dxfId="563" priority="241">
      <formula>($D27=$A$2)</formula>
    </cfRule>
    <cfRule type="expression" dxfId="562" priority="242">
      <formula>OR($E27="토",$E27="일")</formula>
    </cfRule>
  </conditionalFormatting>
  <conditionalFormatting sqref="J27:M27">
    <cfRule type="expression" dxfId="561" priority="237">
      <formula>$D27=$A$2</formula>
    </cfRule>
  </conditionalFormatting>
  <conditionalFormatting sqref="J27:M27">
    <cfRule type="expression" dxfId="560" priority="238">
      <formula>($D27=$A$2)</formula>
    </cfRule>
    <cfRule type="expression" dxfId="559" priority="239">
      <formula>OR($E27="토",$E27="일")</formula>
    </cfRule>
  </conditionalFormatting>
  <conditionalFormatting sqref="N21:N22">
    <cfRule type="expression" dxfId="558" priority="4168">
      <formula>$D22&lt;=$A$2</formula>
    </cfRule>
  </conditionalFormatting>
  <conditionalFormatting sqref="N21:N22">
    <cfRule type="expression" dxfId="557" priority="4171">
      <formula>($D22=$A$2)</formula>
    </cfRule>
    <cfRule type="expression" dxfId="556" priority="4172">
      <formula>OR($E22="토",$E22="일")</formula>
    </cfRule>
  </conditionalFormatting>
  <conditionalFormatting sqref="N21:N22">
    <cfRule type="expression" dxfId="555" priority="4174">
      <formula>$D22&lt;=$A$2</formula>
    </cfRule>
  </conditionalFormatting>
  <conditionalFormatting sqref="N21:N22">
    <cfRule type="expression" dxfId="554" priority="4180">
      <formula>$D22=$A$2</formula>
    </cfRule>
  </conditionalFormatting>
  <conditionalFormatting sqref="G22:H22">
    <cfRule type="expression" dxfId="553" priority="116">
      <formula>$D22=$A$2</formula>
    </cfRule>
  </conditionalFormatting>
  <conditionalFormatting sqref="G22:H22">
    <cfRule type="expression" dxfId="552" priority="117">
      <formula>($D22=$A$2)</formula>
    </cfRule>
    <cfRule type="expression" dxfId="551" priority="118">
      <formula>OR($E22="토",$E22="일")</formula>
    </cfRule>
  </conditionalFormatting>
  <conditionalFormatting sqref="J22:M22">
    <cfRule type="expression" dxfId="550" priority="113">
      <formula>$D22=$A$2</formula>
    </cfRule>
  </conditionalFormatting>
  <conditionalFormatting sqref="J22:M22">
    <cfRule type="expression" dxfId="549" priority="114">
      <formula>($D22=$A$2)</formula>
    </cfRule>
    <cfRule type="expression" dxfId="548" priority="115">
      <formula>OR($E22="토",$E22="일")</formula>
    </cfRule>
  </conditionalFormatting>
  <conditionalFormatting sqref="J22:M22">
    <cfRule type="expression" dxfId="547" priority="110">
      <formula>$D22=$A$2</formula>
    </cfRule>
  </conditionalFormatting>
  <conditionalFormatting sqref="J22:M22">
    <cfRule type="expression" dxfId="546" priority="111">
      <formula>($D22=$A$2)</formula>
    </cfRule>
    <cfRule type="expression" dxfId="545" priority="112">
      <formula>OR($E22="토",$E22="일")</formula>
    </cfRule>
  </conditionalFormatting>
  <conditionalFormatting sqref="J22:M22">
    <cfRule type="expression" dxfId="544" priority="107">
      <formula>$D22=$A$2</formula>
    </cfRule>
  </conditionalFormatting>
  <conditionalFormatting sqref="J22:M22">
    <cfRule type="expression" dxfId="543" priority="108">
      <formula>($D22=$A$2)</formula>
    </cfRule>
    <cfRule type="expression" dxfId="542" priority="109">
      <formula>OR($E22="토",$E22="일")</formula>
    </cfRule>
  </conditionalFormatting>
  <conditionalFormatting sqref="L22:M22">
    <cfRule type="expression" dxfId="541" priority="104">
      <formula>$D22=$A$2</formula>
    </cfRule>
  </conditionalFormatting>
  <conditionalFormatting sqref="L22:M22">
    <cfRule type="expression" dxfId="540" priority="105">
      <formula>($D22=$A$2)</formula>
    </cfRule>
    <cfRule type="expression" dxfId="539" priority="106">
      <formula>OR($E22="토",$E22="일")</formula>
    </cfRule>
  </conditionalFormatting>
  <conditionalFormatting sqref="J22:M22">
    <cfRule type="expression" dxfId="538" priority="102">
      <formula>($D22=$A$2)</formula>
    </cfRule>
    <cfRule type="expression" dxfId="537" priority="103">
      <formula>OR($E22="토",$E22="일")</formula>
    </cfRule>
  </conditionalFormatting>
  <conditionalFormatting sqref="G22:H22">
    <cfRule type="expression" dxfId="536" priority="99">
      <formula>$D22=$A$2</formula>
    </cfRule>
  </conditionalFormatting>
  <conditionalFormatting sqref="G22:H22">
    <cfRule type="expression" dxfId="535" priority="100">
      <formula>($D22=$A$2)</formula>
    </cfRule>
    <cfRule type="expression" dxfId="534" priority="101">
      <formula>OR($E22="토",$E22="일")</formula>
    </cfRule>
  </conditionalFormatting>
  <conditionalFormatting sqref="L22:M22">
    <cfRule type="expression" dxfId="533" priority="96">
      <formula>$D22=$A$2</formula>
    </cfRule>
  </conditionalFormatting>
  <conditionalFormatting sqref="L22:M22">
    <cfRule type="expression" dxfId="532" priority="97">
      <formula>($D22=$A$2)</formula>
    </cfRule>
    <cfRule type="expression" dxfId="531" priority="98">
      <formula>OR($E22="토",$E22="일")</formula>
    </cfRule>
  </conditionalFormatting>
  <conditionalFormatting sqref="K22:M22">
    <cfRule type="expression" dxfId="530" priority="93">
      <formula>$D22=$A$2</formula>
    </cfRule>
  </conditionalFormatting>
  <conditionalFormatting sqref="K22:M22">
    <cfRule type="expression" dxfId="529" priority="94">
      <formula>($D22=$A$2)</formula>
    </cfRule>
    <cfRule type="expression" dxfId="528" priority="95">
      <formula>OR($E22="토",$E22="일")</formula>
    </cfRule>
  </conditionalFormatting>
  <conditionalFormatting sqref="L22:M22">
    <cfRule type="expression" dxfId="527" priority="90">
      <formula>$D22=$A$2</formula>
    </cfRule>
  </conditionalFormatting>
  <conditionalFormatting sqref="L22:M22">
    <cfRule type="expression" dxfId="526" priority="91">
      <formula>($D22=$A$2)</formula>
    </cfRule>
    <cfRule type="expression" dxfId="525" priority="92">
      <formula>OR($E22="토",$E22="일")</formula>
    </cfRule>
  </conditionalFormatting>
  <conditionalFormatting sqref="L22:M22">
    <cfRule type="expression" dxfId="524" priority="87">
      <formula>$D22=$A$2</formula>
    </cfRule>
  </conditionalFormatting>
  <conditionalFormatting sqref="L22:M22">
    <cfRule type="expression" dxfId="523" priority="88">
      <formula>($D22=$A$2)</formula>
    </cfRule>
    <cfRule type="expression" dxfId="522" priority="89">
      <formula>OR($E22="토",$E22="일")</formula>
    </cfRule>
  </conditionalFormatting>
  <conditionalFormatting sqref="L22:M22">
    <cfRule type="expression" dxfId="521" priority="84">
      <formula>$D22=$A$2</formula>
    </cfRule>
  </conditionalFormatting>
  <conditionalFormatting sqref="L22:M22">
    <cfRule type="expression" dxfId="520" priority="85">
      <formula>($D22=$A$2)</formula>
    </cfRule>
    <cfRule type="expression" dxfId="519" priority="86">
      <formula>OR($E22="토",$E22="일")</formula>
    </cfRule>
  </conditionalFormatting>
  <conditionalFormatting sqref="L22:M22">
    <cfRule type="expression" dxfId="518" priority="81">
      <formula>$D22=$A$2</formula>
    </cfRule>
  </conditionalFormatting>
  <conditionalFormatting sqref="L22:M22">
    <cfRule type="expression" dxfId="517" priority="82">
      <formula>($D22=$A$2)</formula>
    </cfRule>
    <cfRule type="expression" dxfId="516" priority="83">
      <formula>OR($E22="토",$E22="일")</formula>
    </cfRule>
  </conditionalFormatting>
  <conditionalFormatting sqref="G22:H22">
    <cfRule type="expression" dxfId="515" priority="78">
      <formula>$D22=$A$2</formula>
    </cfRule>
  </conditionalFormatting>
  <conditionalFormatting sqref="G22:H22">
    <cfRule type="expression" dxfId="514" priority="79">
      <formula>($D22=$A$2)</formula>
    </cfRule>
    <cfRule type="expression" dxfId="513" priority="80">
      <formula>OR($E22="토",$E22="일")</formula>
    </cfRule>
  </conditionalFormatting>
  <conditionalFormatting sqref="J22:M22">
    <cfRule type="expression" dxfId="512" priority="75">
      <formula>$D22=$A$2</formula>
    </cfRule>
  </conditionalFormatting>
  <conditionalFormatting sqref="J22:M22">
    <cfRule type="expression" dxfId="511" priority="76">
      <formula>($D22=$A$2)</formula>
    </cfRule>
    <cfRule type="expression" dxfId="510" priority="77">
      <formula>OR($E22="토",$E22="일")</formula>
    </cfRule>
  </conditionalFormatting>
  <conditionalFormatting sqref="J22:M22">
    <cfRule type="expression" dxfId="509" priority="72">
      <formula>$D22=$A$2</formula>
    </cfRule>
  </conditionalFormatting>
  <conditionalFormatting sqref="J22:M22">
    <cfRule type="expression" dxfId="508" priority="73">
      <formula>($D22=$A$2)</formula>
    </cfRule>
    <cfRule type="expression" dxfId="507" priority="74">
      <formula>OR($E22="토",$E22="일")</formula>
    </cfRule>
  </conditionalFormatting>
  <conditionalFormatting sqref="G22:H22">
    <cfRule type="expression" dxfId="506" priority="69">
      <formula>$D22=$A$2</formula>
    </cfRule>
  </conditionalFormatting>
  <conditionalFormatting sqref="G22:H22">
    <cfRule type="expression" dxfId="505" priority="70">
      <formula>($D22=$A$2)</formula>
    </cfRule>
    <cfRule type="expression" dxfId="504" priority="71">
      <formula>OR($E22="토",$E22="일")</formula>
    </cfRule>
  </conditionalFormatting>
  <conditionalFormatting sqref="L22:M22">
    <cfRule type="expression" dxfId="503" priority="66">
      <formula>$D22=$A$2</formula>
    </cfRule>
  </conditionalFormatting>
  <conditionalFormatting sqref="L22:M22">
    <cfRule type="expression" dxfId="502" priority="67">
      <formula>($D22=$A$2)</formula>
    </cfRule>
    <cfRule type="expression" dxfId="501" priority="68">
      <formula>OR($E22="토",$E22="일")</formula>
    </cfRule>
  </conditionalFormatting>
  <conditionalFormatting sqref="J22:M22">
    <cfRule type="expression" dxfId="500" priority="63">
      <formula>$D22=$A$2</formula>
    </cfRule>
  </conditionalFormatting>
  <conditionalFormatting sqref="J22:M22">
    <cfRule type="expression" dxfId="499" priority="64">
      <formula>($D22=$A$2)</formula>
    </cfRule>
    <cfRule type="expression" dxfId="498" priority="65">
      <formula>OR($E22="토",$E22="일")</formula>
    </cfRule>
  </conditionalFormatting>
  <conditionalFormatting sqref="L22:M22">
    <cfRule type="expression" dxfId="497" priority="60">
      <formula>$D22=$A$2</formula>
    </cfRule>
  </conditionalFormatting>
  <conditionalFormatting sqref="L22:M22">
    <cfRule type="expression" dxfId="496" priority="61">
      <formula>($D22=$A$2)</formula>
    </cfRule>
    <cfRule type="expression" dxfId="495" priority="62">
      <formula>OR($E22="토",$E22="일")</formula>
    </cfRule>
  </conditionalFormatting>
  <conditionalFormatting sqref="K22:M22">
    <cfRule type="expression" dxfId="494" priority="57">
      <formula>$D22=$A$2</formula>
    </cfRule>
  </conditionalFormatting>
  <conditionalFormatting sqref="K22:M22">
    <cfRule type="expression" dxfId="493" priority="58">
      <formula>($D22=$A$2)</formula>
    </cfRule>
    <cfRule type="expression" dxfId="492" priority="59">
      <formula>OR($E22="토",$E22="일")</formula>
    </cfRule>
  </conditionalFormatting>
  <conditionalFormatting sqref="L22:M22">
    <cfRule type="expression" dxfId="491" priority="54">
      <formula>$D22=$A$2</formula>
    </cfRule>
  </conditionalFormatting>
  <conditionalFormatting sqref="L22:M22">
    <cfRule type="expression" dxfId="490" priority="55">
      <formula>($D22=$A$2)</formula>
    </cfRule>
    <cfRule type="expression" dxfId="489" priority="56">
      <formula>OR($E22="토",$E22="일")</formula>
    </cfRule>
  </conditionalFormatting>
  <conditionalFormatting sqref="G22:H22">
    <cfRule type="expression" dxfId="488" priority="51">
      <formula>$D22=$A$2</formula>
    </cfRule>
  </conditionalFormatting>
  <conditionalFormatting sqref="G22:H22">
    <cfRule type="expression" dxfId="487" priority="52">
      <formula>($D22=$A$2)</formula>
    </cfRule>
    <cfRule type="expression" dxfId="486" priority="53">
      <formula>OR($E22="토",$E22="일")</formula>
    </cfRule>
  </conditionalFormatting>
  <conditionalFormatting sqref="J22:M22">
    <cfRule type="expression" dxfId="485" priority="48">
      <formula>$D22=$A$2</formula>
    </cfRule>
  </conditionalFormatting>
  <conditionalFormatting sqref="J22:M22">
    <cfRule type="expression" dxfId="484" priority="49">
      <formula>($D22=$A$2)</formula>
    </cfRule>
    <cfRule type="expression" dxfId="483" priority="50">
      <formula>OR($E22="토",$E22="일")</formula>
    </cfRule>
  </conditionalFormatting>
  <conditionalFormatting sqref="J22:M22">
    <cfRule type="expression" dxfId="482" priority="45">
      <formula>$D22=$A$2</formula>
    </cfRule>
  </conditionalFormatting>
  <conditionalFormatting sqref="J22:M22">
    <cfRule type="expression" dxfId="481" priority="46">
      <formula>($D22=$A$2)</formula>
    </cfRule>
    <cfRule type="expression" dxfId="480" priority="47">
      <formula>OR($E22="토",$E22="일")</formula>
    </cfRule>
  </conditionalFormatting>
  <conditionalFormatting sqref="G22:H22">
    <cfRule type="expression" dxfId="479" priority="42">
      <formula>$D22=$A$2</formula>
    </cfRule>
  </conditionalFormatting>
  <conditionalFormatting sqref="G22:H22">
    <cfRule type="expression" dxfId="478" priority="43">
      <formula>($D22=$A$2)</formula>
    </cfRule>
    <cfRule type="expression" dxfId="477" priority="44">
      <formula>OR($E22="토",$E22="일")</formula>
    </cfRule>
  </conditionalFormatting>
  <conditionalFormatting sqref="L22:M22">
    <cfRule type="expression" dxfId="476" priority="39">
      <formula>$D22=$A$2</formula>
    </cfRule>
  </conditionalFormatting>
  <conditionalFormatting sqref="L22:M22">
    <cfRule type="expression" dxfId="475" priority="40">
      <formula>($D22=$A$2)</formula>
    </cfRule>
    <cfRule type="expression" dxfId="474" priority="41">
      <formula>OR($E22="토",$E22="일")</formula>
    </cfRule>
  </conditionalFormatting>
  <conditionalFormatting sqref="J22:M22">
    <cfRule type="expression" dxfId="473" priority="36">
      <formula>$D22=$A$2</formula>
    </cfRule>
  </conditionalFormatting>
  <conditionalFormatting sqref="J22:M22">
    <cfRule type="expression" dxfId="472" priority="37">
      <formula>($D22=$A$2)</formula>
    </cfRule>
    <cfRule type="expression" dxfId="471" priority="38">
      <formula>OR($E22="토",$E22="일")</formula>
    </cfRule>
  </conditionalFormatting>
  <conditionalFormatting sqref="L22:M22">
    <cfRule type="expression" dxfId="470" priority="33">
      <formula>$D22=$A$2</formula>
    </cfRule>
  </conditionalFormatting>
  <conditionalFormatting sqref="L22:M22">
    <cfRule type="expression" dxfId="469" priority="34">
      <formula>($D22=$A$2)</formula>
    </cfRule>
    <cfRule type="expression" dxfId="468" priority="35">
      <formula>OR($E22="토",$E22="일")</formula>
    </cfRule>
  </conditionalFormatting>
  <conditionalFormatting sqref="K22:M22">
    <cfRule type="expression" dxfId="467" priority="30">
      <formula>$D22=$A$2</formula>
    </cfRule>
  </conditionalFormatting>
  <conditionalFormatting sqref="K22:M22">
    <cfRule type="expression" dxfId="466" priority="31">
      <formula>($D22=$A$2)</formula>
    </cfRule>
    <cfRule type="expression" dxfId="465" priority="32">
      <formula>OR($E22="토",$E22="일")</formula>
    </cfRule>
  </conditionalFormatting>
  <conditionalFormatting sqref="L22:M22">
    <cfRule type="expression" dxfId="464" priority="27">
      <formula>$D22=$A$2</formula>
    </cfRule>
  </conditionalFormatting>
  <conditionalFormatting sqref="L22:M22">
    <cfRule type="expression" dxfId="463" priority="28">
      <formula>($D22=$A$2)</formula>
    </cfRule>
    <cfRule type="expression" dxfId="462" priority="29">
      <formula>OR($E22="토",$E22="일")</formula>
    </cfRule>
  </conditionalFormatting>
  <conditionalFormatting sqref="J22:M22">
    <cfRule type="expression" dxfId="461" priority="25">
      <formula>($D22=$A$2)</formula>
    </cfRule>
    <cfRule type="expression" dxfId="460" priority="26">
      <formula>OR($E22="토",$E22="일")</formula>
    </cfRule>
  </conditionalFormatting>
  <conditionalFormatting sqref="G22:H22">
    <cfRule type="expression" dxfId="459" priority="22">
      <formula>$D22=$A$2</formula>
    </cfRule>
  </conditionalFormatting>
  <conditionalFormatting sqref="G22:H22">
    <cfRule type="expression" dxfId="458" priority="23">
      <formula>($D22=$A$2)</formula>
    </cfRule>
    <cfRule type="expression" dxfId="457" priority="24">
      <formula>OR($E22="토",$E22="일")</formula>
    </cfRule>
  </conditionalFormatting>
  <conditionalFormatting sqref="L22:M22">
    <cfRule type="expression" dxfId="456" priority="19">
      <formula>$D22=$A$2</formula>
    </cfRule>
  </conditionalFormatting>
  <conditionalFormatting sqref="L22:M22">
    <cfRule type="expression" dxfId="455" priority="20">
      <formula>($D22=$A$2)</formula>
    </cfRule>
    <cfRule type="expression" dxfId="454" priority="21">
      <formula>OR($E22="토",$E22="일")</formula>
    </cfRule>
  </conditionalFormatting>
  <conditionalFormatting sqref="K22:M22">
    <cfRule type="expression" dxfId="453" priority="16">
      <formula>$D22=$A$2</formula>
    </cfRule>
  </conditionalFormatting>
  <conditionalFormatting sqref="K22:M22">
    <cfRule type="expression" dxfId="452" priority="17">
      <formula>($D22=$A$2)</formula>
    </cfRule>
    <cfRule type="expression" dxfId="451" priority="18">
      <formula>OR($E22="토",$E22="일")</formula>
    </cfRule>
  </conditionalFormatting>
  <conditionalFormatting sqref="L22:M22">
    <cfRule type="expression" dxfId="450" priority="13">
      <formula>$D22=$A$2</formula>
    </cfRule>
  </conditionalFormatting>
  <conditionalFormatting sqref="L22:M22">
    <cfRule type="expression" dxfId="449" priority="14">
      <formula>($D22=$A$2)</formula>
    </cfRule>
    <cfRule type="expression" dxfId="448" priority="15">
      <formula>OR($E22="토",$E22="일")</formula>
    </cfRule>
  </conditionalFormatting>
  <conditionalFormatting sqref="L22:M22">
    <cfRule type="expression" dxfId="447" priority="10">
      <formula>$D22=$A$2</formula>
    </cfRule>
  </conditionalFormatting>
  <conditionalFormatting sqref="L22:M22">
    <cfRule type="expression" dxfId="446" priority="11">
      <formula>($D22=$A$2)</formula>
    </cfRule>
    <cfRule type="expression" dxfId="445" priority="12">
      <formula>OR($E22="토",$E22="일")</formula>
    </cfRule>
  </conditionalFormatting>
  <conditionalFormatting sqref="L22:M22">
    <cfRule type="expression" dxfId="444" priority="7">
      <formula>$D22=$A$2</formula>
    </cfRule>
  </conditionalFormatting>
  <conditionalFormatting sqref="L22:M22">
    <cfRule type="expression" dxfId="443" priority="8">
      <formula>($D22=$A$2)</formula>
    </cfRule>
    <cfRule type="expression" dxfId="442" priority="9">
      <formula>OR($E22="토",$E22="일")</formula>
    </cfRule>
  </conditionalFormatting>
  <conditionalFormatting sqref="L22:M22">
    <cfRule type="expression" dxfId="441" priority="4">
      <formula>$D22=$A$2</formula>
    </cfRule>
  </conditionalFormatting>
  <conditionalFormatting sqref="L22:M22">
    <cfRule type="expression" dxfId="440" priority="5">
      <formula>($D22=$A$2)</formula>
    </cfRule>
    <cfRule type="expression" dxfId="439" priority="6">
      <formula>OR($E22="토",$E22="일")</formula>
    </cfRule>
  </conditionalFormatting>
  <conditionalFormatting sqref="L22:M22">
    <cfRule type="expression" dxfId="438" priority="1">
      <formula>$D22=$A$2</formula>
    </cfRule>
  </conditionalFormatting>
  <conditionalFormatting sqref="L22:M22">
    <cfRule type="expression" dxfId="437" priority="2">
      <formula>($D22=$A$2)</formula>
    </cfRule>
    <cfRule type="expression" dxfId="436" priority="3">
      <formula>OR($E22="토",$E22="일")</formula>
    </cfRule>
  </conditionalFormatting>
  <printOptions horizontalCentered="1"/>
  <pageMargins left="0.31496062992125984" right="0.19685039370078741" top="0.19685039370078741" bottom="0" header="0.31496062992125984" footer="0.31496062992125984"/>
  <pageSetup paperSize="9" scale="48" fitToHeight="0" orientation="landscape" r:id="rId1"/>
  <headerFooter alignWithMargins="0"/>
  <rowBreaks count="1" manualBreakCount="1">
    <brk id="104" max="16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AE751-9C4B-46B4-BF1B-3D551C916C25}">
  <sheetPr>
    <tabColor theme="9" tint="0.39997558519241921"/>
    <pageSetUpPr fitToPage="1"/>
  </sheetPr>
  <dimension ref="A1:R235"/>
  <sheetViews>
    <sheetView showGridLines="0" view="pageBreakPreview" zoomScale="70" zoomScaleNormal="70" zoomScaleSheetLayoutView="70" workbookViewId="0">
      <pane xSplit="5" ySplit="6" topLeftCell="G11" activePane="bottomRight" state="frozen"/>
      <selection pane="topRight" activeCell="C1" sqref="C1"/>
      <selection pane="bottomLeft" activeCell="A7" sqref="A7"/>
      <selection pane="bottomRight" activeCell="K20" sqref="K20"/>
    </sheetView>
  </sheetViews>
  <sheetFormatPr defaultColWidth="9" defaultRowHeight="18.75" outlineLevelCol="1" x14ac:dyDescent="0.3"/>
  <cols>
    <col min="1" max="1" width="10.125" style="1" customWidth="1"/>
    <col min="2" max="2" width="10.125" style="1" hidden="1" customWidth="1"/>
    <col min="3" max="3" width="7.25" style="13" customWidth="1"/>
    <col min="4" max="4" width="14" style="5" customWidth="1" outlineLevel="1"/>
    <col min="5" max="5" width="3.25" style="6" customWidth="1" outlineLevel="1"/>
    <col min="6" max="6" width="40.625" style="87" hidden="1" customWidth="1"/>
    <col min="7" max="9" width="35.625" style="87" customWidth="1"/>
    <col min="10" max="10" width="2.625" style="87" customWidth="1"/>
    <col min="11" max="13" width="35.625" style="87" customWidth="1"/>
    <col min="14" max="14" width="18.375" style="87" customWidth="1"/>
    <col min="15" max="15" width="43.125" style="34" customWidth="1"/>
    <col min="16" max="16384" width="9" style="1"/>
  </cols>
  <sheetData>
    <row r="1" spans="1:18" ht="19.149999999999999" customHeight="1" x14ac:dyDescent="0.3">
      <c r="A1" s="122" t="s">
        <v>35</v>
      </c>
      <c r="B1" s="122"/>
      <c r="C1" s="122"/>
      <c r="D1" s="122"/>
      <c r="E1" s="90"/>
      <c r="F1" s="82"/>
      <c r="G1" s="82"/>
      <c r="H1" s="82"/>
      <c r="I1" s="82"/>
      <c r="J1" s="164"/>
      <c r="K1" s="82"/>
      <c r="L1" s="82"/>
      <c r="M1" s="82"/>
      <c r="N1" s="82"/>
      <c r="O1" s="136"/>
      <c r="Q1" s="227"/>
      <c r="R1" s="227"/>
    </row>
    <row r="2" spans="1:18" ht="21" customHeight="1" x14ac:dyDescent="0.45">
      <c r="A2" s="235">
        <f ca="1">TODAY()</f>
        <v>46245</v>
      </c>
      <c r="B2" s="235"/>
      <c r="C2" s="235"/>
      <c r="D2" s="235"/>
      <c r="E2" s="91"/>
      <c r="F2" s="235"/>
      <c r="G2" s="235"/>
      <c r="H2" s="235"/>
      <c r="I2" s="235"/>
      <c r="J2" s="156"/>
      <c r="K2" s="83"/>
      <c r="L2" s="83"/>
      <c r="M2" s="83"/>
      <c r="N2" s="83"/>
      <c r="O2" s="90"/>
      <c r="Q2" s="116"/>
      <c r="R2" s="10"/>
    </row>
    <row r="3" spans="1:18" ht="6" customHeight="1" x14ac:dyDescent="0.3">
      <c r="F3" s="84"/>
      <c r="G3" s="84"/>
      <c r="H3" s="84"/>
      <c r="I3" s="84"/>
      <c r="K3" s="84"/>
      <c r="L3" s="84"/>
      <c r="M3" s="84"/>
      <c r="N3" s="84"/>
    </row>
    <row r="4" spans="1:18" ht="25.5" customHeight="1" x14ac:dyDescent="0.3">
      <c r="A4" s="234" t="s">
        <v>2</v>
      </c>
      <c r="B4" s="234"/>
      <c r="C4" s="236"/>
      <c r="D4" s="236" t="s">
        <v>0</v>
      </c>
      <c r="E4" s="236"/>
      <c r="F4" s="114" t="s">
        <v>4</v>
      </c>
      <c r="G4" s="114" t="s">
        <v>42</v>
      </c>
      <c r="H4" s="114" t="s">
        <v>38</v>
      </c>
      <c r="I4" s="127" t="s">
        <v>8</v>
      </c>
      <c r="J4" s="165"/>
      <c r="K4" s="117" t="s">
        <v>31</v>
      </c>
      <c r="L4" s="115" t="s">
        <v>56</v>
      </c>
      <c r="M4" s="115" t="s">
        <v>40</v>
      </c>
      <c r="N4" s="115" t="s">
        <v>10</v>
      </c>
    </row>
    <row r="5" spans="1:18" s="126" customFormat="1" x14ac:dyDescent="0.3">
      <c r="A5" s="234"/>
      <c r="B5" s="234"/>
      <c r="C5" s="236"/>
      <c r="D5" s="236"/>
      <c r="E5" s="236"/>
      <c r="F5" s="123"/>
      <c r="G5" s="123"/>
      <c r="H5" s="123" t="s">
        <v>43</v>
      </c>
      <c r="I5" s="128" t="s">
        <v>50</v>
      </c>
      <c r="J5" s="166"/>
      <c r="K5" s="124" t="s">
        <v>32</v>
      </c>
      <c r="L5" s="125" t="s">
        <v>6</v>
      </c>
      <c r="M5" s="125" t="s">
        <v>41</v>
      </c>
      <c r="N5" s="125"/>
      <c r="O5" s="137"/>
    </row>
    <row r="6" spans="1:18" ht="80.099999999999994" customHeight="1" x14ac:dyDescent="0.3">
      <c r="A6" s="232"/>
      <c r="B6" s="232"/>
      <c r="C6" s="226"/>
      <c r="D6" s="233" t="s">
        <v>5</v>
      </c>
      <c r="E6" s="234"/>
      <c r="F6" s="85"/>
      <c r="G6" s="85" t="s">
        <v>34</v>
      </c>
      <c r="H6" s="85" t="s">
        <v>67</v>
      </c>
      <c r="I6" s="134" t="s">
        <v>68</v>
      </c>
      <c r="K6" s="118" t="s">
        <v>33</v>
      </c>
      <c r="L6" s="85" t="s">
        <v>57</v>
      </c>
      <c r="M6" s="85" t="s">
        <v>69</v>
      </c>
      <c r="N6" s="85"/>
    </row>
    <row r="7" spans="1:18" hidden="1" x14ac:dyDescent="0.3">
      <c r="A7" s="14">
        <f>D7</f>
        <v>46202</v>
      </c>
      <c r="C7" s="72"/>
      <c r="D7" s="15">
        <v>46202</v>
      </c>
      <c r="E7" s="16" t="str">
        <f t="shared" ref="E7:E50" si="0">TEXT(D7,"aaa")</f>
        <v>월</v>
      </c>
      <c r="F7" s="86"/>
      <c r="G7" s="86"/>
      <c r="H7" s="86"/>
      <c r="I7" s="129"/>
      <c r="J7" s="96"/>
      <c r="K7" s="119"/>
      <c r="L7" s="86"/>
      <c r="M7" s="86"/>
      <c r="N7" s="86"/>
    </row>
    <row r="8" spans="1:18" hidden="1" x14ac:dyDescent="0.3">
      <c r="A8" s="47"/>
      <c r="B8" s="47"/>
      <c r="C8" s="72"/>
      <c r="D8" s="17">
        <f t="shared" ref="D8:D9" si="1">D7+1</f>
        <v>46203</v>
      </c>
      <c r="E8" s="18" t="str">
        <f t="shared" si="0"/>
        <v>화</v>
      </c>
      <c r="F8" s="35"/>
      <c r="G8" s="35"/>
      <c r="H8" s="35"/>
      <c r="I8" s="130"/>
      <c r="K8" s="120"/>
      <c r="L8" s="35"/>
      <c r="M8" s="35"/>
      <c r="N8" s="35"/>
    </row>
    <row r="9" spans="1:18" hidden="1" x14ac:dyDescent="0.3">
      <c r="C9" s="73"/>
      <c r="D9" s="17">
        <f t="shared" si="1"/>
        <v>46204</v>
      </c>
      <c r="E9" s="18" t="str">
        <f t="shared" si="0"/>
        <v>수</v>
      </c>
      <c r="F9" s="35"/>
      <c r="G9" s="35"/>
      <c r="H9" s="35"/>
      <c r="I9" s="130"/>
      <c r="K9" s="120"/>
      <c r="L9" s="35"/>
      <c r="M9" s="35"/>
      <c r="N9" s="35"/>
    </row>
    <row r="10" spans="1:18" hidden="1" x14ac:dyDescent="0.3">
      <c r="A10" s="47"/>
      <c r="B10" s="47"/>
      <c r="C10" s="73"/>
      <c r="D10" s="17">
        <f>D9+1</f>
        <v>46205</v>
      </c>
      <c r="E10" s="18" t="str">
        <f t="shared" si="0"/>
        <v>목</v>
      </c>
      <c r="F10" s="24"/>
      <c r="G10" s="24"/>
      <c r="H10" s="24"/>
      <c r="I10" s="131"/>
      <c r="J10" s="96"/>
      <c r="K10" s="121"/>
      <c r="L10" s="24"/>
      <c r="M10" s="24"/>
      <c r="N10" s="24"/>
    </row>
    <row r="11" spans="1:18" s="153" customFormat="1" x14ac:dyDescent="0.3">
      <c r="A11" s="173">
        <f>D11</f>
        <v>46204</v>
      </c>
      <c r="B11" s="174">
        <v>1</v>
      </c>
      <c r="C11" s="151">
        <v>1</v>
      </c>
      <c r="D11" s="64">
        <f>D9</f>
        <v>46204</v>
      </c>
      <c r="E11" s="65" t="str">
        <f t="shared" si="0"/>
        <v>수</v>
      </c>
      <c r="F11" s="35"/>
      <c r="G11" s="35"/>
      <c r="H11" s="35"/>
      <c r="I11" s="130"/>
      <c r="J11" s="87"/>
      <c r="K11" s="120"/>
      <c r="L11" s="35"/>
      <c r="M11" s="35"/>
      <c r="N11" s="35"/>
      <c r="O11" s="152">
        <v>1</v>
      </c>
    </row>
    <row r="12" spans="1:18" x14ac:dyDescent="0.3">
      <c r="B12" s="89">
        <f>B11+1</f>
        <v>2</v>
      </c>
      <c r="C12" s="72">
        <f>C11+1</f>
        <v>2</v>
      </c>
      <c r="D12" s="17">
        <f>D11+7</f>
        <v>46211</v>
      </c>
      <c r="E12" s="18" t="str">
        <f t="shared" si="0"/>
        <v>수</v>
      </c>
      <c r="F12" s="35"/>
      <c r="G12" s="35" t="s">
        <v>36</v>
      </c>
      <c r="H12" s="35" t="s">
        <v>47</v>
      </c>
      <c r="I12" s="130"/>
      <c r="K12" s="120" t="s">
        <v>36</v>
      </c>
      <c r="L12" s="35" t="s">
        <v>11</v>
      </c>
      <c r="M12" s="35"/>
      <c r="N12" s="35"/>
      <c r="O12" s="155">
        <f>O11+1</f>
        <v>2</v>
      </c>
    </row>
    <row r="13" spans="1:18" x14ac:dyDescent="0.3">
      <c r="B13" s="89">
        <f t="shared" ref="B13:C28" si="2">B12+1</f>
        <v>3</v>
      </c>
      <c r="C13" s="72">
        <f>C12+1</f>
        <v>3</v>
      </c>
      <c r="D13" s="17">
        <f t="shared" ref="D13:D49" si="3">D12+7</f>
        <v>46218</v>
      </c>
      <c r="E13" s="18" t="str">
        <f t="shared" si="0"/>
        <v>수</v>
      </c>
      <c r="F13" s="35"/>
      <c r="G13" s="35"/>
      <c r="H13" s="35" t="s">
        <v>48</v>
      </c>
      <c r="I13" s="130" t="s">
        <v>72</v>
      </c>
      <c r="K13" s="120"/>
      <c r="L13" s="35"/>
      <c r="M13" s="35"/>
      <c r="N13" s="35"/>
      <c r="O13" s="155">
        <f t="shared" ref="O13:O23" si="4">O12+1</f>
        <v>3</v>
      </c>
    </row>
    <row r="14" spans="1:18" x14ac:dyDescent="0.3">
      <c r="A14" s="47"/>
      <c r="B14" s="89">
        <f t="shared" si="2"/>
        <v>4</v>
      </c>
      <c r="C14" s="72">
        <f>C13+1</f>
        <v>4</v>
      </c>
      <c r="D14" s="17">
        <f t="shared" si="3"/>
        <v>46225</v>
      </c>
      <c r="E14" s="18" t="str">
        <f t="shared" si="0"/>
        <v>수</v>
      </c>
      <c r="F14" s="35"/>
      <c r="G14" s="35"/>
      <c r="H14" s="35"/>
      <c r="I14" s="130"/>
      <c r="K14" s="120"/>
      <c r="L14" s="35" t="s">
        <v>13</v>
      </c>
      <c r="M14" s="35"/>
      <c r="N14" s="35"/>
      <c r="O14" s="155">
        <f t="shared" si="4"/>
        <v>4</v>
      </c>
    </row>
    <row r="15" spans="1:18" x14ac:dyDescent="0.3">
      <c r="A15" s="47"/>
      <c r="B15" s="89">
        <f t="shared" si="2"/>
        <v>5</v>
      </c>
      <c r="C15" s="72">
        <f>C14+1</f>
        <v>5</v>
      </c>
      <c r="D15" s="17">
        <f t="shared" si="3"/>
        <v>46232</v>
      </c>
      <c r="E15" s="18" t="str">
        <f t="shared" si="0"/>
        <v>수</v>
      </c>
      <c r="F15" s="24"/>
      <c r="G15" s="35" t="s">
        <v>49</v>
      </c>
      <c r="H15" s="24"/>
      <c r="I15" s="131"/>
      <c r="J15" s="96"/>
      <c r="K15" s="120" t="s">
        <v>49</v>
      </c>
      <c r="L15" s="35" t="s">
        <v>66</v>
      </c>
      <c r="M15" s="35"/>
      <c r="N15" s="24"/>
      <c r="O15" s="155">
        <f t="shared" si="4"/>
        <v>5</v>
      </c>
    </row>
    <row r="16" spans="1:18" ht="75" x14ac:dyDescent="0.3">
      <c r="A16" s="176">
        <f>D16</f>
        <v>46239</v>
      </c>
      <c r="B16" s="178">
        <f t="shared" si="2"/>
        <v>6</v>
      </c>
      <c r="C16" s="177">
        <v>1</v>
      </c>
      <c r="D16" s="17">
        <f t="shared" si="3"/>
        <v>46239</v>
      </c>
      <c r="E16" s="18" t="str">
        <f t="shared" si="0"/>
        <v>수</v>
      </c>
      <c r="F16" s="35" t="s">
        <v>7</v>
      </c>
      <c r="G16" s="35" t="s">
        <v>54</v>
      </c>
      <c r="H16" s="35"/>
      <c r="I16" s="130"/>
      <c r="K16" s="120" t="s">
        <v>65</v>
      </c>
      <c r="L16" s="35" t="s">
        <v>51</v>
      </c>
      <c r="M16" s="35"/>
      <c r="N16" s="35"/>
      <c r="O16" s="155">
        <f t="shared" si="4"/>
        <v>6</v>
      </c>
    </row>
    <row r="17" spans="1:15" ht="37.5" x14ac:dyDescent="0.3">
      <c r="B17" s="89">
        <f t="shared" si="2"/>
        <v>7</v>
      </c>
      <c r="C17" s="157">
        <f t="shared" si="2"/>
        <v>2</v>
      </c>
      <c r="D17" s="158">
        <f t="shared" si="3"/>
        <v>46246</v>
      </c>
      <c r="E17" s="159" t="str">
        <f t="shared" si="0"/>
        <v>수</v>
      </c>
      <c r="F17" s="160" t="s">
        <v>9</v>
      </c>
      <c r="G17" s="160" t="s">
        <v>73</v>
      </c>
      <c r="H17" s="160"/>
      <c r="I17" s="161"/>
      <c r="J17" s="162"/>
      <c r="K17" s="163" t="s">
        <v>74</v>
      </c>
      <c r="L17" s="160" t="s">
        <v>75</v>
      </c>
      <c r="M17" s="160"/>
      <c r="N17" s="160"/>
      <c r="O17" s="155">
        <f t="shared" si="4"/>
        <v>7</v>
      </c>
    </row>
    <row r="18" spans="1:15" ht="56.25" x14ac:dyDescent="0.3">
      <c r="B18" s="89">
        <f t="shared" si="2"/>
        <v>8</v>
      </c>
      <c r="C18" s="72">
        <f t="shared" si="2"/>
        <v>3</v>
      </c>
      <c r="D18" s="17">
        <f t="shared" si="3"/>
        <v>46253</v>
      </c>
      <c r="E18" s="18" t="str">
        <f t="shared" si="0"/>
        <v>수</v>
      </c>
      <c r="F18" s="35" t="s">
        <v>12</v>
      </c>
      <c r="G18" s="35"/>
      <c r="H18" s="35"/>
      <c r="I18" s="130"/>
      <c r="K18" s="120"/>
      <c r="L18" s="35"/>
      <c r="M18" s="35" t="s">
        <v>44</v>
      </c>
      <c r="N18" s="35"/>
      <c r="O18" s="155">
        <f t="shared" si="4"/>
        <v>8</v>
      </c>
    </row>
    <row r="19" spans="1:15" ht="37.5" x14ac:dyDescent="0.3">
      <c r="A19" s="47"/>
      <c r="B19" s="89">
        <f t="shared" si="2"/>
        <v>9</v>
      </c>
      <c r="C19" s="72">
        <v>4</v>
      </c>
      <c r="D19" s="17">
        <f t="shared" si="3"/>
        <v>46260</v>
      </c>
      <c r="E19" s="18" t="str">
        <f t="shared" si="0"/>
        <v>수</v>
      </c>
      <c r="F19" s="35"/>
      <c r="G19" s="35" t="s">
        <v>52</v>
      </c>
      <c r="H19" s="35" t="s">
        <v>55</v>
      </c>
      <c r="I19" s="130"/>
      <c r="K19" s="120" t="s">
        <v>52</v>
      </c>
      <c r="L19" s="35" t="s">
        <v>71</v>
      </c>
      <c r="M19" s="35"/>
      <c r="N19" s="35"/>
      <c r="O19" s="155">
        <f t="shared" si="4"/>
        <v>9</v>
      </c>
    </row>
    <row r="20" spans="1:15" ht="75" x14ac:dyDescent="0.3">
      <c r="A20" s="176">
        <f>D20</f>
        <v>46267</v>
      </c>
      <c r="B20" s="178">
        <f t="shared" si="2"/>
        <v>10</v>
      </c>
      <c r="C20" s="177">
        <v>1</v>
      </c>
      <c r="D20" s="17">
        <f t="shared" si="3"/>
        <v>46267</v>
      </c>
      <c r="E20" s="18" t="str">
        <f t="shared" si="0"/>
        <v>수</v>
      </c>
      <c r="F20" s="35" t="s">
        <v>14</v>
      </c>
      <c r="G20" s="35" t="s">
        <v>53</v>
      </c>
      <c r="H20" s="35"/>
      <c r="I20" s="130"/>
      <c r="K20" s="120"/>
      <c r="L20" s="154" t="s">
        <v>76</v>
      </c>
      <c r="M20" s="35"/>
      <c r="N20" s="35" t="s">
        <v>70</v>
      </c>
      <c r="O20" s="155">
        <f t="shared" si="4"/>
        <v>10</v>
      </c>
    </row>
    <row r="21" spans="1:15" x14ac:dyDescent="0.3">
      <c r="B21" s="89">
        <f t="shared" si="2"/>
        <v>11</v>
      </c>
      <c r="C21" s="72">
        <v>2</v>
      </c>
      <c r="D21" s="17">
        <f t="shared" si="3"/>
        <v>46274</v>
      </c>
      <c r="E21" s="18" t="str">
        <f t="shared" si="0"/>
        <v>수</v>
      </c>
      <c r="F21" s="35"/>
      <c r="G21" s="35"/>
      <c r="H21" s="35"/>
      <c r="K21" s="120"/>
      <c r="L21" s="35"/>
      <c r="M21" s="35"/>
      <c r="N21" s="35"/>
      <c r="O21" s="155">
        <f t="shared" si="4"/>
        <v>11</v>
      </c>
    </row>
    <row r="22" spans="1:15" ht="56.25" x14ac:dyDescent="0.3">
      <c r="B22" s="89">
        <f t="shared" si="2"/>
        <v>12</v>
      </c>
      <c r="C22" s="72">
        <v>3</v>
      </c>
      <c r="D22" s="17">
        <f t="shared" si="3"/>
        <v>46281</v>
      </c>
      <c r="E22" s="18" t="str">
        <f t="shared" si="0"/>
        <v>수</v>
      </c>
      <c r="F22" s="35" t="s">
        <v>15</v>
      </c>
      <c r="G22" s="35" t="s">
        <v>61</v>
      </c>
      <c r="H22" s="35" t="s">
        <v>46</v>
      </c>
      <c r="I22" s="130" t="s">
        <v>60</v>
      </c>
      <c r="K22" s="120" t="s">
        <v>59</v>
      </c>
      <c r="L22" s="154" t="s">
        <v>58</v>
      </c>
      <c r="M22" s="35" t="s">
        <v>62</v>
      </c>
      <c r="N22" s="35"/>
      <c r="O22" s="155">
        <f t="shared" si="4"/>
        <v>12</v>
      </c>
    </row>
    <row r="23" spans="1:15" x14ac:dyDescent="0.3">
      <c r="B23" s="89">
        <f t="shared" si="2"/>
        <v>13</v>
      </c>
      <c r="C23" s="72">
        <v>4</v>
      </c>
      <c r="D23" s="17">
        <f t="shared" si="3"/>
        <v>46288</v>
      </c>
      <c r="E23" s="18" t="str">
        <f t="shared" si="0"/>
        <v>수</v>
      </c>
      <c r="F23" s="35" t="s">
        <v>16</v>
      </c>
      <c r="G23" s="35" t="s">
        <v>45</v>
      </c>
      <c r="H23" s="35"/>
      <c r="I23" s="130" t="s">
        <v>45</v>
      </c>
      <c r="K23" s="120"/>
      <c r="L23" s="35"/>
      <c r="M23" s="35"/>
      <c r="N23" s="35" t="s">
        <v>39</v>
      </c>
      <c r="O23" s="155">
        <f t="shared" si="4"/>
        <v>13</v>
      </c>
    </row>
    <row r="24" spans="1:15" x14ac:dyDescent="0.3">
      <c r="A24" s="179"/>
      <c r="B24" s="180">
        <f t="shared" si="2"/>
        <v>14</v>
      </c>
      <c r="C24" s="167">
        <v>5</v>
      </c>
      <c r="D24" s="168">
        <f t="shared" si="3"/>
        <v>46295</v>
      </c>
      <c r="E24" s="169" t="str">
        <f t="shared" si="0"/>
        <v>수</v>
      </c>
      <c r="F24" s="170"/>
      <c r="G24" s="170" t="s">
        <v>37</v>
      </c>
      <c r="H24" s="170" t="s">
        <v>64</v>
      </c>
      <c r="I24" s="171" t="s">
        <v>63</v>
      </c>
      <c r="J24" s="96"/>
      <c r="K24" s="172" t="str">
        <f>G24</f>
        <v>거래종결</v>
      </c>
      <c r="L24" s="170" t="str">
        <f>K24</f>
        <v>거래종결</v>
      </c>
      <c r="M24" s="170" t="s">
        <v>64</v>
      </c>
      <c r="N24" s="170"/>
      <c r="O24" s="155"/>
    </row>
    <row r="25" spans="1:15" x14ac:dyDescent="0.3">
      <c r="A25" s="47">
        <f>D25</f>
        <v>46302</v>
      </c>
      <c r="B25" s="89">
        <f t="shared" si="2"/>
        <v>15</v>
      </c>
      <c r="C25" s="72">
        <v>1</v>
      </c>
      <c r="D25" s="175">
        <f t="shared" si="3"/>
        <v>46302</v>
      </c>
      <c r="E25" s="18" t="str">
        <f t="shared" si="0"/>
        <v>수</v>
      </c>
      <c r="F25" s="35" t="s">
        <v>17</v>
      </c>
      <c r="G25" s="35"/>
      <c r="H25" s="35"/>
      <c r="I25" s="130"/>
      <c r="K25" s="120"/>
      <c r="L25" s="35"/>
      <c r="M25" s="35"/>
      <c r="N25" s="35"/>
    </row>
    <row r="26" spans="1:15" ht="18.75" customHeight="1" x14ac:dyDescent="0.3">
      <c r="B26" s="89">
        <f t="shared" si="2"/>
        <v>16</v>
      </c>
      <c r="C26" s="72">
        <f t="shared" si="2"/>
        <v>2</v>
      </c>
      <c r="D26" s="17">
        <f t="shared" si="3"/>
        <v>46309</v>
      </c>
      <c r="E26" s="18" t="str">
        <f t="shared" si="0"/>
        <v>수</v>
      </c>
      <c r="F26" s="35" t="s">
        <v>18</v>
      </c>
      <c r="G26" s="35"/>
      <c r="H26" s="138"/>
      <c r="I26" s="130"/>
      <c r="K26" s="120"/>
      <c r="L26" s="35"/>
      <c r="M26" s="35"/>
      <c r="N26" s="35"/>
    </row>
    <row r="27" spans="1:15" x14ac:dyDescent="0.3">
      <c r="B27" s="89">
        <f t="shared" si="2"/>
        <v>17</v>
      </c>
      <c r="C27" s="72">
        <f t="shared" si="2"/>
        <v>3</v>
      </c>
      <c r="D27" s="17">
        <f t="shared" si="3"/>
        <v>46316</v>
      </c>
      <c r="E27" s="18" t="str">
        <f t="shared" si="0"/>
        <v>수</v>
      </c>
      <c r="F27" s="35"/>
      <c r="G27" s="35"/>
      <c r="H27" s="138"/>
      <c r="I27" s="130"/>
      <c r="K27" s="120"/>
      <c r="L27" s="35"/>
      <c r="M27" s="35"/>
      <c r="N27" s="35"/>
    </row>
    <row r="28" spans="1:15" x14ac:dyDescent="0.3">
      <c r="A28" s="47"/>
      <c r="B28" s="89">
        <f t="shared" si="2"/>
        <v>18</v>
      </c>
      <c r="C28" s="72">
        <f t="shared" si="2"/>
        <v>4</v>
      </c>
      <c r="D28" s="17">
        <f t="shared" si="3"/>
        <v>46323</v>
      </c>
      <c r="E28" s="18" t="str">
        <f t="shared" si="0"/>
        <v>수</v>
      </c>
      <c r="F28" s="35"/>
      <c r="G28" s="35"/>
      <c r="H28" s="138"/>
      <c r="I28" s="130"/>
      <c r="K28" s="120"/>
      <c r="L28" s="35"/>
      <c r="M28" s="35"/>
      <c r="N28" s="35"/>
    </row>
    <row r="29" spans="1:15" x14ac:dyDescent="0.3">
      <c r="A29" s="47">
        <f>D29</f>
        <v>46330</v>
      </c>
      <c r="B29" s="89">
        <f t="shared" ref="B29:C44" si="5">B28+1</f>
        <v>19</v>
      </c>
      <c r="C29" s="72">
        <v>1</v>
      </c>
      <c r="D29" s="17">
        <f t="shared" si="3"/>
        <v>46330</v>
      </c>
      <c r="E29" s="18" t="str">
        <f t="shared" si="0"/>
        <v>수</v>
      </c>
      <c r="F29" s="35"/>
      <c r="G29" s="35"/>
      <c r="H29" s="138"/>
      <c r="I29" s="130"/>
      <c r="K29" s="120"/>
      <c r="L29" s="35"/>
      <c r="M29" s="35"/>
      <c r="N29" s="35"/>
    </row>
    <row r="30" spans="1:15" x14ac:dyDescent="0.3">
      <c r="B30" s="89">
        <f t="shared" si="5"/>
        <v>20</v>
      </c>
      <c r="C30" s="72">
        <v>2</v>
      </c>
      <c r="D30" s="17">
        <f t="shared" si="3"/>
        <v>46337</v>
      </c>
      <c r="E30" s="18" t="str">
        <f t="shared" si="0"/>
        <v>수</v>
      </c>
      <c r="F30" s="35"/>
      <c r="G30" s="35"/>
      <c r="H30" s="138"/>
      <c r="I30" s="130"/>
      <c r="K30" s="120"/>
      <c r="L30" s="35"/>
      <c r="M30" s="35"/>
      <c r="N30" s="35"/>
    </row>
    <row r="31" spans="1:15" x14ac:dyDescent="0.3">
      <c r="B31" s="89">
        <f t="shared" si="5"/>
        <v>21</v>
      </c>
      <c r="C31" s="72">
        <v>3</v>
      </c>
      <c r="D31" s="17">
        <f t="shared" si="3"/>
        <v>46344</v>
      </c>
      <c r="E31" s="18" t="str">
        <f t="shared" si="0"/>
        <v>수</v>
      </c>
      <c r="F31" s="35"/>
      <c r="G31" s="35"/>
      <c r="H31" s="138"/>
      <c r="I31" s="130"/>
      <c r="K31" s="120"/>
      <c r="L31" s="35"/>
      <c r="M31" s="35"/>
      <c r="N31" s="35"/>
    </row>
    <row r="32" spans="1:15" x14ac:dyDescent="0.3">
      <c r="A32" s="47"/>
      <c r="B32" s="89">
        <f t="shared" si="5"/>
        <v>22</v>
      </c>
      <c r="C32" s="72">
        <v>4</v>
      </c>
      <c r="D32" s="17">
        <f t="shared" si="3"/>
        <v>46351</v>
      </c>
      <c r="E32" s="18" t="str">
        <f t="shared" si="0"/>
        <v>수</v>
      </c>
      <c r="F32" s="35"/>
      <c r="G32" s="35"/>
      <c r="H32" s="138"/>
      <c r="I32" s="130"/>
      <c r="K32" s="120"/>
      <c r="L32" s="35"/>
      <c r="M32" s="35"/>
      <c r="N32" s="35"/>
    </row>
    <row r="33" spans="1:15" x14ac:dyDescent="0.3">
      <c r="A33" s="47">
        <f>D33</f>
        <v>46358</v>
      </c>
      <c r="B33" s="89">
        <f t="shared" si="5"/>
        <v>23</v>
      </c>
      <c r="C33" s="72">
        <v>1</v>
      </c>
      <c r="D33" s="17">
        <f t="shared" si="3"/>
        <v>46358</v>
      </c>
      <c r="E33" s="18" t="str">
        <f t="shared" si="0"/>
        <v>수</v>
      </c>
      <c r="F33" s="35"/>
      <c r="G33" s="35"/>
      <c r="H33" s="138"/>
      <c r="I33" s="130"/>
      <c r="K33" s="120"/>
      <c r="L33" s="35"/>
      <c r="M33" s="35"/>
      <c r="N33" s="35"/>
    </row>
    <row r="34" spans="1:15" x14ac:dyDescent="0.3">
      <c r="B34" s="89">
        <f t="shared" si="5"/>
        <v>24</v>
      </c>
      <c r="C34" s="72">
        <f t="shared" si="5"/>
        <v>2</v>
      </c>
      <c r="D34" s="17">
        <f t="shared" si="3"/>
        <v>46365</v>
      </c>
      <c r="E34" s="18" t="str">
        <f t="shared" si="0"/>
        <v>수</v>
      </c>
      <c r="F34" s="35"/>
      <c r="G34" s="35"/>
      <c r="H34" s="138"/>
      <c r="I34" s="130"/>
      <c r="K34" s="120"/>
      <c r="L34" s="35"/>
      <c r="M34" s="35"/>
      <c r="N34" s="35"/>
    </row>
    <row r="35" spans="1:15" x14ac:dyDescent="0.3">
      <c r="B35" s="89">
        <f t="shared" si="5"/>
        <v>25</v>
      </c>
      <c r="C35" s="72">
        <f t="shared" si="5"/>
        <v>3</v>
      </c>
      <c r="D35" s="17">
        <f t="shared" si="3"/>
        <v>46372</v>
      </c>
      <c r="E35" s="18" t="str">
        <f t="shared" si="0"/>
        <v>수</v>
      </c>
      <c r="F35" s="35"/>
      <c r="G35" s="35"/>
      <c r="H35" s="24"/>
      <c r="I35" s="130"/>
      <c r="K35" s="120"/>
      <c r="L35" s="35"/>
      <c r="M35" s="35"/>
      <c r="N35" s="35"/>
    </row>
    <row r="36" spans="1:15" x14ac:dyDescent="0.3">
      <c r="B36" s="89">
        <f t="shared" si="5"/>
        <v>26</v>
      </c>
      <c r="C36" s="72">
        <f t="shared" si="5"/>
        <v>4</v>
      </c>
      <c r="D36" s="17">
        <f t="shared" si="3"/>
        <v>46379</v>
      </c>
      <c r="E36" s="18" t="str">
        <f t="shared" si="0"/>
        <v>수</v>
      </c>
      <c r="F36" s="35"/>
      <c r="G36" s="35"/>
      <c r="H36" s="35"/>
      <c r="I36" s="130"/>
      <c r="K36" s="120"/>
      <c r="L36" s="35"/>
      <c r="M36" s="35"/>
      <c r="N36" s="35"/>
    </row>
    <row r="37" spans="1:15" s="88" customFormat="1" x14ac:dyDescent="0.3">
      <c r="A37" s="47"/>
      <c r="B37" s="89">
        <f t="shared" si="5"/>
        <v>27</v>
      </c>
      <c r="C37" s="72">
        <v>1</v>
      </c>
      <c r="D37" s="17">
        <f t="shared" si="3"/>
        <v>46386</v>
      </c>
      <c r="E37" s="18" t="str">
        <f t="shared" si="0"/>
        <v>수</v>
      </c>
      <c r="F37" s="35"/>
      <c r="G37" s="35"/>
      <c r="H37" s="35"/>
      <c r="I37" s="130"/>
      <c r="J37" s="87"/>
      <c r="K37" s="120"/>
      <c r="L37" s="35"/>
      <c r="M37" s="35"/>
      <c r="N37" s="35"/>
      <c r="O37" s="34"/>
    </row>
    <row r="38" spans="1:15" x14ac:dyDescent="0.3">
      <c r="B38" s="89">
        <f t="shared" si="5"/>
        <v>28</v>
      </c>
      <c r="C38" s="72">
        <f>C37+1</f>
        <v>2</v>
      </c>
      <c r="D38" s="17">
        <f t="shared" si="3"/>
        <v>46393</v>
      </c>
      <c r="E38" s="18" t="str">
        <f t="shared" si="0"/>
        <v>수</v>
      </c>
      <c r="F38" s="35"/>
      <c r="G38" s="35"/>
      <c r="H38" s="35"/>
      <c r="I38" s="130"/>
      <c r="K38" s="120"/>
      <c r="L38" s="35"/>
      <c r="M38" s="35"/>
      <c r="N38" s="35"/>
    </row>
    <row r="39" spans="1:15" x14ac:dyDescent="0.3">
      <c r="B39" s="89">
        <f t="shared" si="5"/>
        <v>29</v>
      </c>
      <c r="C39" s="72">
        <f t="shared" si="5"/>
        <v>3</v>
      </c>
      <c r="D39" s="17">
        <f t="shared" si="3"/>
        <v>46400</v>
      </c>
      <c r="E39" s="18" t="str">
        <f t="shared" si="0"/>
        <v>수</v>
      </c>
      <c r="F39" s="35"/>
      <c r="G39" s="35"/>
      <c r="H39" s="35"/>
      <c r="I39" s="130"/>
      <c r="K39" s="120"/>
      <c r="L39" s="35"/>
      <c r="M39" s="35"/>
      <c r="N39" s="35"/>
    </row>
    <row r="40" spans="1:15" x14ac:dyDescent="0.3">
      <c r="B40" s="89">
        <f t="shared" si="5"/>
        <v>30</v>
      </c>
      <c r="C40" s="72">
        <f t="shared" si="5"/>
        <v>4</v>
      </c>
      <c r="D40" s="17">
        <f t="shared" si="3"/>
        <v>46407</v>
      </c>
      <c r="E40" s="18" t="str">
        <f t="shared" si="0"/>
        <v>수</v>
      </c>
      <c r="F40" s="35"/>
      <c r="G40" s="35"/>
      <c r="H40" s="35"/>
      <c r="I40" s="130"/>
      <c r="K40" s="120"/>
      <c r="L40" s="35"/>
      <c r="M40" s="35"/>
      <c r="N40" s="35"/>
    </row>
    <row r="41" spans="1:15" x14ac:dyDescent="0.3">
      <c r="A41" s="47">
        <f>D41</f>
        <v>46414</v>
      </c>
      <c r="B41" s="89">
        <f t="shared" si="5"/>
        <v>31</v>
      </c>
      <c r="C41" s="72">
        <v>1</v>
      </c>
      <c r="D41" s="17">
        <f t="shared" si="3"/>
        <v>46414</v>
      </c>
      <c r="E41" s="18" t="str">
        <f t="shared" si="0"/>
        <v>수</v>
      </c>
      <c r="F41" s="35"/>
      <c r="G41" s="35"/>
      <c r="H41" s="35"/>
      <c r="I41" s="130"/>
      <c r="K41" s="120"/>
      <c r="L41" s="35"/>
      <c r="M41" s="35"/>
      <c r="N41" s="35"/>
    </row>
    <row r="42" spans="1:15" x14ac:dyDescent="0.3">
      <c r="B42" s="89">
        <f t="shared" si="5"/>
        <v>32</v>
      </c>
      <c r="C42" s="72">
        <v>2</v>
      </c>
      <c r="D42" s="17">
        <f t="shared" si="3"/>
        <v>46421</v>
      </c>
      <c r="E42" s="18" t="str">
        <f t="shared" si="0"/>
        <v>수</v>
      </c>
      <c r="F42" s="35"/>
      <c r="G42" s="35"/>
      <c r="H42" s="35"/>
      <c r="I42" s="130"/>
      <c r="K42" s="120"/>
      <c r="L42" s="35"/>
      <c r="M42" s="35"/>
      <c r="N42" s="35"/>
    </row>
    <row r="43" spans="1:15" x14ac:dyDescent="0.3">
      <c r="B43" s="89">
        <f t="shared" si="5"/>
        <v>33</v>
      </c>
      <c r="C43" s="72">
        <v>3</v>
      </c>
      <c r="D43" s="17">
        <f t="shared" si="3"/>
        <v>46428</v>
      </c>
      <c r="E43" s="18" t="str">
        <f t="shared" si="0"/>
        <v>수</v>
      </c>
      <c r="F43" s="35"/>
      <c r="G43" s="35"/>
      <c r="H43" s="35"/>
      <c r="I43" s="130"/>
      <c r="K43" s="120"/>
      <c r="L43" s="35"/>
      <c r="M43" s="35"/>
      <c r="N43" s="35"/>
    </row>
    <row r="44" spans="1:15" x14ac:dyDescent="0.3">
      <c r="B44" s="89">
        <f t="shared" si="5"/>
        <v>34</v>
      </c>
      <c r="C44" s="72">
        <v>4</v>
      </c>
      <c r="D44" s="17">
        <f t="shared" si="3"/>
        <v>46435</v>
      </c>
      <c r="E44" s="18" t="str">
        <f t="shared" si="0"/>
        <v>수</v>
      </c>
      <c r="F44" s="35"/>
      <c r="G44" s="35" t="s">
        <v>20</v>
      </c>
      <c r="H44" s="35"/>
      <c r="I44" s="130"/>
      <c r="K44" s="120"/>
      <c r="L44" s="35"/>
      <c r="M44" s="35"/>
      <c r="N44" s="35"/>
    </row>
    <row r="45" spans="1:15" x14ac:dyDescent="0.3">
      <c r="A45" s="47">
        <f>D45</f>
        <v>46442</v>
      </c>
      <c r="C45" s="72">
        <v>5</v>
      </c>
      <c r="D45" s="17">
        <f t="shared" si="3"/>
        <v>46442</v>
      </c>
      <c r="E45" s="18" t="str">
        <f t="shared" si="0"/>
        <v>수</v>
      </c>
      <c r="F45" s="35"/>
      <c r="G45" s="35"/>
      <c r="H45" s="35"/>
      <c r="I45" s="130"/>
      <c r="K45" s="120"/>
      <c r="L45" s="35"/>
      <c r="M45" s="35"/>
      <c r="N45" s="35"/>
    </row>
    <row r="46" spans="1:15" x14ac:dyDescent="0.3">
      <c r="C46" s="72">
        <v>1</v>
      </c>
      <c r="D46" s="17">
        <f t="shared" si="3"/>
        <v>46449</v>
      </c>
      <c r="E46" s="18" t="str">
        <f t="shared" si="0"/>
        <v>수</v>
      </c>
      <c r="F46" s="35"/>
      <c r="G46" s="35"/>
      <c r="H46" s="35"/>
      <c r="I46" s="130"/>
      <c r="K46" s="120"/>
      <c r="L46" s="35"/>
      <c r="M46" s="35"/>
      <c r="N46" s="35"/>
    </row>
    <row r="47" spans="1:15" x14ac:dyDescent="0.3">
      <c r="C47" s="72">
        <v>2</v>
      </c>
      <c r="D47" s="17">
        <f t="shared" si="3"/>
        <v>46456</v>
      </c>
      <c r="E47" s="18" t="str">
        <f t="shared" si="0"/>
        <v>수</v>
      </c>
      <c r="F47" s="35"/>
      <c r="G47" s="35"/>
      <c r="H47" s="35"/>
      <c r="I47" s="130"/>
      <c r="K47" s="120"/>
      <c r="L47" s="35"/>
      <c r="M47" s="35"/>
      <c r="N47" s="35"/>
    </row>
    <row r="48" spans="1:15" x14ac:dyDescent="0.3">
      <c r="C48" s="72">
        <v>3</v>
      </c>
      <c r="D48" s="17">
        <f t="shared" si="3"/>
        <v>46463</v>
      </c>
      <c r="E48" s="18" t="str">
        <f t="shared" si="0"/>
        <v>수</v>
      </c>
      <c r="F48" s="35"/>
      <c r="G48" s="35"/>
      <c r="H48" s="35"/>
      <c r="I48" s="130"/>
      <c r="K48" s="120"/>
      <c r="L48" s="35"/>
      <c r="M48" s="35"/>
      <c r="N48" s="35"/>
    </row>
    <row r="49" spans="1:14" x14ac:dyDescent="0.3">
      <c r="C49" s="72">
        <v>4</v>
      </c>
      <c r="D49" s="17">
        <f t="shared" si="3"/>
        <v>46470</v>
      </c>
      <c r="E49" s="18" t="str">
        <f t="shared" si="0"/>
        <v>수</v>
      </c>
      <c r="F49" s="35"/>
      <c r="G49" s="35"/>
      <c r="H49" s="35"/>
      <c r="I49" s="130"/>
      <c r="K49" s="120"/>
      <c r="L49" s="35"/>
      <c r="M49" s="35"/>
      <c r="N49" s="35"/>
    </row>
    <row r="50" spans="1:14" x14ac:dyDescent="0.3">
      <c r="A50" s="47">
        <f>D50</f>
        <v>46508</v>
      </c>
      <c r="C50" s="72"/>
      <c r="D50" s="17">
        <f>D49+38</f>
        <v>46508</v>
      </c>
      <c r="E50" s="18" t="str">
        <f t="shared" si="0"/>
        <v>토</v>
      </c>
      <c r="F50" s="35"/>
      <c r="G50" s="35"/>
      <c r="H50" s="35"/>
      <c r="I50" s="130"/>
      <c r="K50" s="120"/>
      <c r="L50" s="35"/>
      <c r="M50" s="35"/>
      <c r="N50" s="35"/>
    </row>
    <row r="51" spans="1:14" x14ac:dyDescent="0.3">
      <c r="C51" s="72"/>
      <c r="D51" s="17"/>
      <c r="E51" s="18"/>
      <c r="F51" s="35"/>
      <c r="G51" s="35"/>
      <c r="H51" s="35"/>
      <c r="I51" s="130"/>
      <c r="K51" s="120"/>
      <c r="L51" s="35"/>
      <c r="M51" s="35"/>
      <c r="N51" s="35"/>
    </row>
    <row r="52" spans="1:14" x14ac:dyDescent="0.3">
      <c r="C52" s="72"/>
      <c r="D52" s="17"/>
      <c r="E52" s="18"/>
      <c r="F52" s="35"/>
      <c r="G52" s="35"/>
      <c r="H52" s="35"/>
      <c r="I52" s="130"/>
      <c r="K52" s="120"/>
      <c r="L52" s="35"/>
      <c r="M52" s="35"/>
      <c r="N52" s="35"/>
    </row>
    <row r="53" spans="1:14" x14ac:dyDescent="0.3">
      <c r="C53" s="72"/>
      <c r="D53" s="17"/>
      <c r="E53" s="18"/>
      <c r="F53" s="35"/>
      <c r="G53" s="35"/>
      <c r="H53" s="35"/>
      <c r="I53" s="130"/>
      <c r="K53" s="120"/>
      <c r="L53" s="35"/>
      <c r="M53" s="35"/>
      <c r="N53" s="35"/>
    </row>
    <row r="54" spans="1:14" x14ac:dyDescent="0.3">
      <c r="C54" s="72"/>
      <c r="D54" s="17"/>
      <c r="E54" s="18"/>
      <c r="F54" s="35"/>
      <c r="G54" s="35"/>
      <c r="H54" s="35"/>
      <c r="I54" s="130"/>
      <c r="K54" s="120"/>
      <c r="L54" s="35"/>
      <c r="M54" s="35"/>
      <c r="N54" s="35"/>
    </row>
    <row r="55" spans="1:14" x14ac:dyDescent="0.3">
      <c r="C55" s="72"/>
      <c r="D55" s="17"/>
      <c r="E55" s="18"/>
      <c r="F55" s="35"/>
      <c r="G55" s="35"/>
      <c r="H55" s="35"/>
      <c r="I55" s="130"/>
      <c r="K55" s="120"/>
      <c r="L55" s="35"/>
      <c r="M55" s="35"/>
      <c r="N55" s="35"/>
    </row>
    <row r="56" spans="1:14" x14ac:dyDescent="0.3">
      <c r="C56" s="72"/>
      <c r="D56" s="17"/>
      <c r="E56" s="18"/>
      <c r="F56" s="35"/>
      <c r="G56" s="35"/>
      <c r="H56" s="35"/>
      <c r="I56" s="130"/>
      <c r="K56" s="120"/>
      <c r="L56" s="35"/>
      <c r="M56" s="35"/>
      <c r="N56" s="35"/>
    </row>
    <row r="57" spans="1:14" x14ac:dyDescent="0.3">
      <c r="C57" s="73"/>
      <c r="D57" s="92"/>
      <c r="E57" s="93"/>
      <c r="F57" s="94"/>
      <c r="G57" s="94"/>
      <c r="H57" s="94"/>
      <c r="I57" s="132"/>
      <c r="K57" s="133"/>
      <c r="L57" s="94"/>
      <c r="M57" s="94"/>
      <c r="N57" s="94"/>
    </row>
    <row r="59" spans="1:14" x14ac:dyDescent="0.3">
      <c r="A59" s="47"/>
      <c r="B59" s="47"/>
      <c r="C59" s="95"/>
      <c r="F59" s="96"/>
      <c r="G59" s="96"/>
      <c r="H59" s="96"/>
      <c r="I59" s="96"/>
      <c r="J59" s="96"/>
      <c r="K59" s="96"/>
      <c r="L59" s="96"/>
      <c r="M59" s="96"/>
      <c r="N59" s="96"/>
    </row>
    <row r="60" spans="1:14" x14ac:dyDescent="0.3">
      <c r="F60" s="96"/>
      <c r="G60" s="96"/>
      <c r="H60" s="96"/>
      <c r="I60" s="96"/>
      <c r="J60" s="96"/>
      <c r="K60" s="96"/>
      <c r="L60" s="96"/>
      <c r="M60" s="96"/>
      <c r="N60" s="96"/>
    </row>
    <row r="61" spans="1:14" x14ac:dyDescent="0.3">
      <c r="C61" s="1"/>
      <c r="F61" s="96"/>
      <c r="G61" s="96"/>
      <c r="H61" s="96"/>
      <c r="I61" s="96"/>
      <c r="J61" s="96"/>
      <c r="K61" s="96"/>
      <c r="L61" s="96"/>
      <c r="M61" s="96"/>
      <c r="N61" s="96"/>
    </row>
    <row r="62" spans="1:14" x14ac:dyDescent="0.3">
      <c r="F62" s="96"/>
      <c r="G62" s="96"/>
      <c r="H62" s="96"/>
      <c r="I62" s="96"/>
      <c r="J62" s="96"/>
      <c r="K62" s="96"/>
      <c r="L62" s="96"/>
      <c r="M62" s="96"/>
      <c r="N62" s="96"/>
    </row>
    <row r="64" spans="1:14" x14ac:dyDescent="0.3">
      <c r="F64" s="96"/>
      <c r="G64" s="96"/>
      <c r="H64" s="96"/>
      <c r="I64" s="96"/>
      <c r="J64" s="96"/>
      <c r="K64" s="96"/>
      <c r="L64" s="96"/>
      <c r="M64" s="96"/>
      <c r="N64" s="96"/>
    </row>
    <row r="65" spans="1:15" x14ac:dyDescent="0.3">
      <c r="O65" s="97"/>
    </row>
    <row r="66" spans="1:15" x14ac:dyDescent="0.3">
      <c r="A66" s="47"/>
      <c r="B66" s="47"/>
      <c r="C66" s="95"/>
      <c r="F66" s="96"/>
      <c r="G66" s="96"/>
      <c r="H66" s="96"/>
      <c r="I66" s="96"/>
      <c r="J66" s="96"/>
      <c r="K66" s="96"/>
      <c r="L66" s="96"/>
      <c r="M66" s="96"/>
      <c r="N66" s="96"/>
    </row>
    <row r="67" spans="1:15" x14ac:dyDescent="0.3">
      <c r="F67" s="96"/>
      <c r="G67" s="96"/>
      <c r="H67" s="96"/>
      <c r="I67" s="96"/>
      <c r="J67" s="96"/>
      <c r="K67" s="96"/>
      <c r="L67" s="96"/>
      <c r="M67" s="96"/>
      <c r="N67" s="96"/>
    </row>
    <row r="68" spans="1:15" x14ac:dyDescent="0.3">
      <c r="F68" s="96"/>
      <c r="G68" s="96"/>
      <c r="H68" s="96"/>
      <c r="I68" s="96"/>
      <c r="J68" s="96"/>
      <c r="K68" s="96"/>
      <c r="L68" s="96"/>
      <c r="M68" s="96"/>
      <c r="N68" s="96"/>
    </row>
    <row r="69" spans="1:15" x14ac:dyDescent="0.3">
      <c r="F69" s="96"/>
      <c r="G69" s="96"/>
      <c r="H69" s="96"/>
      <c r="I69" s="96"/>
      <c r="J69" s="96"/>
      <c r="K69" s="96"/>
      <c r="L69" s="96"/>
      <c r="M69" s="96"/>
      <c r="N69" s="96"/>
    </row>
    <row r="70" spans="1:15" x14ac:dyDescent="0.3">
      <c r="F70" s="96"/>
      <c r="G70" s="96"/>
      <c r="H70" s="96"/>
      <c r="I70" s="96"/>
      <c r="J70" s="96"/>
      <c r="K70" s="96"/>
      <c r="L70" s="96"/>
      <c r="M70" s="96"/>
      <c r="N70" s="96"/>
    </row>
    <row r="71" spans="1:15" x14ac:dyDescent="0.3">
      <c r="F71" s="96"/>
      <c r="G71" s="96"/>
      <c r="H71" s="96"/>
      <c r="I71" s="96"/>
      <c r="J71" s="96"/>
      <c r="K71" s="96"/>
      <c r="L71" s="96"/>
      <c r="M71" s="96"/>
      <c r="N71" s="96"/>
    </row>
    <row r="72" spans="1:15" s="9" customFormat="1" x14ac:dyDescent="0.3">
      <c r="A72" s="1"/>
      <c r="B72" s="1"/>
      <c r="C72" s="13"/>
      <c r="D72" s="5"/>
      <c r="E72" s="6"/>
      <c r="F72" s="96"/>
      <c r="G72" s="96"/>
      <c r="H72" s="96"/>
      <c r="I72" s="96"/>
      <c r="J72" s="96"/>
      <c r="K72" s="96"/>
      <c r="L72" s="96"/>
      <c r="M72" s="96"/>
      <c r="N72" s="96"/>
      <c r="O72" s="34"/>
    </row>
    <row r="73" spans="1:15" x14ac:dyDescent="0.3">
      <c r="A73" s="47"/>
      <c r="B73" s="47"/>
      <c r="C73" s="95"/>
      <c r="F73" s="96"/>
      <c r="G73" s="96"/>
      <c r="H73" s="96"/>
      <c r="I73" s="96"/>
      <c r="J73" s="96"/>
      <c r="K73" s="96"/>
      <c r="L73" s="96"/>
      <c r="M73" s="96"/>
      <c r="N73" s="96"/>
    </row>
    <row r="74" spans="1:15" x14ac:dyDescent="0.3">
      <c r="F74" s="96"/>
      <c r="G74" s="96"/>
      <c r="H74" s="96"/>
      <c r="I74" s="96"/>
      <c r="J74" s="96"/>
      <c r="K74" s="96"/>
      <c r="L74" s="96"/>
      <c r="M74" s="96"/>
      <c r="N74" s="96"/>
    </row>
    <row r="75" spans="1:15" x14ac:dyDescent="0.3">
      <c r="F75" s="96"/>
      <c r="G75" s="96"/>
      <c r="H75" s="96"/>
      <c r="I75" s="96"/>
      <c r="J75" s="96"/>
      <c r="K75" s="96"/>
      <c r="L75" s="96"/>
      <c r="M75" s="96"/>
      <c r="N75" s="96"/>
    </row>
    <row r="76" spans="1:15" x14ac:dyDescent="0.3">
      <c r="F76" s="96"/>
      <c r="G76" s="96"/>
      <c r="H76" s="96"/>
      <c r="I76" s="96"/>
      <c r="J76" s="96"/>
      <c r="K76" s="96"/>
      <c r="L76" s="96"/>
      <c r="M76" s="96"/>
      <c r="N76" s="96"/>
    </row>
    <row r="78" spans="1:15" x14ac:dyDescent="0.3">
      <c r="F78" s="96"/>
      <c r="G78" s="96"/>
      <c r="H78" s="96"/>
      <c r="I78" s="96"/>
      <c r="J78" s="96"/>
      <c r="K78" s="96"/>
      <c r="L78" s="96"/>
      <c r="M78" s="96"/>
      <c r="N78" s="96"/>
    </row>
    <row r="79" spans="1:15" x14ac:dyDescent="0.3">
      <c r="F79" s="96"/>
      <c r="G79" s="96"/>
      <c r="H79" s="96"/>
      <c r="I79" s="96"/>
      <c r="J79" s="96"/>
      <c r="K79" s="96"/>
      <c r="L79" s="96"/>
      <c r="M79" s="96"/>
      <c r="N79" s="96"/>
      <c r="O79" s="7"/>
    </row>
    <row r="80" spans="1:15" x14ac:dyDescent="0.3">
      <c r="A80" s="47"/>
      <c r="B80" s="47"/>
      <c r="C80" s="95"/>
      <c r="F80" s="96"/>
      <c r="G80" s="96"/>
      <c r="H80" s="96"/>
      <c r="I80" s="96"/>
      <c r="J80" s="96"/>
      <c r="K80" s="96"/>
      <c r="L80" s="96"/>
      <c r="M80" s="96"/>
      <c r="N80" s="96"/>
    </row>
    <row r="81" spans="1:15" x14ac:dyDescent="0.3">
      <c r="F81" s="96"/>
      <c r="G81" s="96"/>
      <c r="H81" s="96"/>
      <c r="I81" s="96"/>
      <c r="J81" s="96"/>
      <c r="K81" s="96"/>
      <c r="L81" s="96"/>
      <c r="M81" s="96"/>
      <c r="N81" s="96"/>
    </row>
    <row r="82" spans="1:15" x14ac:dyDescent="0.3">
      <c r="F82" s="96"/>
      <c r="G82" s="96"/>
      <c r="H82" s="96"/>
      <c r="I82" s="96"/>
      <c r="J82" s="96"/>
      <c r="K82" s="96"/>
      <c r="L82" s="96"/>
      <c r="M82" s="96"/>
      <c r="N82" s="96"/>
      <c r="O82" s="7"/>
    </row>
    <row r="83" spans="1:15" x14ac:dyDescent="0.3">
      <c r="F83" s="96"/>
      <c r="G83" s="96"/>
      <c r="H83" s="96"/>
      <c r="I83" s="96"/>
      <c r="J83" s="96"/>
      <c r="K83" s="96"/>
      <c r="L83" s="96"/>
      <c r="M83" s="96"/>
      <c r="N83" s="96"/>
      <c r="O83" s="7"/>
    </row>
    <row r="84" spans="1:15" x14ac:dyDescent="0.3">
      <c r="F84" s="96"/>
      <c r="G84" s="96"/>
      <c r="H84" s="96"/>
      <c r="I84" s="96"/>
      <c r="J84" s="96"/>
      <c r="K84" s="96"/>
      <c r="L84" s="96"/>
      <c r="M84" s="96"/>
      <c r="N84" s="96"/>
      <c r="O84" s="7"/>
    </row>
    <row r="85" spans="1:15" x14ac:dyDescent="0.3">
      <c r="F85" s="96"/>
      <c r="G85" s="96"/>
      <c r="H85" s="96"/>
      <c r="I85" s="96"/>
      <c r="J85" s="96"/>
      <c r="K85" s="96"/>
      <c r="L85" s="96"/>
      <c r="M85" s="96"/>
      <c r="N85" s="96"/>
      <c r="O85" s="98"/>
    </row>
    <row r="86" spans="1:15" x14ac:dyDescent="0.3">
      <c r="F86" s="96"/>
      <c r="G86" s="96"/>
      <c r="H86" s="96"/>
      <c r="I86" s="96"/>
      <c r="J86" s="96"/>
      <c r="K86" s="96"/>
      <c r="L86" s="96"/>
      <c r="M86" s="96"/>
      <c r="N86" s="96"/>
    </row>
    <row r="87" spans="1:15" x14ac:dyDescent="0.3">
      <c r="A87" s="47"/>
      <c r="B87" s="47"/>
      <c r="C87" s="95"/>
      <c r="F87" s="99"/>
      <c r="G87" s="99"/>
      <c r="H87" s="99"/>
      <c r="I87" s="99"/>
      <c r="J87" s="99"/>
      <c r="K87" s="99"/>
      <c r="L87" s="99"/>
      <c r="M87" s="99"/>
      <c r="N87" s="99"/>
    </row>
    <row r="88" spans="1:15" x14ac:dyDescent="0.3">
      <c r="F88" s="96"/>
      <c r="G88" s="96"/>
      <c r="H88" s="96"/>
      <c r="I88" s="96"/>
      <c r="J88" s="96"/>
      <c r="K88" s="96"/>
      <c r="L88" s="96"/>
      <c r="M88" s="96"/>
      <c r="N88" s="96"/>
    </row>
    <row r="89" spans="1:15" x14ac:dyDescent="0.3">
      <c r="F89" s="100"/>
      <c r="G89" s="100"/>
      <c r="H89" s="100"/>
      <c r="I89" s="100"/>
      <c r="J89" s="100"/>
      <c r="K89" s="100"/>
      <c r="L89" s="100"/>
      <c r="M89" s="100"/>
      <c r="N89" s="100"/>
    </row>
    <row r="90" spans="1:15" x14ac:dyDescent="0.3">
      <c r="F90" s="96"/>
      <c r="G90" s="96"/>
      <c r="H90" s="96"/>
      <c r="I90" s="96"/>
      <c r="J90" s="96"/>
      <c r="K90" s="96"/>
      <c r="L90" s="96"/>
      <c r="M90" s="96"/>
      <c r="N90" s="96"/>
    </row>
    <row r="91" spans="1:15" x14ac:dyDescent="0.3">
      <c r="O91" s="101"/>
    </row>
    <row r="92" spans="1:15" x14ac:dyDescent="0.3">
      <c r="F92" s="96"/>
      <c r="G92" s="96"/>
      <c r="H92" s="96"/>
      <c r="I92" s="96"/>
      <c r="J92" s="96"/>
      <c r="K92" s="96"/>
      <c r="L92" s="96"/>
      <c r="M92" s="96"/>
      <c r="N92" s="96"/>
      <c r="O92" s="7"/>
    </row>
    <row r="93" spans="1:15" x14ac:dyDescent="0.3">
      <c r="F93" s="96"/>
      <c r="G93" s="96"/>
      <c r="H93" s="96"/>
      <c r="I93" s="96"/>
      <c r="J93" s="96"/>
      <c r="K93" s="96"/>
      <c r="L93" s="96"/>
      <c r="M93" s="96"/>
      <c r="N93" s="96"/>
      <c r="O93" s="7"/>
    </row>
    <row r="94" spans="1:15" x14ac:dyDescent="0.3">
      <c r="C94" s="95"/>
      <c r="F94" s="99"/>
      <c r="G94" s="99"/>
      <c r="H94" s="99"/>
      <c r="I94" s="99"/>
      <c r="J94" s="99"/>
      <c r="K94" s="99"/>
      <c r="L94" s="99"/>
      <c r="M94" s="99"/>
      <c r="N94" s="99"/>
    </row>
    <row r="95" spans="1:15" x14ac:dyDescent="0.3">
      <c r="F95" s="96"/>
      <c r="G95" s="96"/>
      <c r="H95" s="96"/>
      <c r="I95" s="96"/>
      <c r="J95" s="96"/>
      <c r="K95" s="96"/>
      <c r="L95" s="96"/>
      <c r="M95" s="96"/>
      <c r="N95" s="96"/>
    </row>
    <row r="96" spans="1:15" x14ac:dyDescent="0.3">
      <c r="A96" s="47"/>
      <c r="B96" s="47"/>
      <c r="C96" s="102"/>
      <c r="F96" s="99"/>
      <c r="G96" s="99"/>
      <c r="H96" s="99"/>
      <c r="I96" s="99"/>
      <c r="J96" s="99"/>
      <c r="K96" s="99"/>
      <c r="L96" s="99"/>
      <c r="M96" s="99"/>
      <c r="N96" s="99"/>
      <c r="O96" s="7"/>
    </row>
    <row r="97" spans="1:15" x14ac:dyDescent="0.3">
      <c r="F97" s="99"/>
      <c r="G97" s="99"/>
      <c r="H97" s="99"/>
      <c r="I97" s="99"/>
      <c r="J97" s="99"/>
      <c r="K97" s="99"/>
      <c r="L97" s="99"/>
      <c r="M97" s="99"/>
      <c r="N97" s="99"/>
    </row>
    <row r="98" spans="1:15" x14ac:dyDescent="0.3">
      <c r="A98" s="48"/>
      <c r="B98" s="48"/>
      <c r="D98" s="103"/>
      <c r="E98" s="104"/>
      <c r="F98" s="99"/>
      <c r="G98" s="99"/>
      <c r="H98" s="99"/>
      <c r="I98" s="99"/>
      <c r="J98" s="99"/>
      <c r="K98" s="99"/>
      <c r="L98" s="99"/>
      <c r="M98" s="99"/>
      <c r="N98" s="99"/>
      <c r="O98" s="98"/>
    </row>
    <row r="99" spans="1:15" x14ac:dyDescent="0.3">
      <c r="F99" s="96"/>
      <c r="G99" s="96"/>
      <c r="H99" s="96"/>
      <c r="I99" s="96"/>
      <c r="J99" s="96"/>
      <c r="K99" s="96"/>
      <c r="L99" s="96"/>
      <c r="M99" s="96"/>
      <c r="N99" s="96"/>
      <c r="O99" s="98"/>
    </row>
    <row r="100" spans="1:15" x14ac:dyDescent="0.3">
      <c r="F100" s="99"/>
      <c r="G100" s="99"/>
      <c r="H100" s="99"/>
      <c r="I100" s="99"/>
      <c r="J100" s="99"/>
      <c r="K100" s="99"/>
      <c r="L100" s="99"/>
      <c r="M100" s="99"/>
      <c r="N100" s="99"/>
    </row>
    <row r="101" spans="1:15" x14ac:dyDescent="0.3">
      <c r="C101" s="95"/>
      <c r="D101" s="105"/>
      <c r="E101" s="106"/>
      <c r="F101" s="107"/>
      <c r="G101" s="107"/>
      <c r="H101" s="107"/>
      <c r="I101" s="107"/>
      <c r="J101" s="99"/>
      <c r="K101" s="107"/>
      <c r="L101" s="107"/>
      <c r="M101" s="107"/>
      <c r="N101" s="107"/>
      <c r="O101" s="135"/>
    </row>
    <row r="102" spans="1:15" x14ac:dyDescent="0.3">
      <c r="F102" s="99"/>
      <c r="G102" s="99"/>
      <c r="H102" s="99"/>
      <c r="I102" s="99"/>
      <c r="J102" s="99"/>
      <c r="K102" s="99"/>
      <c r="L102" s="99"/>
      <c r="M102" s="99"/>
      <c r="N102" s="99"/>
    </row>
    <row r="103" spans="1:15" x14ac:dyDescent="0.3">
      <c r="F103" s="99"/>
      <c r="G103" s="99"/>
      <c r="H103" s="99"/>
      <c r="I103" s="99"/>
      <c r="J103" s="99"/>
      <c r="K103" s="99"/>
      <c r="L103" s="99"/>
      <c r="M103" s="99"/>
      <c r="N103" s="99"/>
    </row>
    <row r="104" spans="1:15" x14ac:dyDescent="0.3">
      <c r="F104" s="99"/>
      <c r="G104" s="99"/>
      <c r="H104" s="99"/>
      <c r="I104" s="99"/>
      <c r="J104" s="99"/>
      <c r="K104" s="99"/>
      <c r="L104" s="99"/>
      <c r="M104" s="99"/>
      <c r="N104" s="99"/>
    </row>
    <row r="105" spans="1:15" x14ac:dyDescent="0.3">
      <c r="O105" s="7"/>
    </row>
    <row r="106" spans="1:15" x14ac:dyDescent="0.3">
      <c r="F106" s="96"/>
      <c r="G106" s="96"/>
      <c r="H106" s="96"/>
      <c r="I106" s="96"/>
      <c r="J106" s="96"/>
      <c r="K106" s="96"/>
      <c r="L106" s="96"/>
      <c r="M106" s="96"/>
      <c r="N106" s="96"/>
    </row>
    <row r="107" spans="1:15" x14ac:dyDescent="0.3">
      <c r="F107" s="96"/>
      <c r="G107" s="96"/>
      <c r="H107" s="96"/>
      <c r="I107" s="96"/>
      <c r="J107" s="96"/>
      <c r="K107" s="96"/>
      <c r="L107" s="96"/>
      <c r="M107" s="96"/>
      <c r="N107" s="96"/>
    </row>
    <row r="108" spans="1:15" x14ac:dyDescent="0.3">
      <c r="C108" s="95"/>
      <c r="F108" s="96"/>
      <c r="G108" s="96"/>
      <c r="H108" s="96"/>
      <c r="I108" s="96"/>
      <c r="J108" s="96"/>
      <c r="K108" s="96"/>
      <c r="L108" s="96"/>
      <c r="M108" s="96"/>
      <c r="N108" s="96"/>
    </row>
    <row r="109" spans="1:15" x14ac:dyDescent="0.3">
      <c r="F109" s="96"/>
      <c r="G109" s="96"/>
      <c r="H109" s="96"/>
      <c r="I109" s="96"/>
      <c r="J109" s="96"/>
      <c r="K109" s="96"/>
      <c r="L109" s="96"/>
      <c r="M109" s="96"/>
      <c r="N109" s="96"/>
    </row>
    <row r="110" spans="1:15" x14ac:dyDescent="0.3">
      <c r="F110" s="108"/>
      <c r="G110" s="108"/>
      <c r="H110" s="108"/>
      <c r="I110" s="108"/>
      <c r="J110" s="96"/>
      <c r="K110" s="108"/>
      <c r="L110" s="108"/>
      <c r="M110" s="108"/>
      <c r="N110" s="108"/>
    </row>
    <row r="111" spans="1:15" x14ac:dyDescent="0.3">
      <c r="F111" s="96"/>
      <c r="G111" s="96"/>
      <c r="H111" s="96"/>
      <c r="I111" s="96"/>
      <c r="J111" s="96"/>
      <c r="K111" s="96"/>
      <c r="L111" s="96"/>
      <c r="M111" s="96"/>
      <c r="N111" s="96"/>
    </row>
    <row r="112" spans="1:15" x14ac:dyDescent="0.3">
      <c r="F112" s="96"/>
      <c r="G112" s="96"/>
      <c r="H112" s="96"/>
      <c r="I112" s="96"/>
      <c r="J112" s="96"/>
      <c r="K112" s="96"/>
      <c r="L112" s="96"/>
      <c r="M112" s="96"/>
      <c r="N112" s="96"/>
    </row>
    <row r="113" spans="3:14" x14ac:dyDescent="0.3">
      <c r="F113" s="96"/>
      <c r="G113" s="96"/>
      <c r="H113" s="96"/>
      <c r="I113" s="96"/>
      <c r="J113" s="96"/>
      <c r="K113" s="96"/>
      <c r="L113" s="96"/>
      <c r="M113" s="96"/>
      <c r="N113" s="96"/>
    </row>
    <row r="115" spans="3:14" x14ac:dyDescent="0.3">
      <c r="C115" s="95"/>
      <c r="F115" s="96"/>
      <c r="G115" s="96"/>
      <c r="H115" s="96"/>
      <c r="I115" s="96"/>
      <c r="J115" s="96"/>
      <c r="K115" s="96"/>
      <c r="L115" s="96"/>
      <c r="M115" s="96"/>
      <c r="N115" s="96"/>
    </row>
    <row r="116" spans="3:14" x14ac:dyDescent="0.3">
      <c r="F116" s="96"/>
      <c r="G116" s="96"/>
      <c r="H116" s="96"/>
      <c r="I116" s="96"/>
      <c r="J116" s="96"/>
      <c r="K116" s="96"/>
      <c r="L116" s="96"/>
      <c r="M116" s="96"/>
      <c r="N116" s="96"/>
    </row>
    <row r="117" spans="3:14" x14ac:dyDescent="0.3">
      <c r="F117" s="109"/>
      <c r="G117" s="109"/>
      <c r="H117" s="109"/>
      <c r="I117" s="109"/>
      <c r="K117" s="109"/>
      <c r="L117" s="109"/>
      <c r="M117" s="109"/>
      <c r="N117" s="109"/>
    </row>
    <row r="118" spans="3:14" x14ac:dyDescent="0.3">
      <c r="F118" s="96"/>
      <c r="G118" s="96"/>
      <c r="H118" s="96"/>
      <c r="I118" s="96"/>
      <c r="J118" s="96"/>
      <c r="K118" s="96"/>
      <c r="L118" s="96"/>
      <c r="M118" s="96"/>
      <c r="N118" s="96"/>
    </row>
    <row r="119" spans="3:14" x14ac:dyDescent="0.3">
      <c r="F119" s="96"/>
      <c r="G119" s="96"/>
      <c r="H119" s="96"/>
      <c r="I119" s="96"/>
      <c r="J119" s="96"/>
      <c r="K119" s="96"/>
      <c r="L119" s="96"/>
      <c r="M119" s="96"/>
      <c r="N119" s="96"/>
    </row>
    <row r="120" spans="3:14" x14ac:dyDescent="0.3">
      <c r="F120" s="96"/>
      <c r="G120" s="96"/>
      <c r="H120" s="96"/>
      <c r="I120" s="96"/>
      <c r="J120" s="96"/>
      <c r="K120" s="96"/>
      <c r="L120" s="96"/>
      <c r="M120" s="96"/>
      <c r="N120" s="96"/>
    </row>
    <row r="121" spans="3:14" x14ac:dyDescent="0.3">
      <c r="F121" s="96"/>
      <c r="G121" s="96"/>
      <c r="H121" s="96"/>
      <c r="I121" s="96"/>
      <c r="J121" s="96"/>
      <c r="K121" s="96"/>
      <c r="L121" s="96"/>
      <c r="M121" s="96"/>
      <c r="N121" s="96"/>
    </row>
    <row r="122" spans="3:14" x14ac:dyDescent="0.3">
      <c r="C122" s="95"/>
      <c r="F122" s="96"/>
      <c r="G122" s="96"/>
      <c r="H122" s="96"/>
      <c r="I122" s="96"/>
      <c r="J122" s="96"/>
      <c r="K122" s="96"/>
      <c r="L122" s="96"/>
      <c r="M122" s="96"/>
      <c r="N122" s="96"/>
    </row>
    <row r="123" spans="3:14" x14ac:dyDescent="0.3">
      <c r="F123" s="96"/>
      <c r="G123" s="96"/>
      <c r="H123" s="96"/>
      <c r="I123" s="96"/>
      <c r="J123" s="96"/>
      <c r="K123" s="96"/>
      <c r="L123" s="96"/>
      <c r="M123" s="96"/>
      <c r="N123" s="96"/>
    </row>
    <row r="124" spans="3:14" x14ac:dyDescent="0.3">
      <c r="F124" s="96"/>
      <c r="G124" s="96"/>
      <c r="H124" s="96"/>
      <c r="I124" s="96"/>
      <c r="J124" s="96"/>
      <c r="K124" s="96"/>
      <c r="L124" s="96"/>
      <c r="M124" s="96"/>
      <c r="N124" s="96"/>
    </row>
    <row r="125" spans="3:14" x14ac:dyDescent="0.3">
      <c r="F125" s="96"/>
      <c r="G125" s="96"/>
      <c r="H125" s="96"/>
      <c r="I125" s="96"/>
      <c r="J125" s="96"/>
      <c r="K125" s="96"/>
      <c r="L125" s="96"/>
      <c r="M125" s="96"/>
      <c r="N125" s="96"/>
    </row>
    <row r="126" spans="3:14" x14ac:dyDescent="0.3">
      <c r="F126" s="96"/>
      <c r="G126" s="96"/>
      <c r="H126" s="96"/>
      <c r="I126" s="96"/>
      <c r="J126" s="96"/>
      <c r="K126" s="96"/>
      <c r="L126" s="96"/>
      <c r="M126" s="96"/>
      <c r="N126" s="96"/>
    </row>
    <row r="127" spans="3:14" x14ac:dyDescent="0.3">
      <c r="C127" s="102"/>
      <c r="F127" s="96"/>
      <c r="G127" s="96"/>
      <c r="H127" s="96"/>
      <c r="I127" s="96"/>
      <c r="J127" s="96"/>
      <c r="K127" s="96"/>
      <c r="L127" s="96"/>
      <c r="M127" s="96"/>
      <c r="N127" s="96"/>
    </row>
    <row r="129" spans="1:15" x14ac:dyDescent="0.3">
      <c r="A129" s="47"/>
      <c r="B129" s="47"/>
      <c r="C129" s="95"/>
      <c r="F129" s="96"/>
      <c r="G129" s="96"/>
      <c r="H129" s="96"/>
      <c r="I129" s="96"/>
      <c r="J129" s="96"/>
      <c r="K129" s="96"/>
      <c r="L129" s="96"/>
      <c r="M129" s="96"/>
      <c r="N129" s="96"/>
    </row>
    <row r="130" spans="1:15" x14ac:dyDescent="0.3">
      <c r="F130" s="96"/>
      <c r="G130" s="96"/>
      <c r="H130" s="96"/>
      <c r="I130" s="96"/>
      <c r="J130" s="96"/>
      <c r="K130" s="96"/>
      <c r="L130" s="96"/>
      <c r="M130" s="96"/>
      <c r="N130" s="96"/>
    </row>
    <row r="131" spans="1:15" x14ac:dyDescent="0.3">
      <c r="A131" s="47"/>
      <c r="B131" s="47"/>
      <c r="F131" s="96"/>
      <c r="G131" s="96"/>
      <c r="H131" s="96"/>
      <c r="I131" s="96"/>
      <c r="J131" s="96"/>
      <c r="K131" s="96"/>
      <c r="L131" s="96"/>
      <c r="M131" s="96"/>
      <c r="N131" s="96"/>
    </row>
    <row r="133" spans="1:15" x14ac:dyDescent="0.3">
      <c r="F133" s="96"/>
      <c r="G133" s="96"/>
      <c r="H133" s="96"/>
      <c r="I133" s="96"/>
      <c r="J133" s="96"/>
      <c r="K133" s="96"/>
      <c r="L133" s="96"/>
      <c r="M133" s="96"/>
      <c r="N133" s="96"/>
    </row>
    <row r="134" spans="1:15" x14ac:dyDescent="0.3">
      <c r="F134" s="110"/>
      <c r="G134" s="110"/>
      <c r="H134" s="110"/>
      <c r="I134" s="110"/>
      <c r="J134" s="96"/>
      <c r="K134" s="110"/>
      <c r="L134" s="110"/>
      <c r="M134" s="110"/>
      <c r="N134" s="110"/>
    </row>
    <row r="136" spans="1:15" x14ac:dyDescent="0.3">
      <c r="C136" s="95"/>
      <c r="F136" s="96"/>
      <c r="G136" s="96"/>
      <c r="H136" s="96"/>
      <c r="I136" s="96"/>
      <c r="J136" s="96"/>
      <c r="K136" s="96"/>
      <c r="L136" s="96"/>
      <c r="M136" s="96"/>
      <c r="N136" s="96"/>
    </row>
    <row r="137" spans="1:15" x14ac:dyDescent="0.3">
      <c r="F137" s="96"/>
      <c r="G137" s="96"/>
      <c r="H137" s="96"/>
      <c r="I137" s="96"/>
      <c r="J137" s="96"/>
      <c r="K137" s="96"/>
      <c r="L137" s="96"/>
      <c r="M137" s="96"/>
      <c r="N137" s="96"/>
    </row>
    <row r="138" spans="1:15" x14ac:dyDescent="0.3">
      <c r="F138" s="96"/>
      <c r="G138" s="96"/>
      <c r="H138" s="96"/>
      <c r="I138" s="96"/>
      <c r="J138" s="96"/>
      <c r="K138" s="96"/>
      <c r="L138" s="96"/>
      <c r="M138" s="96"/>
      <c r="N138" s="96"/>
    </row>
    <row r="139" spans="1:15" x14ac:dyDescent="0.3">
      <c r="F139" s="99"/>
      <c r="G139" s="99"/>
      <c r="H139" s="99"/>
      <c r="I139" s="99"/>
      <c r="J139" s="99"/>
      <c r="K139" s="99"/>
      <c r="L139" s="99"/>
      <c r="M139" s="99"/>
      <c r="N139" s="99"/>
      <c r="O139" s="98"/>
    </row>
    <row r="140" spans="1:15" x14ac:dyDescent="0.3">
      <c r="F140" s="96"/>
      <c r="G140" s="96"/>
      <c r="H140" s="96"/>
      <c r="I140" s="96"/>
      <c r="J140" s="96"/>
      <c r="K140" s="96"/>
      <c r="L140" s="96"/>
      <c r="M140" s="96"/>
      <c r="N140" s="96"/>
    </row>
    <row r="141" spans="1:15" x14ac:dyDescent="0.3">
      <c r="F141" s="96"/>
      <c r="G141" s="96"/>
      <c r="H141" s="96"/>
      <c r="I141" s="96"/>
      <c r="J141" s="96"/>
      <c r="K141" s="96"/>
      <c r="L141" s="96"/>
      <c r="M141" s="96"/>
      <c r="N141" s="96"/>
    </row>
    <row r="142" spans="1:15" x14ac:dyDescent="0.3">
      <c r="F142" s="111"/>
      <c r="G142" s="111"/>
      <c r="H142" s="111"/>
      <c r="I142" s="111"/>
      <c r="J142" s="100"/>
      <c r="K142" s="111"/>
      <c r="L142" s="111"/>
      <c r="M142" s="111"/>
      <c r="N142" s="111"/>
    </row>
    <row r="143" spans="1:15" x14ac:dyDescent="0.3">
      <c r="C143" s="95"/>
      <c r="F143" s="108"/>
      <c r="G143" s="108"/>
      <c r="H143" s="108"/>
      <c r="I143" s="108"/>
      <c r="J143" s="96"/>
      <c r="K143" s="108"/>
      <c r="L143" s="108"/>
      <c r="M143" s="108"/>
      <c r="N143" s="108"/>
    </row>
    <row r="144" spans="1:15" ht="18.75" customHeight="1" x14ac:dyDescent="0.3">
      <c r="F144" s="109"/>
      <c r="G144" s="109"/>
      <c r="H144" s="109"/>
      <c r="I144" s="109"/>
      <c r="K144" s="109"/>
      <c r="L144" s="109"/>
      <c r="M144" s="109"/>
      <c r="N144" s="109"/>
    </row>
    <row r="145" spans="1:18" x14ac:dyDescent="0.3">
      <c r="F145" s="108"/>
      <c r="G145" s="108"/>
      <c r="H145" s="108"/>
      <c r="I145" s="108"/>
      <c r="J145" s="96"/>
      <c r="K145" s="108"/>
      <c r="L145" s="108"/>
      <c r="M145" s="108"/>
      <c r="N145" s="108"/>
    </row>
    <row r="146" spans="1:18" ht="18.75" customHeight="1" x14ac:dyDescent="0.3">
      <c r="F146" s="109"/>
      <c r="G146" s="109"/>
      <c r="H146" s="109"/>
      <c r="I146" s="109"/>
      <c r="K146" s="109"/>
      <c r="L146" s="109"/>
      <c r="M146" s="109"/>
      <c r="N146" s="109"/>
      <c r="O146" s="97"/>
    </row>
    <row r="148" spans="1:18" x14ac:dyDescent="0.3">
      <c r="F148" s="96"/>
      <c r="G148" s="96"/>
      <c r="H148" s="96"/>
      <c r="I148" s="96"/>
      <c r="J148" s="96"/>
      <c r="K148" s="96"/>
      <c r="L148" s="96"/>
      <c r="M148" s="96"/>
      <c r="N148" s="96"/>
    </row>
    <row r="149" spans="1:18" x14ac:dyDescent="0.3">
      <c r="F149" s="99"/>
      <c r="G149" s="99"/>
      <c r="H149" s="99"/>
      <c r="I149" s="99"/>
      <c r="J149" s="99"/>
      <c r="K149" s="99"/>
      <c r="L149" s="99"/>
      <c r="M149" s="99"/>
      <c r="N149" s="99"/>
      <c r="O149" s="98"/>
    </row>
    <row r="150" spans="1:18" x14ac:dyDescent="0.3">
      <c r="C150" s="95"/>
    </row>
    <row r="153" spans="1:18" x14ac:dyDescent="0.3">
      <c r="F153" s="96"/>
      <c r="G153" s="96"/>
      <c r="H153" s="96"/>
      <c r="I153" s="96"/>
      <c r="J153" s="96"/>
      <c r="K153" s="96"/>
      <c r="L153" s="96"/>
      <c r="M153" s="96"/>
      <c r="N153" s="96"/>
    </row>
    <row r="154" spans="1:18" x14ac:dyDescent="0.3">
      <c r="O154" s="97"/>
    </row>
    <row r="156" spans="1:18" x14ac:dyDescent="0.3">
      <c r="F156" s="100"/>
      <c r="G156" s="100"/>
      <c r="H156" s="100"/>
      <c r="I156" s="100"/>
      <c r="J156" s="100"/>
      <c r="K156" s="100"/>
      <c r="L156" s="100"/>
      <c r="M156" s="100"/>
      <c r="N156" s="100"/>
    </row>
    <row r="157" spans="1:18" x14ac:dyDescent="0.3">
      <c r="C157" s="95"/>
      <c r="F157" s="96"/>
      <c r="G157" s="96"/>
      <c r="H157" s="96"/>
      <c r="I157" s="96"/>
      <c r="J157" s="96"/>
      <c r="K157" s="96"/>
      <c r="L157" s="96"/>
      <c r="M157" s="96"/>
      <c r="N157" s="96"/>
    </row>
    <row r="158" spans="1:18" x14ac:dyDescent="0.3">
      <c r="F158" s="96"/>
      <c r="G158" s="96"/>
      <c r="H158" s="96"/>
      <c r="I158" s="96"/>
      <c r="J158" s="96"/>
      <c r="K158" s="96"/>
      <c r="L158" s="96"/>
      <c r="M158" s="96"/>
      <c r="N158" s="96"/>
    </row>
    <row r="159" spans="1:18" s="7" customFormat="1" x14ac:dyDescent="0.3">
      <c r="A159" s="47"/>
      <c r="B159" s="47"/>
      <c r="C159" s="13"/>
      <c r="D159" s="5"/>
      <c r="E159" s="6"/>
      <c r="F159" s="96"/>
      <c r="G159" s="96"/>
      <c r="H159" s="96"/>
      <c r="I159" s="96"/>
      <c r="J159" s="96"/>
      <c r="K159" s="96"/>
      <c r="L159" s="96"/>
      <c r="M159" s="96"/>
      <c r="N159" s="96"/>
      <c r="O159" s="34"/>
      <c r="P159" s="1"/>
      <c r="Q159" s="1"/>
      <c r="R159" s="1"/>
    </row>
    <row r="160" spans="1:18" s="7" customFormat="1" x14ac:dyDescent="0.3">
      <c r="A160" s="1"/>
      <c r="B160" s="1"/>
      <c r="C160" s="13"/>
      <c r="D160" s="5"/>
      <c r="E160" s="6"/>
      <c r="F160" s="96"/>
      <c r="G160" s="96"/>
      <c r="H160" s="96"/>
      <c r="I160" s="96"/>
      <c r="J160" s="96"/>
      <c r="K160" s="96"/>
      <c r="L160" s="96"/>
      <c r="M160" s="96"/>
      <c r="N160" s="96"/>
      <c r="O160" s="34"/>
      <c r="P160" s="1"/>
      <c r="Q160" s="1"/>
      <c r="R160" s="1"/>
    </row>
    <row r="161" spans="1:18" s="7" customFormat="1" x14ac:dyDescent="0.3">
      <c r="A161" s="1"/>
      <c r="B161" s="1"/>
      <c r="C161" s="13"/>
      <c r="D161" s="5"/>
      <c r="E161" s="6"/>
      <c r="F161" s="96"/>
      <c r="G161" s="96"/>
      <c r="H161" s="96"/>
      <c r="I161" s="96"/>
      <c r="J161" s="96"/>
      <c r="K161" s="96"/>
      <c r="L161" s="96"/>
      <c r="M161" s="96"/>
      <c r="N161" s="96"/>
      <c r="O161" s="34"/>
      <c r="P161" s="1"/>
      <c r="Q161" s="1"/>
      <c r="R161" s="1"/>
    </row>
    <row r="162" spans="1:18" s="7" customFormat="1" x14ac:dyDescent="0.3">
      <c r="A162" s="1"/>
      <c r="B162" s="1"/>
      <c r="C162" s="13"/>
      <c r="D162" s="5"/>
      <c r="E162" s="6"/>
      <c r="F162" s="96"/>
      <c r="G162" s="96"/>
      <c r="H162" s="96"/>
      <c r="I162" s="96"/>
      <c r="J162" s="96"/>
      <c r="K162" s="96"/>
      <c r="L162" s="96"/>
      <c r="M162" s="96"/>
      <c r="N162" s="96"/>
      <c r="O162" s="34"/>
      <c r="P162" s="1"/>
      <c r="Q162" s="1"/>
      <c r="R162" s="1"/>
    </row>
    <row r="163" spans="1:18" s="7" customFormat="1" x14ac:dyDescent="0.3">
      <c r="A163" s="1"/>
      <c r="B163" s="1"/>
      <c r="C163" s="13"/>
      <c r="D163" s="5"/>
      <c r="E163" s="6"/>
      <c r="F163" s="96"/>
      <c r="G163" s="96"/>
      <c r="H163" s="96"/>
      <c r="I163" s="96"/>
      <c r="J163" s="96"/>
      <c r="K163" s="96"/>
      <c r="L163" s="96"/>
      <c r="M163" s="96"/>
      <c r="N163" s="96"/>
      <c r="O163" s="34"/>
      <c r="P163" s="1"/>
      <c r="Q163" s="1"/>
      <c r="R163" s="1"/>
    </row>
    <row r="164" spans="1:18" s="7" customFormat="1" x14ac:dyDescent="0.3">
      <c r="A164" s="1"/>
      <c r="B164" s="1"/>
      <c r="C164" s="95"/>
      <c r="D164" s="5"/>
      <c r="E164" s="6"/>
      <c r="F164" s="96"/>
      <c r="G164" s="96"/>
      <c r="H164" s="96"/>
      <c r="I164" s="96"/>
      <c r="J164" s="96"/>
      <c r="K164" s="96"/>
      <c r="L164" s="96"/>
      <c r="M164" s="96"/>
      <c r="N164" s="96"/>
      <c r="O164" s="34"/>
      <c r="P164" s="1"/>
      <c r="Q164" s="1"/>
      <c r="R164" s="1"/>
    </row>
    <row r="165" spans="1:18" s="7" customFormat="1" x14ac:dyDescent="0.3">
      <c r="A165" s="1"/>
      <c r="B165" s="1"/>
      <c r="C165" s="13"/>
      <c r="D165" s="5"/>
      <c r="E165" s="6"/>
      <c r="F165" s="96"/>
      <c r="G165" s="96"/>
      <c r="H165" s="96"/>
      <c r="I165" s="96"/>
      <c r="J165" s="96"/>
      <c r="K165" s="96"/>
      <c r="L165" s="96"/>
      <c r="M165" s="96"/>
      <c r="N165" s="96"/>
      <c r="O165" s="34"/>
      <c r="P165" s="1"/>
      <c r="Q165" s="1"/>
      <c r="R165" s="1"/>
    </row>
    <row r="166" spans="1:18" s="7" customFormat="1" ht="18.75" customHeight="1" x14ac:dyDescent="0.3">
      <c r="A166" s="1"/>
      <c r="B166" s="1"/>
      <c r="C166" s="13"/>
      <c r="D166" s="5"/>
      <c r="E166" s="6"/>
      <c r="F166" s="87"/>
      <c r="G166" s="87"/>
      <c r="H166" s="87"/>
      <c r="I166" s="87"/>
      <c r="J166" s="87"/>
      <c r="K166" s="87"/>
      <c r="L166" s="87"/>
      <c r="M166" s="87"/>
      <c r="N166" s="87"/>
      <c r="P166" s="1"/>
      <c r="Q166" s="1"/>
      <c r="R166" s="1"/>
    </row>
    <row r="167" spans="1:18" s="7" customFormat="1" ht="20.100000000000001" customHeight="1" x14ac:dyDescent="0.3">
      <c r="A167" s="1"/>
      <c r="B167" s="1"/>
      <c r="C167" s="13"/>
      <c r="D167" s="112"/>
      <c r="E167" s="6"/>
      <c r="F167" s="96"/>
      <c r="G167" s="96"/>
      <c r="H167" s="96"/>
      <c r="I167" s="96"/>
      <c r="J167" s="96"/>
      <c r="K167" s="96"/>
      <c r="L167" s="96"/>
      <c r="M167" s="96"/>
      <c r="N167" s="96"/>
      <c r="O167" s="34"/>
      <c r="P167" s="1"/>
      <c r="Q167" s="1"/>
      <c r="R167" s="1"/>
    </row>
    <row r="168" spans="1:18" s="7" customFormat="1" x14ac:dyDescent="0.3">
      <c r="A168" s="1"/>
      <c r="B168" s="1"/>
      <c r="C168" s="13"/>
      <c r="D168" s="5"/>
      <c r="E168" s="6"/>
      <c r="F168" s="87"/>
      <c r="G168" s="87"/>
      <c r="H168" s="87"/>
      <c r="I168" s="87"/>
      <c r="J168" s="87"/>
      <c r="K168" s="87"/>
      <c r="L168" s="87"/>
      <c r="M168" s="87"/>
      <c r="N168" s="87"/>
      <c r="O168" s="34"/>
      <c r="P168" s="1"/>
      <c r="Q168" s="1"/>
      <c r="R168" s="1"/>
    </row>
    <row r="169" spans="1:18" s="7" customFormat="1" x14ac:dyDescent="0.3">
      <c r="A169" s="1"/>
      <c r="B169" s="1"/>
      <c r="C169" s="13"/>
      <c r="D169" s="5"/>
      <c r="E169" s="6"/>
      <c r="F169" s="96"/>
      <c r="G169" s="96"/>
      <c r="H169" s="96"/>
      <c r="I169" s="96"/>
      <c r="J169" s="96"/>
      <c r="K169" s="96"/>
      <c r="L169" s="96"/>
      <c r="M169" s="96"/>
      <c r="N169" s="96"/>
      <c r="O169" s="34"/>
      <c r="P169" s="1"/>
      <c r="Q169" s="1"/>
      <c r="R169" s="1"/>
    </row>
    <row r="170" spans="1:18" s="7" customFormat="1" x14ac:dyDescent="0.3">
      <c r="A170" s="1"/>
      <c r="B170" s="1"/>
      <c r="C170" s="13"/>
      <c r="D170" s="5"/>
      <c r="E170" s="6"/>
      <c r="F170" s="96"/>
      <c r="G170" s="96"/>
      <c r="H170" s="96"/>
      <c r="I170" s="96"/>
      <c r="J170" s="96"/>
      <c r="K170" s="96"/>
      <c r="L170" s="96"/>
      <c r="M170" s="96"/>
      <c r="N170" s="96"/>
      <c r="O170" s="34"/>
      <c r="P170" s="1"/>
      <c r="Q170" s="1"/>
      <c r="R170" s="1"/>
    </row>
    <row r="171" spans="1:18" s="7" customFormat="1" x14ac:dyDescent="0.3">
      <c r="A171" s="1"/>
      <c r="B171" s="1"/>
      <c r="C171" s="95"/>
      <c r="D171" s="5"/>
      <c r="E171" s="6"/>
      <c r="F171" s="87"/>
      <c r="G171" s="87"/>
      <c r="H171" s="87"/>
      <c r="I171" s="87"/>
      <c r="J171" s="87"/>
      <c r="K171" s="87"/>
      <c r="L171" s="87"/>
      <c r="M171" s="87"/>
      <c r="N171" s="87"/>
      <c r="O171" s="34"/>
      <c r="P171" s="1"/>
      <c r="Q171" s="1"/>
      <c r="R171" s="1"/>
    </row>
    <row r="172" spans="1:18" s="7" customFormat="1" x14ac:dyDescent="0.3">
      <c r="A172" s="1"/>
      <c r="B172" s="1"/>
      <c r="C172" s="13"/>
      <c r="D172" s="5"/>
      <c r="E172" s="6"/>
      <c r="F172" s="96"/>
      <c r="G172" s="96"/>
      <c r="H172" s="96"/>
      <c r="I172" s="96"/>
      <c r="J172" s="96"/>
      <c r="K172" s="96"/>
      <c r="L172" s="96"/>
      <c r="M172" s="96"/>
      <c r="N172" s="96"/>
      <c r="O172" s="34"/>
      <c r="P172" s="1"/>
      <c r="Q172" s="1"/>
      <c r="R172" s="1"/>
    </row>
    <row r="173" spans="1:18" s="7" customFormat="1" x14ac:dyDescent="0.3">
      <c r="A173" s="1"/>
      <c r="B173" s="1"/>
      <c r="C173" s="13"/>
      <c r="D173" s="5"/>
      <c r="E173" s="6"/>
      <c r="F173" s="96"/>
      <c r="G173" s="96"/>
      <c r="H173" s="96"/>
      <c r="I173" s="96"/>
      <c r="J173" s="96"/>
      <c r="K173" s="96"/>
      <c r="L173" s="96"/>
      <c r="M173" s="96"/>
      <c r="N173" s="96"/>
      <c r="O173" s="34"/>
      <c r="P173" s="1"/>
      <c r="Q173" s="1"/>
      <c r="R173" s="1"/>
    </row>
    <row r="174" spans="1:18" s="7" customFormat="1" x14ac:dyDescent="0.3">
      <c r="A174" s="1"/>
      <c r="B174" s="1"/>
      <c r="C174" s="13"/>
      <c r="D174" s="5"/>
      <c r="E174" s="6"/>
      <c r="F174" s="87"/>
      <c r="G174" s="87"/>
      <c r="H174" s="87"/>
      <c r="I174" s="87"/>
      <c r="J174" s="87"/>
      <c r="K174" s="87"/>
      <c r="L174" s="87"/>
      <c r="M174" s="87"/>
      <c r="N174" s="87"/>
      <c r="O174" s="34"/>
      <c r="P174" s="1"/>
      <c r="Q174" s="1"/>
      <c r="R174" s="1"/>
    </row>
    <row r="175" spans="1:18" s="7" customFormat="1" x14ac:dyDescent="0.3">
      <c r="A175" s="1"/>
      <c r="B175" s="1"/>
      <c r="C175" s="13"/>
      <c r="D175" s="5"/>
      <c r="E175" s="6"/>
      <c r="F175" s="96"/>
      <c r="G175" s="96"/>
      <c r="H175" s="96"/>
      <c r="I175" s="96"/>
      <c r="J175" s="96"/>
      <c r="K175" s="96"/>
      <c r="L175" s="96"/>
      <c r="M175" s="96"/>
      <c r="N175" s="96"/>
      <c r="O175" s="34"/>
      <c r="P175" s="1"/>
      <c r="Q175" s="1"/>
      <c r="R175" s="1"/>
    </row>
    <row r="176" spans="1:18" s="7" customFormat="1" x14ac:dyDescent="0.3">
      <c r="A176" s="1"/>
      <c r="B176" s="1"/>
      <c r="C176" s="13"/>
      <c r="D176" s="5"/>
      <c r="E176" s="6"/>
      <c r="F176" s="96"/>
      <c r="G176" s="96"/>
      <c r="H176" s="96"/>
      <c r="I176" s="96"/>
      <c r="J176" s="96"/>
      <c r="K176" s="96"/>
      <c r="L176" s="96"/>
      <c r="M176" s="96"/>
      <c r="N176" s="96"/>
      <c r="O176" s="34"/>
      <c r="P176" s="1"/>
      <c r="Q176" s="1"/>
      <c r="R176" s="1"/>
    </row>
    <row r="177" spans="1:18" s="7" customFormat="1" x14ac:dyDescent="0.3">
      <c r="A177" s="1"/>
      <c r="B177" s="1"/>
      <c r="C177" s="13"/>
      <c r="D177" s="5"/>
      <c r="E177" s="6"/>
      <c r="F177" s="96"/>
      <c r="G177" s="96"/>
      <c r="H177" s="96"/>
      <c r="I177" s="96"/>
      <c r="J177" s="96"/>
      <c r="K177" s="96"/>
      <c r="L177" s="96"/>
      <c r="M177" s="96"/>
      <c r="N177" s="96"/>
      <c r="O177" s="34"/>
      <c r="P177" s="1"/>
      <c r="Q177" s="1"/>
      <c r="R177" s="1"/>
    </row>
    <row r="178" spans="1:18" s="7" customFormat="1" x14ac:dyDescent="0.3">
      <c r="A178" s="1"/>
      <c r="B178" s="1"/>
      <c r="C178" s="95"/>
      <c r="D178" s="5"/>
      <c r="E178" s="6"/>
      <c r="F178" s="96"/>
      <c r="G178" s="96"/>
      <c r="H178" s="96"/>
      <c r="I178" s="96"/>
      <c r="J178" s="96"/>
      <c r="K178" s="96"/>
      <c r="L178" s="96"/>
      <c r="M178" s="96"/>
      <c r="N178" s="96"/>
      <c r="O178" s="34"/>
      <c r="P178" s="1"/>
      <c r="Q178" s="1"/>
      <c r="R178" s="1"/>
    </row>
    <row r="179" spans="1:18" s="7" customFormat="1" x14ac:dyDescent="0.3">
      <c r="A179" s="1"/>
      <c r="B179" s="1"/>
      <c r="C179" s="13"/>
      <c r="D179" s="5"/>
      <c r="E179" s="6"/>
      <c r="F179" s="96"/>
      <c r="G179" s="96"/>
      <c r="H179" s="96"/>
      <c r="I179" s="96"/>
      <c r="J179" s="96"/>
      <c r="K179" s="96"/>
      <c r="L179" s="96"/>
      <c r="M179" s="96"/>
      <c r="N179" s="96"/>
      <c r="O179" s="34"/>
      <c r="P179" s="1"/>
      <c r="Q179" s="1"/>
      <c r="R179" s="1"/>
    </row>
    <row r="180" spans="1:18" s="7" customFormat="1" x14ac:dyDescent="0.3">
      <c r="A180" s="1"/>
      <c r="B180" s="1"/>
      <c r="C180" s="13"/>
      <c r="D180" s="5"/>
      <c r="E180" s="6"/>
      <c r="F180" s="96"/>
      <c r="G180" s="96"/>
      <c r="H180" s="96"/>
      <c r="I180" s="96"/>
      <c r="J180" s="96"/>
      <c r="K180" s="96"/>
      <c r="L180" s="96"/>
      <c r="M180" s="96"/>
      <c r="N180" s="96"/>
      <c r="O180" s="34"/>
      <c r="P180" s="1"/>
      <c r="Q180" s="1"/>
      <c r="R180" s="1"/>
    </row>
    <row r="181" spans="1:18" s="7" customFormat="1" x14ac:dyDescent="0.3">
      <c r="A181" s="1"/>
      <c r="B181" s="1"/>
      <c r="C181" s="13"/>
      <c r="D181" s="5"/>
      <c r="E181" s="6"/>
      <c r="F181" s="96"/>
      <c r="G181" s="96"/>
      <c r="H181" s="96"/>
      <c r="I181" s="96"/>
      <c r="J181" s="96"/>
      <c r="K181" s="96"/>
      <c r="L181" s="96"/>
      <c r="M181" s="96"/>
      <c r="N181" s="96"/>
      <c r="O181" s="34"/>
      <c r="P181" s="1"/>
      <c r="Q181" s="1"/>
      <c r="R181" s="1"/>
    </row>
    <row r="182" spans="1:18" s="7" customFormat="1" x14ac:dyDescent="0.3">
      <c r="A182" s="1"/>
      <c r="B182" s="1"/>
      <c r="C182" s="13"/>
      <c r="D182" s="5"/>
      <c r="E182" s="6"/>
      <c r="F182" s="96"/>
      <c r="G182" s="96"/>
      <c r="H182" s="96"/>
      <c r="I182" s="96"/>
      <c r="J182" s="96"/>
      <c r="K182" s="96"/>
      <c r="L182" s="96"/>
      <c r="M182" s="96"/>
      <c r="N182" s="96"/>
      <c r="O182" s="34"/>
      <c r="P182" s="1"/>
      <c r="Q182" s="1"/>
      <c r="R182" s="1"/>
    </row>
    <row r="183" spans="1:18" s="7" customFormat="1" x14ac:dyDescent="0.3">
      <c r="A183" s="1"/>
      <c r="B183" s="1"/>
      <c r="C183" s="13"/>
      <c r="D183" s="5"/>
      <c r="E183" s="6"/>
      <c r="F183" s="96"/>
      <c r="G183" s="96"/>
      <c r="H183" s="96"/>
      <c r="I183" s="96"/>
      <c r="J183" s="96"/>
      <c r="K183" s="96"/>
      <c r="L183" s="96"/>
      <c r="M183" s="96"/>
      <c r="N183" s="96"/>
      <c r="O183" s="34"/>
      <c r="P183" s="1"/>
      <c r="Q183" s="1"/>
      <c r="R183" s="1"/>
    </row>
    <row r="184" spans="1:18" s="7" customFormat="1" x14ac:dyDescent="0.3">
      <c r="A184" s="1"/>
      <c r="B184" s="1"/>
      <c r="C184" s="13"/>
      <c r="D184" s="5"/>
      <c r="E184" s="6"/>
      <c r="F184" s="96"/>
      <c r="G184" s="96"/>
      <c r="H184" s="96"/>
      <c r="I184" s="96"/>
      <c r="J184" s="96"/>
      <c r="K184" s="96"/>
      <c r="L184" s="96"/>
      <c r="M184" s="96"/>
      <c r="N184" s="96"/>
      <c r="O184" s="34"/>
      <c r="P184" s="1"/>
      <c r="Q184" s="1"/>
      <c r="R184" s="1"/>
    </row>
    <row r="185" spans="1:18" s="7" customFormat="1" x14ac:dyDescent="0.3">
      <c r="A185" s="1"/>
      <c r="B185" s="1"/>
      <c r="C185" s="95"/>
      <c r="D185" s="5"/>
      <c r="E185" s="6"/>
      <c r="F185" s="96"/>
      <c r="G185" s="96"/>
      <c r="H185" s="96"/>
      <c r="I185" s="96"/>
      <c r="J185" s="96"/>
      <c r="K185" s="96"/>
      <c r="L185" s="96"/>
      <c r="M185" s="96"/>
      <c r="N185" s="96"/>
      <c r="O185" s="34"/>
      <c r="P185" s="1"/>
      <c r="Q185" s="1"/>
      <c r="R185" s="1"/>
    </row>
    <row r="186" spans="1:18" s="7" customFormat="1" x14ac:dyDescent="0.3">
      <c r="A186" s="1"/>
      <c r="B186" s="1"/>
      <c r="C186" s="13"/>
      <c r="D186" s="5"/>
      <c r="E186" s="6"/>
      <c r="F186" s="96"/>
      <c r="G186" s="96"/>
      <c r="H186" s="96"/>
      <c r="I186" s="96"/>
      <c r="J186" s="96"/>
      <c r="K186" s="96"/>
      <c r="L186" s="96"/>
      <c r="M186" s="96"/>
      <c r="N186" s="96"/>
      <c r="O186" s="34"/>
      <c r="P186" s="1"/>
      <c r="Q186" s="1"/>
      <c r="R186" s="1"/>
    </row>
    <row r="187" spans="1:18" s="7" customFormat="1" x14ac:dyDescent="0.3">
      <c r="A187" s="1"/>
      <c r="B187" s="1"/>
      <c r="C187" s="13"/>
      <c r="D187" s="5"/>
      <c r="E187" s="6"/>
      <c r="F187" s="96"/>
      <c r="G187" s="96"/>
      <c r="H187" s="96"/>
      <c r="I187" s="96"/>
      <c r="J187" s="96"/>
      <c r="K187" s="96"/>
      <c r="L187" s="96"/>
      <c r="M187" s="96"/>
      <c r="N187" s="96"/>
      <c r="O187" s="34"/>
      <c r="P187" s="1"/>
      <c r="Q187" s="1"/>
      <c r="R187" s="1"/>
    </row>
    <row r="188" spans="1:18" s="7" customFormat="1" x14ac:dyDescent="0.3">
      <c r="A188" s="1"/>
      <c r="B188" s="1"/>
      <c r="C188" s="13"/>
      <c r="D188" s="5"/>
      <c r="E188" s="6"/>
      <c r="F188" s="96"/>
      <c r="G188" s="96"/>
      <c r="H188" s="96"/>
      <c r="I188" s="96"/>
      <c r="J188" s="96"/>
      <c r="K188" s="96"/>
      <c r="L188" s="96"/>
      <c r="M188" s="96"/>
      <c r="N188" s="96"/>
      <c r="O188" s="34"/>
      <c r="P188" s="1"/>
      <c r="Q188" s="1"/>
      <c r="R188" s="1"/>
    </row>
    <row r="189" spans="1:18" s="7" customFormat="1" x14ac:dyDescent="0.3">
      <c r="A189" s="1"/>
      <c r="B189" s="1"/>
      <c r="C189" s="13"/>
      <c r="D189" s="5"/>
      <c r="E189" s="6"/>
      <c r="F189" s="96"/>
      <c r="G189" s="96"/>
      <c r="H189" s="96"/>
      <c r="I189" s="96"/>
      <c r="J189" s="96"/>
      <c r="K189" s="96"/>
      <c r="L189" s="96"/>
      <c r="M189" s="96"/>
      <c r="N189" s="96"/>
      <c r="O189" s="34"/>
      <c r="P189" s="1"/>
      <c r="Q189" s="1"/>
      <c r="R189" s="1"/>
    </row>
    <row r="190" spans="1:18" s="7" customFormat="1" x14ac:dyDescent="0.3">
      <c r="A190" s="47"/>
      <c r="B190" s="47"/>
      <c r="C190" s="13"/>
      <c r="D190" s="5"/>
      <c r="E190" s="6"/>
      <c r="F190" s="96"/>
      <c r="G190" s="96"/>
      <c r="H190" s="96"/>
      <c r="I190" s="96"/>
      <c r="J190" s="96"/>
      <c r="K190" s="96"/>
      <c r="L190" s="96"/>
      <c r="M190" s="96"/>
      <c r="N190" s="96"/>
      <c r="O190" s="34"/>
      <c r="P190" s="1"/>
      <c r="Q190" s="1"/>
      <c r="R190" s="1"/>
    </row>
    <row r="191" spans="1:18" s="7" customFormat="1" x14ac:dyDescent="0.3">
      <c r="A191" s="1"/>
      <c r="B191" s="1"/>
      <c r="C191" s="13"/>
      <c r="D191" s="5"/>
      <c r="E191" s="6"/>
      <c r="F191" s="96"/>
      <c r="G191" s="96"/>
      <c r="H191" s="96"/>
      <c r="I191" s="96"/>
      <c r="J191" s="96"/>
      <c r="K191" s="96"/>
      <c r="L191" s="96"/>
      <c r="M191" s="96"/>
      <c r="N191" s="96"/>
      <c r="O191" s="34"/>
      <c r="P191" s="1"/>
      <c r="Q191" s="1"/>
      <c r="R191" s="1"/>
    </row>
    <row r="192" spans="1:18" s="7" customFormat="1" x14ac:dyDescent="0.3">
      <c r="A192" s="1"/>
      <c r="B192" s="1"/>
      <c r="C192" s="95"/>
      <c r="D192" s="5"/>
      <c r="E192" s="6"/>
      <c r="F192" s="96"/>
      <c r="G192" s="96"/>
      <c r="H192" s="96"/>
      <c r="I192" s="96"/>
      <c r="J192" s="96"/>
      <c r="K192" s="96"/>
      <c r="L192" s="96"/>
      <c r="M192" s="96"/>
      <c r="N192" s="96"/>
      <c r="O192" s="34"/>
      <c r="P192" s="1"/>
      <c r="Q192" s="1"/>
      <c r="R192" s="1"/>
    </row>
    <row r="193" spans="1:18" s="7" customFormat="1" x14ac:dyDescent="0.3">
      <c r="A193" s="1"/>
      <c r="B193" s="1"/>
      <c r="C193" s="13"/>
      <c r="D193" s="5"/>
      <c r="E193" s="6"/>
      <c r="F193" s="96"/>
      <c r="G193" s="96"/>
      <c r="H193" s="96"/>
      <c r="I193" s="96"/>
      <c r="J193" s="96"/>
      <c r="K193" s="96"/>
      <c r="L193" s="96"/>
      <c r="M193" s="96"/>
      <c r="N193" s="96"/>
      <c r="O193" s="34"/>
      <c r="P193" s="1"/>
      <c r="Q193" s="1"/>
      <c r="R193" s="1"/>
    </row>
    <row r="194" spans="1:18" s="7" customFormat="1" x14ac:dyDescent="0.3">
      <c r="A194" s="47"/>
      <c r="B194" s="47"/>
      <c r="C194" s="13"/>
      <c r="D194" s="5"/>
      <c r="E194" s="6"/>
      <c r="F194" s="96"/>
      <c r="G194" s="96"/>
      <c r="H194" s="96"/>
      <c r="I194" s="96"/>
      <c r="J194" s="96"/>
      <c r="K194" s="96"/>
      <c r="L194" s="96"/>
      <c r="M194" s="96"/>
      <c r="N194" s="96"/>
      <c r="O194" s="34"/>
      <c r="P194" s="1"/>
      <c r="Q194" s="1"/>
      <c r="R194" s="1"/>
    </row>
    <row r="195" spans="1:18" s="7" customFormat="1" x14ac:dyDescent="0.3">
      <c r="A195" s="1"/>
      <c r="B195" s="1"/>
      <c r="C195" s="13"/>
      <c r="D195" s="5"/>
      <c r="E195" s="6"/>
      <c r="F195" s="96"/>
      <c r="G195" s="96"/>
      <c r="H195" s="96"/>
      <c r="I195" s="96"/>
      <c r="J195" s="96"/>
      <c r="K195" s="96"/>
      <c r="L195" s="96"/>
      <c r="M195" s="96"/>
      <c r="N195" s="96"/>
      <c r="O195" s="34"/>
      <c r="P195" s="1"/>
      <c r="Q195" s="1"/>
      <c r="R195" s="1"/>
    </row>
    <row r="196" spans="1:18" s="7" customFormat="1" x14ac:dyDescent="0.3">
      <c r="A196" s="1"/>
      <c r="B196" s="1"/>
      <c r="C196" s="13"/>
      <c r="D196" s="5"/>
      <c r="E196" s="6"/>
      <c r="F196" s="96"/>
      <c r="G196" s="96"/>
      <c r="H196" s="96"/>
      <c r="I196" s="96"/>
      <c r="J196" s="96"/>
      <c r="K196" s="96"/>
      <c r="L196" s="96"/>
      <c r="M196" s="96"/>
      <c r="N196" s="96"/>
      <c r="O196" s="34"/>
      <c r="P196" s="1"/>
      <c r="Q196" s="1"/>
      <c r="R196" s="1"/>
    </row>
    <row r="197" spans="1:18" s="7" customFormat="1" x14ac:dyDescent="0.3">
      <c r="A197" s="1"/>
      <c r="B197" s="1"/>
      <c r="C197" s="13"/>
      <c r="D197" s="5"/>
      <c r="E197" s="6"/>
      <c r="F197" s="96"/>
      <c r="G197" s="96"/>
      <c r="H197" s="96"/>
      <c r="I197" s="96"/>
      <c r="J197" s="96"/>
      <c r="K197" s="96"/>
      <c r="L197" s="96"/>
      <c r="M197" s="96"/>
      <c r="N197" s="96"/>
      <c r="O197" s="34"/>
      <c r="P197" s="1"/>
      <c r="Q197" s="1"/>
      <c r="R197" s="1"/>
    </row>
    <row r="198" spans="1:18" s="7" customFormat="1" x14ac:dyDescent="0.3">
      <c r="A198" s="1"/>
      <c r="B198" s="1"/>
      <c r="C198" s="13"/>
      <c r="D198" s="5"/>
      <c r="E198" s="6"/>
      <c r="F198" s="96"/>
      <c r="G198" s="96"/>
      <c r="H198" s="96"/>
      <c r="I198" s="96"/>
      <c r="J198" s="96"/>
      <c r="K198" s="96"/>
      <c r="L198" s="96"/>
      <c r="M198" s="96"/>
      <c r="N198" s="96"/>
      <c r="O198" s="34"/>
      <c r="P198" s="1"/>
      <c r="Q198" s="1"/>
      <c r="R198" s="1"/>
    </row>
    <row r="199" spans="1:18" s="7" customFormat="1" x14ac:dyDescent="0.3">
      <c r="A199" s="1"/>
      <c r="B199" s="1"/>
      <c r="C199" s="95"/>
      <c r="D199" s="5"/>
      <c r="E199" s="6"/>
      <c r="F199" s="96"/>
      <c r="G199" s="96"/>
      <c r="H199" s="96"/>
      <c r="I199" s="96"/>
      <c r="J199" s="96"/>
      <c r="K199" s="96"/>
      <c r="L199" s="96"/>
      <c r="M199" s="96"/>
      <c r="N199" s="96"/>
      <c r="O199" s="34"/>
      <c r="P199" s="1"/>
      <c r="Q199" s="1"/>
      <c r="R199" s="1"/>
    </row>
    <row r="200" spans="1:18" s="7" customFormat="1" x14ac:dyDescent="0.3">
      <c r="A200" s="1"/>
      <c r="B200" s="1"/>
      <c r="C200" s="13"/>
      <c r="D200" s="5"/>
      <c r="E200" s="6"/>
      <c r="F200" s="96"/>
      <c r="G200" s="96"/>
      <c r="H200" s="96"/>
      <c r="I200" s="96"/>
      <c r="J200" s="96"/>
      <c r="K200" s="96"/>
      <c r="L200" s="96"/>
      <c r="M200" s="96"/>
      <c r="N200" s="96"/>
      <c r="O200" s="34"/>
      <c r="P200" s="1"/>
      <c r="Q200" s="1"/>
      <c r="R200" s="1"/>
    </row>
    <row r="201" spans="1:18" s="7" customFormat="1" x14ac:dyDescent="0.3">
      <c r="A201" s="1"/>
      <c r="B201" s="1"/>
      <c r="C201" s="13"/>
      <c r="D201" s="5"/>
      <c r="E201" s="6"/>
      <c r="F201" s="96"/>
      <c r="G201" s="96"/>
      <c r="H201" s="96"/>
      <c r="I201" s="96"/>
      <c r="J201" s="96"/>
      <c r="K201" s="96"/>
      <c r="L201" s="96"/>
      <c r="M201" s="96"/>
      <c r="N201" s="96"/>
      <c r="O201" s="34"/>
      <c r="P201" s="1"/>
      <c r="Q201" s="1"/>
      <c r="R201" s="1"/>
    </row>
    <row r="202" spans="1:18" s="7" customFormat="1" x14ac:dyDescent="0.3">
      <c r="A202" s="1"/>
      <c r="B202" s="1"/>
      <c r="C202" s="13"/>
      <c r="D202" s="5"/>
      <c r="E202" s="6"/>
      <c r="F202" s="96"/>
      <c r="G202" s="96"/>
      <c r="H202" s="96"/>
      <c r="I202" s="96"/>
      <c r="J202" s="96"/>
      <c r="K202" s="96"/>
      <c r="L202" s="96"/>
      <c r="M202" s="96"/>
      <c r="N202" s="96"/>
      <c r="O202" s="34"/>
      <c r="P202" s="1"/>
      <c r="Q202" s="1"/>
      <c r="R202" s="1"/>
    </row>
    <row r="203" spans="1:18" s="7" customFormat="1" x14ac:dyDescent="0.3">
      <c r="A203" s="1"/>
      <c r="B203" s="1"/>
      <c r="C203" s="13"/>
      <c r="D203" s="5"/>
      <c r="E203" s="6"/>
      <c r="F203" s="96"/>
      <c r="G203" s="96"/>
      <c r="H203" s="96"/>
      <c r="I203" s="96"/>
      <c r="J203" s="96"/>
      <c r="K203" s="96"/>
      <c r="L203" s="96"/>
      <c r="M203" s="96"/>
      <c r="N203" s="96"/>
      <c r="O203" s="34"/>
      <c r="P203" s="1"/>
      <c r="Q203" s="1"/>
      <c r="R203" s="1"/>
    </row>
    <row r="204" spans="1:18" s="7" customFormat="1" x14ac:dyDescent="0.3">
      <c r="A204" s="1"/>
      <c r="B204" s="1"/>
      <c r="C204" s="13"/>
      <c r="D204" s="5"/>
      <c r="E204" s="6"/>
      <c r="F204" s="110"/>
      <c r="G204" s="110"/>
      <c r="H204" s="110"/>
      <c r="I204" s="110"/>
      <c r="J204" s="96"/>
      <c r="K204" s="110"/>
      <c r="L204" s="110"/>
      <c r="M204" s="110"/>
      <c r="N204" s="110"/>
      <c r="O204" s="34"/>
      <c r="P204" s="1"/>
      <c r="Q204" s="1"/>
      <c r="R204" s="1"/>
    </row>
    <row r="205" spans="1:18" s="7" customFormat="1" x14ac:dyDescent="0.3">
      <c r="A205" s="1"/>
      <c r="B205" s="1"/>
      <c r="C205" s="13"/>
      <c r="D205" s="5"/>
      <c r="E205" s="6"/>
      <c r="F205" s="96"/>
      <c r="G205" s="96"/>
      <c r="H205" s="96"/>
      <c r="I205" s="96"/>
      <c r="J205" s="96"/>
      <c r="K205" s="96"/>
      <c r="L205" s="96"/>
      <c r="M205" s="96"/>
      <c r="N205" s="96"/>
      <c r="O205" s="34"/>
      <c r="P205" s="1"/>
      <c r="Q205" s="1"/>
      <c r="R205" s="1"/>
    </row>
    <row r="206" spans="1:18" s="7" customFormat="1" x14ac:dyDescent="0.3">
      <c r="A206" s="1"/>
      <c r="B206" s="1"/>
      <c r="C206" s="95"/>
      <c r="D206" s="5"/>
      <c r="E206" s="6"/>
      <c r="F206" s="96"/>
      <c r="G206" s="96"/>
      <c r="H206" s="96"/>
      <c r="I206" s="96"/>
      <c r="J206" s="96"/>
      <c r="K206" s="96"/>
      <c r="L206" s="96"/>
      <c r="M206" s="96"/>
      <c r="N206" s="96"/>
      <c r="O206" s="34"/>
      <c r="P206" s="1"/>
      <c r="Q206" s="1"/>
      <c r="R206" s="1"/>
    </row>
    <row r="207" spans="1:18" x14ac:dyDescent="0.3">
      <c r="F207" s="96"/>
      <c r="G207" s="96"/>
      <c r="H207" s="96"/>
      <c r="I207" s="96"/>
      <c r="J207" s="96"/>
      <c r="K207" s="96"/>
      <c r="L207" s="96"/>
      <c r="M207" s="96"/>
      <c r="N207" s="96"/>
    </row>
    <row r="208" spans="1:18" x14ac:dyDescent="0.3">
      <c r="F208" s="113"/>
      <c r="G208" s="113"/>
      <c r="H208" s="113"/>
      <c r="I208" s="113"/>
      <c r="J208" s="96"/>
      <c r="K208" s="113"/>
      <c r="L208" s="113"/>
      <c r="M208" s="113"/>
      <c r="N208" s="113"/>
    </row>
    <row r="209" spans="1:18" x14ac:dyDescent="0.3">
      <c r="F209" s="96"/>
      <c r="G209" s="96"/>
      <c r="H209" s="96"/>
      <c r="I209" s="96"/>
      <c r="J209" s="96"/>
      <c r="K209" s="96"/>
      <c r="L209" s="96"/>
      <c r="M209" s="96"/>
      <c r="N209" s="96"/>
    </row>
    <row r="210" spans="1:18" x14ac:dyDescent="0.3">
      <c r="F210" s="96"/>
      <c r="G210" s="96"/>
      <c r="H210" s="96"/>
      <c r="I210" s="96"/>
      <c r="J210" s="96"/>
      <c r="K210" s="96"/>
      <c r="L210" s="96"/>
      <c r="M210" s="96"/>
      <c r="N210" s="96"/>
    </row>
    <row r="211" spans="1:18" x14ac:dyDescent="0.3">
      <c r="F211" s="96"/>
      <c r="G211" s="96"/>
      <c r="H211" s="96"/>
      <c r="I211" s="96"/>
      <c r="J211" s="96"/>
      <c r="K211" s="96"/>
      <c r="L211" s="96"/>
      <c r="M211" s="96"/>
      <c r="N211" s="96"/>
    </row>
    <row r="212" spans="1:18" x14ac:dyDescent="0.3">
      <c r="F212" s="96"/>
      <c r="G212" s="96"/>
      <c r="H212" s="96"/>
      <c r="I212" s="96"/>
      <c r="J212" s="96"/>
      <c r="K212" s="96"/>
      <c r="L212" s="96"/>
      <c r="M212" s="96"/>
      <c r="N212" s="96"/>
    </row>
    <row r="213" spans="1:18" x14ac:dyDescent="0.3">
      <c r="C213" s="95"/>
      <c r="F213" s="96"/>
      <c r="G213" s="96"/>
      <c r="H213" s="96"/>
      <c r="I213" s="96"/>
      <c r="J213" s="96"/>
      <c r="K213" s="96"/>
      <c r="L213" s="96"/>
      <c r="M213" s="96"/>
      <c r="N213" s="96"/>
    </row>
    <row r="214" spans="1:18" x14ac:dyDescent="0.3">
      <c r="F214" s="96"/>
      <c r="G214" s="96"/>
      <c r="H214" s="96"/>
      <c r="I214" s="96"/>
      <c r="J214" s="96"/>
      <c r="K214" s="96"/>
      <c r="L214" s="96"/>
      <c r="M214" s="96"/>
      <c r="N214" s="96"/>
    </row>
    <row r="215" spans="1:18" x14ac:dyDescent="0.3">
      <c r="C215" s="1"/>
      <c r="F215" s="96"/>
      <c r="G215" s="96"/>
      <c r="H215" s="96"/>
      <c r="I215" s="96"/>
      <c r="J215" s="96"/>
      <c r="K215" s="96"/>
      <c r="L215" s="96"/>
      <c r="M215" s="96"/>
      <c r="N215" s="96"/>
    </row>
    <row r="216" spans="1:18" x14ac:dyDescent="0.3">
      <c r="F216" s="96"/>
      <c r="G216" s="96"/>
      <c r="H216" s="96"/>
      <c r="I216" s="96"/>
      <c r="J216" s="96"/>
      <c r="K216" s="96"/>
      <c r="L216" s="96"/>
      <c r="M216" s="96"/>
      <c r="N216" s="96"/>
    </row>
    <row r="217" spans="1:18" x14ac:dyDescent="0.3">
      <c r="F217" s="96"/>
      <c r="G217" s="96"/>
      <c r="H217" s="96"/>
      <c r="I217" s="96"/>
      <c r="J217" s="96"/>
      <c r="K217" s="96"/>
      <c r="L217" s="96"/>
      <c r="M217" s="96"/>
      <c r="N217" s="96"/>
    </row>
    <row r="218" spans="1:18" x14ac:dyDescent="0.3">
      <c r="F218" s="96"/>
      <c r="G218" s="96"/>
      <c r="H218" s="96"/>
      <c r="I218" s="96"/>
      <c r="J218" s="96"/>
      <c r="K218" s="96"/>
      <c r="L218" s="96"/>
      <c r="M218" s="96"/>
      <c r="N218" s="96"/>
    </row>
    <row r="219" spans="1:18" x14ac:dyDescent="0.3">
      <c r="F219" s="96"/>
      <c r="G219" s="96"/>
      <c r="H219" s="96"/>
      <c r="I219" s="96"/>
      <c r="J219" s="96"/>
      <c r="K219" s="96"/>
      <c r="L219" s="96"/>
      <c r="M219" s="96"/>
      <c r="N219" s="96"/>
    </row>
    <row r="220" spans="1:18" x14ac:dyDescent="0.3">
      <c r="F220" s="96"/>
      <c r="G220" s="96"/>
      <c r="H220" s="96"/>
      <c r="I220" s="96"/>
      <c r="J220" s="96"/>
      <c r="K220" s="96"/>
      <c r="L220" s="96"/>
      <c r="M220" s="96"/>
      <c r="N220" s="96"/>
    </row>
    <row r="221" spans="1:18" x14ac:dyDescent="0.3">
      <c r="F221" s="96"/>
      <c r="G221" s="96"/>
      <c r="H221" s="96"/>
      <c r="I221" s="96"/>
      <c r="J221" s="96"/>
      <c r="K221" s="96"/>
      <c r="L221" s="96"/>
      <c r="M221" s="96"/>
      <c r="N221" s="96"/>
    </row>
    <row r="222" spans="1:18" x14ac:dyDescent="0.3">
      <c r="A222" s="47"/>
      <c r="B222" s="47"/>
      <c r="C222" s="95"/>
      <c r="F222" s="96"/>
      <c r="G222" s="96"/>
      <c r="H222" s="96"/>
      <c r="I222" s="96"/>
      <c r="J222" s="96"/>
      <c r="K222" s="96"/>
      <c r="L222" s="96"/>
      <c r="M222" s="96"/>
      <c r="N222" s="96"/>
    </row>
    <row r="223" spans="1:18" s="7" customFormat="1" x14ac:dyDescent="0.3">
      <c r="A223" s="1"/>
      <c r="B223" s="1"/>
      <c r="C223" s="13"/>
      <c r="D223" s="5"/>
      <c r="E223" s="6"/>
      <c r="F223" s="96"/>
      <c r="G223" s="96"/>
      <c r="H223" s="96"/>
      <c r="I223" s="96"/>
      <c r="J223" s="96"/>
      <c r="K223" s="96"/>
      <c r="L223" s="96"/>
      <c r="M223" s="96"/>
      <c r="N223" s="96"/>
      <c r="O223" s="34"/>
      <c r="P223" s="1"/>
      <c r="Q223" s="1"/>
      <c r="R223" s="1"/>
    </row>
    <row r="224" spans="1:18" s="7" customFormat="1" x14ac:dyDescent="0.3">
      <c r="A224" s="1"/>
      <c r="B224" s="1"/>
      <c r="C224" s="13"/>
      <c r="D224" s="5"/>
      <c r="E224" s="6"/>
      <c r="F224" s="96"/>
      <c r="G224" s="96"/>
      <c r="H224" s="96"/>
      <c r="I224" s="96"/>
      <c r="J224" s="96"/>
      <c r="K224" s="96"/>
      <c r="L224" s="96"/>
      <c r="M224" s="96"/>
      <c r="N224" s="96"/>
      <c r="O224" s="34"/>
      <c r="P224" s="1"/>
      <c r="Q224" s="1"/>
      <c r="R224" s="1"/>
    </row>
    <row r="225" spans="1:18" s="7" customFormat="1" x14ac:dyDescent="0.3">
      <c r="A225" s="1"/>
      <c r="B225" s="1"/>
      <c r="C225" s="13"/>
      <c r="D225" s="5"/>
      <c r="E225" s="6"/>
      <c r="F225" s="96"/>
      <c r="G225" s="96"/>
      <c r="H225" s="96"/>
      <c r="I225" s="96"/>
      <c r="J225" s="96"/>
      <c r="K225" s="96"/>
      <c r="L225" s="96"/>
      <c r="M225" s="96"/>
      <c r="N225" s="96"/>
      <c r="O225" s="34"/>
      <c r="P225" s="1"/>
      <c r="Q225" s="1"/>
      <c r="R225" s="1"/>
    </row>
    <row r="226" spans="1:18" s="7" customFormat="1" x14ac:dyDescent="0.3">
      <c r="A226" s="1"/>
      <c r="B226" s="1"/>
      <c r="C226" s="13"/>
      <c r="D226" s="5"/>
      <c r="E226" s="6"/>
      <c r="F226" s="96"/>
      <c r="G226" s="96"/>
      <c r="H226" s="96"/>
      <c r="I226" s="96"/>
      <c r="J226" s="96"/>
      <c r="K226" s="96"/>
      <c r="L226" s="96"/>
      <c r="M226" s="96"/>
      <c r="N226" s="96"/>
      <c r="O226" s="34"/>
      <c r="P226" s="1"/>
      <c r="Q226" s="1"/>
      <c r="R226" s="1"/>
    </row>
    <row r="227" spans="1:18" s="7" customFormat="1" x14ac:dyDescent="0.3">
      <c r="A227" s="1"/>
      <c r="B227" s="1"/>
      <c r="C227" s="13"/>
      <c r="D227" s="5"/>
      <c r="E227" s="6"/>
      <c r="F227" s="96"/>
      <c r="G227" s="96"/>
      <c r="H227" s="96"/>
      <c r="I227" s="96"/>
      <c r="J227" s="96"/>
      <c r="K227" s="96"/>
      <c r="L227" s="96"/>
      <c r="M227" s="96"/>
      <c r="N227" s="96"/>
      <c r="O227" s="34"/>
      <c r="P227" s="1"/>
      <c r="Q227" s="1"/>
      <c r="R227" s="1"/>
    </row>
    <row r="228" spans="1:18" s="7" customFormat="1" x14ac:dyDescent="0.3">
      <c r="A228" s="1"/>
      <c r="B228" s="1"/>
      <c r="C228" s="13"/>
      <c r="D228" s="5"/>
      <c r="E228" s="6"/>
      <c r="F228" s="96"/>
      <c r="G228" s="96"/>
      <c r="H228" s="96"/>
      <c r="I228" s="96"/>
      <c r="J228" s="96"/>
      <c r="K228" s="96"/>
      <c r="L228" s="96"/>
      <c r="M228" s="96"/>
      <c r="N228" s="96"/>
      <c r="O228" s="34"/>
      <c r="P228" s="1"/>
      <c r="Q228" s="1"/>
      <c r="R228" s="1"/>
    </row>
    <row r="229" spans="1:18" s="7" customFormat="1" x14ac:dyDescent="0.3">
      <c r="A229" s="1"/>
      <c r="B229" s="1"/>
      <c r="C229" s="95"/>
      <c r="D229" s="5"/>
      <c r="E229" s="6"/>
      <c r="F229" s="96"/>
      <c r="G229" s="96"/>
      <c r="H229" s="96"/>
      <c r="I229" s="96"/>
      <c r="J229" s="96"/>
      <c r="K229" s="96"/>
      <c r="L229" s="96"/>
      <c r="M229" s="96"/>
      <c r="N229" s="96"/>
      <c r="O229" s="34"/>
      <c r="P229" s="1"/>
      <c r="Q229" s="1"/>
      <c r="R229" s="1"/>
    </row>
    <row r="230" spans="1:18" s="7" customFormat="1" x14ac:dyDescent="0.3">
      <c r="A230" s="1"/>
      <c r="B230" s="1"/>
      <c r="C230" s="13"/>
      <c r="D230" s="5"/>
      <c r="E230" s="6"/>
      <c r="F230" s="96"/>
      <c r="G230" s="96"/>
      <c r="H230" s="96"/>
      <c r="I230" s="96"/>
      <c r="J230" s="96"/>
      <c r="K230" s="96"/>
      <c r="L230" s="96"/>
      <c r="M230" s="96"/>
      <c r="N230" s="96"/>
      <c r="O230" s="34"/>
      <c r="P230" s="1"/>
      <c r="Q230" s="1"/>
      <c r="R230" s="1"/>
    </row>
    <row r="231" spans="1:18" s="7" customFormat="1" x14ac:dyDescent="0.3">
      <c r="A231" s="1"/>
      <c r="B231" s="1"/>
      <c r="C231" s="13"/>
      <c r="D231" s="5"/>
      <c r="E231" s="6"/>
      <c r="F231" s="96"/>
      <c r="G231" s="96"/>
      <c r="H231" s="96"/>
      <c r="I231" s="96"/>
      <c r="J231" s="96"/>
      <c r="K231" s="96"/>
      <c r="L231" s="96"/>
      <c r="M231" s="96"/>
      <c r="N231" s="96"/>
      <c r="O231" s="34"/>
      <c r="P231" s="1"/>
      <c r="Q231" s="1"/>
      <c r="R231" s="1"/>
    </row>
    <row r="232" spans="1:18" s="7" customFormat="1" x14ac:dyDescent="0.3">
      <c r="A232" s="1"/>
      <c r="B232" s="1"/>
      <c r="C232" s="13"/>
      <c r="D232" s="5"/>
      <c r="E232" s="6"/>
      <c r="F232" s="96"/>
      <c r="G232" s="96"/>
      <c r="H232" s="96"/>
      <c r="I232" s="96"/>
      <c r="J232" s="96"/>
      <c r="K232" s="96"/>
      <c r="L232" s="96"/>
      <c r="M232" s="96"/>
      <c r="N232" s="96"/>
      <c r="O232" s="34"/>
      <c r="P232" s="1"/>
      <c r="Q232" s="1"/>
      <c r="R232" s="1"/>
    </row>
    <row r="233" spans="1:18" s="7" customFormat="1" x14ac:dyDescent="0.3">
      <c r="A233" s="1"/>
      <c r="B233" s="1"/>
      <c r="C233" s="13"/>
      <c r="D233" s="5"/>
      <c r="E233" s="6"/>
      <c r="F233" s="96"/>
      <c r="G233" s="96"/>
      <c r="H233" s="96"/>
      <c r="I233" s="96"/>
      <c r="J233" s="96"/>
      <c r="K233" s="96"/>
      <c r="L233" s="96"/>
      <c r="M233" s="96"/>
      <c r="N233" s="96"/>
      <c r="O233" s="34"/>
      <c r="P233" s="1"/>
      <c r="Q233" s="1"/>
      <c r="R233" s="1"/>
    </row>
    <row r="234" spans="1:18" s="7" customFormat="1" x14ac:dyDescent="0.3">
      <c r="A234" s="1"/>
      <c r="B234" s="1"/>
      <c r="C234" s="13"/>
      <c r="D234" s="5"/>
      <c r="E234" s="6"/>
      <c r="F234" s="96"/>
      <c r="G234" s="96"/>
      <c r="H234" s="96"/>
      <c r="I234" s="96"/>
      <c r="J234" s="96"/>
      <c r="K234" s="96"/>
      <c r="L234" s="96"/>
      <c r="M234" s="96"/>
      <c r="N234" s="96"/>
      <c r="O234" s="34"/>
      <c r="P234" s="1"/>
      <c r="Q234" s="1"/>
      <c r="R234" s="1"/>
    </row>
    <row r="235" spans="1:18" s="7" customFormat="1" x14ac:dyDescent="0.3">
      <c r="A235" s="1"/>
      <c r="B235" s="1"/>
      <c r="C235" s="13"/>
      <c r="D235" s="5"/>
      <c r="E235" s="6"/>
      <c r="F235" s="96"/>
      <c r="G235" s="96"/>
      <c r="H235" s="96"/>
      <c r="I235" s="96"/>
      <c r="J235" s="96"/>
      <c r="K235" s="96"/>
      <c r="L235" s="96"/>
      <c r="M235" s="96"/>
      <c r="N235" s="96"/>
      <c r="O235" s="34"/>
      <c r="P235" s="1"/>
      <c r="Q235" s="1"/>
      <c r="R235" s="1"/>
    </row>
  </sheetData>
  <mergeCells count="7">
    <mergeCell ref="A6:C6"/>
    <mergeCell ref="D6:E6"/>
    <mergeCell ref="Q1:R1"/>
    <mergeCell ref="A2:D2"/>
    <mergeCell ref="F2:I2"/>
    <mergeCell ref="A4:C5"/>
    <mergeCell ref="D4:E5"/>
  </mergeCells>
  <phoneticPr fontId="18" type="noConversion"/>
  <conditionalFormatting sqref="D166:E166 D104:E105 D106:M165 F105:M105 D167:M235 O202:O235 O41:O103 O169:O200 O105:O165 D25:E25 D19:E21 D22:O22 D7:J18 H25:M25 D23:M24 D26:M103 O7:O21 O23:O39 F20:H21 F19:J19 N18:N19 K7:M19 J20:N21">
    <cfRule type="expression" dxfId="435" priority="370">
      <formula>$D7&lt;=$A$2</formula>
    </cfRule>
  </conditionalFormatting>
  <conditionalFormatting sqref="D166:E166 D104:E105 D106:M165 F105:M105 D167:M235 O202:O235 O41:O103 O169:O200 O105:O165 D25:E25 D19:E21 D22:O22 D7:J18 H25:M25 D23:M24 D26:M103 O7:O21 O23:O39 F20:H21 F19:J19 N18:N19 K7:M19 J20:N21">
    <cfRule type="expression" dxfId="434" priority="371">
      <formula>($D7=$A$2)</formula>
    </cfRule>
    <cfRule type="expression" dxfId="433" priority="372">
      <formula>OR($E7="토",$E7="일")</formula>
    </cfRule>
  </conditionalFormatting>
  <conditionalFormatting sqref="O201">
    <cfRule type="expression" dxfId="432" priority="367" stopIfTrue="1">
      <formula>$D166=$A$2</formula>
    </cfRule>
  </conditionalFormatting>
  <conditionalFormatting sqref="O201">
    <cfRule type="expression" dxfId="431" priority="368" stopIfTrue="1">
      <formula>($D166=$A$2)</formula>
    </cfRule>
    <cfRule type="expression" dxfId="430" priority="369" stopIfTrue="1">
      <formula>OR($E166="토",$E166="일")</formula>
    </cfRule>
  </conditionalFormatting>
  <conditionalFormatting sqref="F104:M104 O104">
    <cfRule type="expression" dxfId="429" priority="373" stopIfTrue="1">
      <formula>$D105=$A$2</formula>
    </cfRule>
  </conditionalFormatting>
  <conditionalFormatting sqref="F104:M104 O104">
    <cfRule type="expression" dxfId="428" priority="374" stopIfTrue="1">
      <formula>($D105=$A$2)</formula>
    </cfRule>
    <cfRule type="expression" dxfId="427" priority="375" stopIfTrue="1">
      <formula>OR($E105="토",$E105="일")</formula>
    </cfRule>
  </conditionalFormatting>
  <conditionalFormatting sqref="F166:M166">
    <cfRule type="expression" dxfId="426" priority="376" stopIfTrue="1">
      <formula>$D174=$A$2</formula>
    </cfRule>
  </conditionalFormatting>
  <conditionalFormatting sqref="F166:M166">
    <cfRule type="expression" dxfId="425" priority="377" stopIfTrue="1">
      <formula>($D174=$A$2)</formula>
    </cfRule>
    <cfRule type="expression" dxfId="424" priority="378" stopIfTrue="1">
      <formula>OR($E174="토",$E174="일")</formula>
    </cfRule>
  </conditionalFormatting>
  <conditionalFormatting sqref="O166">
    <cfRule type="expression" dxfId="423" priority="364" stopIfTrue="1">
      <formula>$D174=$A$2</formula>
    </cfRule>
  </conditionalFormatting>
  <conditionalFormatting sqref="O166">
    <cfRule type="expression" dxfId="422" priority="365" stopIfTrue="1">
      <formula>($D174=$A$2)</formula>
    </cfRule>
    <cfRule type="expression" dxfId="421" priority="366" stopIfTrue="1">
      <formula>OR($E174="토",$E174="일")</formula>
    </cfRule>
  </conditionalFormatting>
  <conditionalFormatting sqref="O167">
    <cfRule type="expression" dxfId="420" priority="361" stopIfTrue="1">
      <formula>$D167=$A$2</formula>
    </cfRule>
  </conditionalFormatting>
  <conditionalFormatting sqref="O167">
    <cfRule type="expression" dxfId="419" priority="362" stopIfTrue="1">
      <formula>($D167=$A$2)</formula>
    </cfRule>
    <cfRule type="expression" dxfId="418" priority="363" stopIfTrue="1">
      <formula>OR($E167="토",$E167="일")</formula>
    </cfRule>
  </conditionalFormatting>
  <conditionalFormatting sqref="O168">
    <cfRule type="expression" dxfId="417" priority="358" stopIfTrue="1">
      <formula>$D168=$A$2</formula>
    </cfRule>
  </conditionalFormatting>
  <conditionalFormatting sqref="O168">
    <cfRule type="expression" dxfId="416" priority="359" stopIfTrue="1">
      <formula>($D168=$A$2)</formula>
    </cfRule>
    <cfRule type="expression" dxfId="415" priority="360" stopIfTrue="1">
      <formula>OR($E168="토",$E168="일")</formula>
    </cfRule>
  </conditionalFormatting>
  <conditionalFormatting sqref="I19:M19 I22:I24">
    <cfRule type="expression" dxfId="414" priority="355">
      <formula>$D19=$A$2</formula>
    </cfRule>
  </conditionalFormatting>
  <conditionalFormatting sqref="J19:M19">
    <cfRule type="expression" dxfId="413" priority="356">
      <formula>($D19=$A$2)</formula>
    </cfRule>
    <cfRule type="expression" dxfId="412" priority="357">
      <formula>OR($E19="토",$E19="일")</formula>
    </cfRule>
  </conditionalFormatting>
  <conditionalFormatting sqref="K18:M18">
    <cfRule type="expression" dxfId="411" priority="352">
      <formula>$D18=$A$2</formula>
    </cfRule>
  </conditionalFormatting>
  <conditionalFormatting sqref="K18:M18">
    <cfRule type="expression" dxfId="410" priority="353">
      <formula>($D18=$A$2)</formula>
    </cfRule>
    <cfRule type="expression" dxfId="409" priority="354">
      <formula>OR($E18="토",$E18="일")</formula>
    </cfRule>
  </conditionalFormatting>
  <conditionalFormatting sqref="K19:K24">
    <cfRule type="expression" dxfId="408" priority="349">
      <formula>$D19=$A$2</formula>
    </cfRule>
  </conditionalFormatting>
  <conditionalFormatting sqref="K19:K24">
    <cfRule type="expression" dxfId="407" priority="350">
      <formula>($D19=$A$2)</formula>
    </cfRule>
    <cfRule type="expression" dxfId="406" priority="351">
      <formula>OR($E19="토",$E19="일")</formula>
    </cfRule>
  </conditionalFormatting>
  <conditionalFormatting sqref="K21:K24">
    <cfRule type="expression" dxfId="405" priority="346">
      <formula>$D21=$A$2</formula>
    </cfRule>
  </conditionalFormatting>
  <conditionalFormatting sqref="K21:K24">
    <cfRule type="expression" dxfId="404" priority="347">
      <formula>($D21=$A$2)</formula>
    </cfRule>
    <cfRule type="expression" dxfId="403" priority="348">
      <formula>OR($E21="토",$E21="일")</formula>
    </cfRule>
  </conditionalFormatting>
  <conditionalFormatting sqref="K21:K24">
    <cfRule type="expression" dxfId="402" priority="343">
      <formula>$D21=$A$2</formula>
    </cfRule>
  </conditionalFormatting>
  <conditionalFormatting sqref="K21:K24">
    <cfRule type="expression" dxfId="401" priority="344">
      <formula>($D21=$A$2)</formula>
    </cfRule>
    <cfRule type="expression" dxfId="400" priority="345">
      <formula>OR($E21="토",$E21="일")</formula>
    </cfRule>
  </conditionalFormatting>
  <conditionalFormatting sqref="L19:M23">
    <cfRule type="expression" dxfId="399" priority="340">
      <formula>$D19=$A$2</formula>
    </cfRule>
  </conditionalFormatting>
  <conditionalFormatting sqref="L19:M23">
    <cfRule type="expression" dxfId="398" priority="341">
      <formula>($D19=$A$2)</formula>
    </cfRule>
    <cfRule type="expression" dxfId="397" priority="342">
      <formula>OR($E19="토",$E19="일")</formula>
    </cfRule>
  </conditionalFormatting>
  <conditionalFormatting sqref="L17:L23 M19:M23">
    <cfRule type="expression" dxfId="396" priority="337">
      <formula>$D17=$A$2</formula>
    </cfRule>
  </conditionalFormatting>
  <conditionalFormatting sqref="L17:L23 M19:M23">
    <cfRule type="expression" dxfId="395" priority="338">
      <formula>($D17=$A$2)</formula>
    </cfRule>
    <cfRule type="expression" dxfId="394" priority="339">
      <formula>OR($E17="토",$E17="일")</formula>
    </cfRule>
  </conditionalFormatting>
  <conditionalFormatting sqref="L39:M39 L37:M37">
    <cfRule type="expression" dxfId="393" priority="379">
      <formula>$D41=$A$2</formula>
    </cfRule>
  </conditionalFormatting>
  <conditionalFormatting sqref="L39:M39 L37:M37">
    <cfRule type="expression" dxfId="392" priority="380">
      <formula>($D41=$A$2)</formula>
    </cfRule>
    <cfRule type="expression" dxfId="391" priority="381">
      <formula>OR($E41="토",$E41="일")</formula>
    </cfRule>
  </conditionalFormatting>
  <conditionalFormatting sqref="O40 D40:K40">
    <cfRule type="expression" dxfId="390" priority="331">
      <formula>$D40=$A$2</formula>
    </cfRule>
  </conditionalFormatting>
  <conditionalFormatting sqref="O40 D40:K40">
    <cfRule type="expression" dxfId="389" priority="332">
      <formula>($D40=$A$2)</formula>
    </cfRule>
    <cfRule type="expression" dxfId="388" priority="333">
      <formula>OR($E40="토",$E40="일")</formula>
    </cfRule>
  </conditionalFormatting>
  <conditionalFormatting sqref="L40:M40">
    <cfRule type="expression" dxfId="387" priority="334">
      <formula>$D44=$A$2</formula>
    </cfRule>
  </conditionalFormatting>
  <conditionalFormatting sqref="L40:M40">
    <cfRule type="expression" dxfId="386" priority="335">
      <formula>($D44=$A$2)</formula>
    </cfRule>
    <cfRule type="expression" dxfId="385" priority="336">
      <formula>OR($E44="토",$E44="일")</formula>
    </cfRule>
  </conditionalFormatting>
  <conditionalFormatting sqref="K22:K24">
    <cfRule type="expression" dxfId="384" priority="328">
      <formula>$D22=$A$2</formula>
    </cfRule>
  </conditionalFormatting>
  <conditionalFormatting sqref="K22:K24">
    <cfRule type="expression" dxfId="383" priority="329">
      <formula>($D22=$A$2)</formula>
    </cfRule>
    <cfRule type="expression" dxfId="382" priority="330">
      <formula>OR($E22="토",$E22="일")</formula>
    </cfRule>
  </conditionalFormatting>
  <conditionalFormatting sqref="K22:K24">
    <cfRule type="expression" dxfId="381" priority="325">
      <formula>$D22=$A$2</formula>
    </cfRule>
  </conditionalFormatting>
  <conditionalFormatting sqref="K22:K24">
    <cfRule type="expression" dxfId="380" priority="326">
      <formula>($D22=$A$2)</formula>
    </cfRule>
    <cfRule type="expression" dxfId="379" priority="327">
      <formula>OR($E22="토",$E22="일")</formula>
    </cfRule>
  </conditionalFormatting>
  <conditionalFormatting sqref="F21:F22">
    <cfRule type="expression" dxfId="378" priority="322">
      <formula>$D21=$A$2</formula>
    </cfRule>
  </conditionalFormatting>
  <conditionalFormatting sqref="F21:F22">
    <cfRule type="expression" dxfId="377" priority="323">
      <formula>($D21=$A$2)</formula>
    </cfRule>
    <cfRule type="expression" dxfId="376" priority="324">
      <formula>OR($E21="토",$E21="일")</formula>
    </cfRule>
  </conditionalFormatting>
  <conditionalFormatting sqref="G20:H20">
    <cfRule type="expression" dxfId="375" priority="319">
      <formula>$D20=$A$2</formula>
    </cfRule>
  </conditionalFormatting>
  <conditionalFormatting sqref="G20:H20">
    <cfRule type="expression" dxfId="374" priority="320">
      <formula>($D20=$A$2)</formula>
    </cfRule>
    <cfRule type="expression" dxfId="373" priority="321">
      <formula>OR($E20="토",$E20="일")</formula>
    </cfRule>
  </conditionalFormatting>
  <conditionalFormatting sqref="K20:K24">
    <cfRule type="expression" dxfId="372" priority="316">
      <formula>$D20=$A$2</formula>
    </cfRule>
  </conditionalFormatting>
  <conditionalFormatting sqref="K20:K24">
    <cfRule type="expression" dxfId="371" priority="317">
      <formula>($D20=$A$2)</formula>
    </cfRule>
    <cfRule type="expression" dxfId="370" priority="318">
      <formula>OR($E20="토",$E20="일")</formula>
    </cfRule>
  </conditionalFormatting>
  <conditionalFormatting sqref="K20:K24">
    <cfRule type="expression" dxfId="369" priority="313">
      <formula>$D20=$A$2</formula>
    </cfRule>
  </conditionalFormatting>
  <conditionalFormatting sqref="K20:K24">
    <cfRule type="expression" dxfId="368" priority="314">
      <formula>($D20=$A$2)</formula>
    </cfRule>
    <cfRule type="expression" dxfId="367" priority="315">
      <formula>OR($E20="토",$E20="일")</formula>
    </cfRule>
  </conditionalFormatting>
  <conditionalFormatting sqref="F19">
    <cfRule type="expression" dxfId="366" priority="310">
      <formula>$D19=$A$2</formula>
    </cfRule>
  </conditionalFormatting>
  <conditionalFormatting sqref="F19">
    <cfRule type="expression" dxfId="365" priority="311">
      <formula>($D19=$A$2)</formula>
    </cfRule>
    <cfRule type="expression" dxfId="364" priority="312">
      <formula>OR($E19="토",$E19="일")</formula>
    </cfRule>
  </conditionalFormatting>
  <conditionalFormatting sqref="G19:H19">
    <cfRule type="expression" dxfId="363" priority="307">
      <formula>$D19=$A$2</formula>
    </cfRule>
  </conditionalFormatting>
  <conditionalFormatting sqref="G19:H19">
    <cfRule type="expression" dxfId="362" priority="308">
      <formula>($D19=$A$2)</formula>
    </cfRule>
    <cfRule type="expression" dxfId="361" priority="309">
      <formula>OR($E19="토",$E19="일")</formula>
    </cfRule>
  </conditionalFormatting>
  <conditionalFormatting sqref="K19:K24">
    <cfRule type="expression" dxfId="360" priority="304">
      <formula>$D19=$A$2</formula>
    </cfRule>
  </conditionalFormatting>
  <conditionalFormatting sqref="K19:K24">
    <cfRule type="expression" dxfId="359" priority="305">
      <formula>($D19=$A$2)</formula>
    </cfRule>
    <cfRule type="expression" dxfId="358" priority="306">
      <formula>OR($E19="토",$E19="일")</formula>
    </cfRule>
  </conditionalFormatting>
  <conditionalFormatting sqref="K19:K24">
    <cfRule type="expression" dxfId="357" priority="301">
      <formula>$D19=$A$2</formula>
    </cfRule>
  </conditionalFormatting>
  <conditionalFormatting sqref="K19:K24">
    <cfRule type="expression" dxfId="356" priority="302">
      <formula>($D19=$A$2)</formula>
    </cfRule>
    <cfRule type="expression" dxfId="355" priority="303">
      <formula>OR($E19="토",$E19="일")</formula>
    </cfRule>
  </conditionalFormatting>
  <conditionalFormatting sqref="K19:K24">
    <cfRule type="expression" dxfId="354" priority="298">
      <formula>$D19=$A$2</formula>
    </cfRule>
  </conditionalFormatting>
  <conditionalFormatting sqref="K19:K24">
    <cfRule type="expression" dxfId="353" priority="299">
      <formula>($D19=$A$2)</formula>
    </cfRule>
    <cfRule type="expression" dxfId="352" priority="300">
      <formula>OR($E19="토",$E19="일")</formula>
    </cfRule>
  </conditionalFormatting>
  <conditionalFormatting sqref="K19:K24">
    <cfRule type="expression" dxfId="351" priority="295">
      <formula>$D19=$A$2</formula>
    </cfRule>
  </conditionalFormatting>
  <conditionalFormatting sqref="K19:K24">
    <cfRule type="expression" dxfId="350" priority="296">
      <formula>($D19=$A$2)</formula>
    </cfRule>
    <cfRule type="expression" dxfId="349" priority="297">
      <formula>OR($E19="토",$E19="일")</formula>
    </cfRule>
  </conditionalFormatting>
  <conditionalFormatting sqref="N105:N165 N167:N235 N23:N103 N7:N20">
    <cfRule type="expression" dxfId="348" priority="283">
      <formula>$D7&lt;=$A$2</formula>
    </cfRule>
  </conditionalFormatting>
  <conditionalFormatting sqref="N105:N165 N167:N235 N23:N103 N7:N20">
    <cfRule type="expression" dxfId="347" priority="284">
      <formula>($D7=$A$2)</formula>
    </cfRule>
    <cfRule type="expression" dxfId="346" priority="285">
      <formula>OR($E7="토",$E7="일")</formula>
    </cfRule>
  </conditionalFormatting>
  <conditionalFormatting sqref="N104">
    <cfRule type="expression" dxfId="345" priority="286" stopIfTrue="1">
      <formula>$D105=$A$2</formula>
    </cfRule>
  </conditionalFormatting>
  <conditionalFormatting sqref="N104">
    <cfRule type="expression" dxfId="344" priority="287" stopIfTrue="1">
      <formula>($D105=$A$2)</formula>
    </cfRule>
    <cfRule type="expression" dxfId="343" priority="288" stopIfTrue="1">
      <formula>OR($E105="토",$E105="일")</formula>
    </cfRule>
  </conditionalFormatting>
  <conditionalFormatting sqref="N166">
    <cfRule type="expression" dxfId="342" priority="289" stopIfTrue="1">
      <formula>$D174=$A$2</formula>
    </cfRule>
  </conditionalFormatting>
  <conditionalFormatting sqref="N166">
    <cfRule type="expression" dxfId="341" priority="290" stopIfTrue="1">
      <formula>($D174=$A$2)</formula>
    </cfRule>
    <cfRule type="expression" dxfId="340" priority="291" stopIfTrue="1">
      <formula>OR($E174="토",$E174="일")</formula>
    </cfRule>
  </conditionalFormatting>
  <conditionalFormatting sqref="N19:N20">
    <cfRule type="expression" dxfId="339" priority="280">
      <formula>$D19=$A$2</formula>
    </cfRule>
  </conditionalFormatting>
  <conditionalFormatting sqref="N19:N20">
    <cfRule type="expression" dxfId="338" priority="281">
      <formula>($D19=$A$2)</formula>
    </cfRule>
    <cfRule type="expression" dxfId="337" priority="282">
      <formula>OR($E19="토",$E19="일")</formula>
    </cfRule>
  </conditionalFormatting>
  <conditionalFormatting sqref="N18">
    <cfRule type="expression" dxfId="336" priority="277">
      <formula>$D18=$A$2</formula>
    </cfRule>
  </conditionalFormatting>
  <conditionalFormatting sqref="N18">
    <cfRule type="expression" dxfId="335" priority="278">
      <formula>($D18=$A$2)</formula>
    </cfRule>
    <cfRule type="expression" dxfId="334" priority="279">
      <formula>OR($E18="토",$E18="일")</formula>
    </cfRule>
  </conditionalFormatting>
  <conditionalFormatting sqref="N21:N22">
    <cfRule type="expression" dxfId="333" priority="274">
      <formula>$D21=$A$2</formula>
    </cfRule>
  </conditionalFormatting>
  <conditionalFormatting sqref="N21:N22">
    <cfRule type="expression" dxfId="332" priority="275">
      <formula>($D21=$A$2)</formula>
    </cfRule>
    <cfRule type="expression" dxfId="331" priority="276">
      <formula>OR($E21="토",$E21="일")</formula>
    </cfRule>
  </conditionalFormatting>
  <conditionalFormatting sqref="N20:N22">
    <cfRule type="expression" dxfId="330" priority="271">
      <formula>$D20=$A$2</formula>
    </cfRule>
  </conditionalFormatting>
  <conditionalFormatting sqref="N20:N22">
    <cfRule type="expression" dxfId="329" priority="272">
      <formula>($D20=$A$2)</formula>
    </cfRule>
    <cfRule type="expression" dxfId="328" priority="273">
      <formula>OR($E20="토",$E20="일")</formula>
    </cfRule>
  </conditionalFormatting>
  <conditionalFormatting sqref="N39 N37">
    <cfRule type="expression" dxfId="327" priority="292">
      <formula>$D41=$A$2</formula>
    </cfRule>
  </conditionalFormatting>
  <conditionalFormatting sqref="N39 N37">
    <cfRule type="expression" dxfId="326" priority="293">
      <formula>($D41=$A$2)</formula>
    </cfRule>
    <cfRule type="expression" dxfId="325" priority="294">
      <formula>OR($E41="토",$E41="일")</formula>
    </cfRule>
  </conditionalFormatting>
  <conditionalFormatting sqref="N40">
    <cfRule type="expression" dxfId="324" priority="268">
      <formula>$D44=$A$2</formula>
    </cfRule>
  </conditionalFormatting>
  <conditionalFormatting sqref="N40">
    <cfRule type="expression" dxfId="323" priority="269">
      <formula>($D44=$A$2)</formula>
    </cfRule>
    <cfRule type="expression" dxfId="322" priority="270">
      <formula>OR($E44="토",$E44="일")</formula>
    </cfRule>
  </conditionalFormatting>
  <conditionalFormatting sqref="F20">
    <cfRule type="expression" dxfId="321" priority="265">
      <formula>$D20=$A$2</formula>
    </cfRule>
  </conditionalFormatting>
  <conditionalFormatting sqref="F20">
    <cfRule type="expression" dxfId="320" priority="266">
      <formula>($D20=$A$2)</formula>
    </cfRule>
    <cfRule type="expression" dxfId="319" priority="267">
      <formula>OR($E20="토",$E20="일")</formula>
    </cfRule>
  </conditionalFormatting>
  <conditionalFormatting sqref="K22:K25">
    <cfRule type="expression" dxfId="318" priority="262">
      <formula>$D22=$A$2</formula>
    </cfRule>
  </conditionalFormatting>
  <conditionalFormatting sqref="K22:K25">
    <cfRule type="expression" dxfId="317" priority="263">
      <formula>($D22=$A$2)</formula>
    </cfRule>
    <cfRule type="expression" dxfId="316" priority="264">
      <formula>OR($E22="토",$E22="일")</formula>
    </cfRule>
  </conditionalFormatting>
  <conditionalFormatting sqref="K22:K25">
    <cfRule type="expression" dxfId="315" priority="259">
      <formula>$D22=$A$2</formula>
    </cfRule>
  </conditionalFormatting>
  <conditionalFormatting sqref="K22:K25">
    <cfRule type="expression" dxfId="314" priority="260">
      <formula>($D22=$A$2)</formula>
    </cfRule>
    <cfRule type="expression" dxfId="313" priority="261">
      <formula>OR($E22="토",$E22="일")</formula>
    </cfRule>
  </conditionalFormatting>
  <conditionalFormatting sqref="F25 H25">
    <cfRule type="expression" dxfId="312" priority="257">
      <formula>($D25=$A$2)</formula>
    </cfRule>
    <cfRule type="expression" dxfId="311" priority="258">
      <formula>OR($E25="토",$E25="일")</formula>
    </cfRule>
  </conditionalFormatting>
  <conditionalFormatting sqref="F25 H25">
    <cfRule type="expression" dxfId="310" priority="256">
      <formula>$D25&lt;=$A$2</formula>
    </cfRule>
  </conditionalFormatting>
  <conditionalFormatting sqref="L12:M15">
    <cfRule type="expression" dxfId="309" priority="253">
      <formula>$D12=$A$2</formula>
    </cfRule>
  </conditionalFormatting>
  <conditionalFormatting sqref="L12:M15">
    <cfRule type="expression" dxfId="308" priority="254">
      <formula>($D12=$A$2)</formula>
    </cfRule>
    <cfRule type="expression" dxfId="307" priority="255">
      <formula>OR($E12="토",$E12="일")</formula>
    </cfRule>
  </conditionalFormatting>
  <conditionalFormatting sqref="L11:L12 L17 L13:M16">
    <cfRule type="expression" dxfId="306" priority="250">
      <formula>$D11=$A$2</formula>
    </cfRule>
  </conditionalFormatting>
  <conditionalFormatting sqref="L11:L12 L17 L13:M16">
    <cfRule type="expression" dxfId="305" priority="251">
      <formula>($D11=$A$2)</formula>
    </cfRule>
    <cfRule type="expression" dxfId="304" priority="252">
      <formula>OR($E11="토",$E11="일")</formula>
    </cfRule>
  </conditionalFormatting>
  <conditionalFormatting sqref="L11:L12 L17 L13:M16">
    <cfRule type="expression" dxfId="303" priority="247">
      <formula>$D11=$A$2</formula>
    </cfRule>
  </conditionalFormatting>
  <conditionalFormatting sqref="L11:L12 L17 L13:M16">
    <cfRule type="expression" dxfId="302" priority="248">
      <formula>($D11=$A$2)</formula>
    </cfRule>
    <cfRule type="expression" dxfId="301" priority="249">
      <formula>OR($E11="토",$E11="일")</formula>
    </cfRule>
  </conditionalFormatting>
  <conditionalFormatting sqref="L17:M17">
    <cfRule type="expression" dxfId="300" priority="244">
      <formula>$D17=$A$2</formula>
    </cfRule>
  </conditionalFormatting>
  <conditionalFormatting sqref="L17:M17">
    <cfRule type="expression" dxfId="299" priority="245">
      <formula>($D17=$A$2)</formula>
    </cfRule>
    <cfRule type="expression" dxfId="298" priority="246">
      <formula>OR($E17="토",$E17="일")</formula>
    </cfRule>
  </conditionalFormatting>
  <conditionalFormatting sqref="L17:L20">
    <cfRule type="expression" dxfId="297" priority="241">
      <formula>$D17=$A$2</formula>
    </cfRule>
  </conditionalFormatting>
  <conditionalFormatting sqref="L17:L20">
    <cfRule type="expression" dxfId="296" priority="242">
      <formula>($D17=$A$2)</formula>
    </cfRule>
    <cfRule type="expression" dxfId="295" priority="243">
      <formula>OR($E17="토",$E17="일")</formula>
    </cfRule>
  </conditionalFormatting>
  <conditionalFormatting sqref="L17:L18">
    <cfRule type="expression" dxfId="294" priority="238">
      <formula>$D17=$A$2</formula>
    </cfRule>
  </conditionalFormatting>
  <conditionalFormatting sqref="L17:L18">
    <cfRule type="expression" dxfId="293" priority="239">
      <formula>($D17=$A$2)</formula>
    </cfRule>
    <cfRule type="expression" dxfId="292" priority="240">
      <formula>OR($E17="토",$E17="일")</formula>
    </cfRule>
  </conditionalFormatting>
  <conditionalFormatting sqref="L16:L17">
    <cfRule type="expression" dxfId="291" priority="235">
      <formula>$D16=$A$2</formula>
    </cfRule>
  </conditionalFormatting>
  <conditionalFormatting sqref="L16:L17">
    <cfRule type="expression" dxfId="290" priority="236">
      <formula>($D16=$A$2)</formula>
    </cfRule>
    <cfRule type="expression" dxfId="289" priority="237">
      <formula>OR($E16="토",$E16="일")</formula>
    </cfRule>
  </conditionalFormatting>
  <conditionalFormatting sqref="M19:M24">
    <cfRule type="expression" dxfId="288" priority="232">
      <formula>$D19=$A$2</formula>
    </cfRule>
  </conditionalFormatting>
  <conditionalFormatting sqref="M19:M24">
    <cfRule type="expression" dxfId="287" priority="233">
      <formula>($D19=$A$2)</formula>
    </cfRule>
    <cfRule type="expression" dxfId="286" priority="234">
      <formula>OR($E19="토",$E19="일")</formula>
    </cfRule>
  </conditionalFormatting>
  <conditionalFormatting sqref="J20:M20">
    <cfRule type="expression" dxfId="285" priority="229">
      <formula>$D20=$A$2</formula>
    </cfRule>
  </conditionalFormatting>
  <conditionalFormatting sqref="J20:M20">
    <cfRule type="expression" dxfId="284" priority="230">
      <formula>($D20=$A$2)</formula>
    </cfRule>
    <cfRule type="expression" dxfId="283" priority="231">
      <formula>OR($E20="토",$E20="일")</formula>
    </cfRule>
  </conditionalFormatting>
  <conditionalFormatting sqref="H21:H24">
    <cfRule type="expression" dxfId="282" priority="226">
      <formula>$D21=$A$2</formula>
    </cfRule>
  </conditionalFormatting>
  <conditionalFormatting sqref="H21:H24">
    <cfRule type="expression" dxfId="281" priority="227">
      <formula>($D21=$A$2)</formula>
    </cfRule>
    <cfRule type="expression" dxfId="280" priority="228">
      <formula>OR($E21="토",$E21="일")</formula>
    </cfRule>
  </conditionalFormatting>
  <conditionalFormatting sqref="H20:H24">
    <cfRule type="expression" dxfId="279" priority="223">
      <formula>$D20=$A$2</formula>
    </cfRule>
  </conditionalFormatting>
  <conditionalFormatting sqref="H20:H24">
    <cfRule type="expression" dxfId="278" priority="224">
      <formula>($D20=$A$2)</formula>
    </cfRule>
    <cfRule type="expression" dxfId="277" priority="225">
      <formula>OR($E20="토",$E20="일")</formula>
    </cfRule>
  </conditionalFormatting>
  <conditionalFormatting sqref="L19:M19">
    <cfRule type="expression" dxfId="276" priority="220">
      <formula>$D19=$A$2</formula>
    </cfRule>
  </conditionalFormatting>
  <conditionalFormatting sqref="L19:M19">
    <cfRule type="expression" dxfId="275" priority="221">
      <formula>($D19=$A$2)</formula>
    </cfRule>
    <cfRule type="expression" dxfId="274" priority="222">
      <formula>OR($E19="토",$E19="일")</formula>
    </cfRule>
  </conditionalFormatting>
  <conditionalFormatting sqref="L16:L17">
    <cfRule type="expression" dxfId="273" priority="217">
      <formula>$D16=$A$2</formula>
    </cfRule>
  </conditionalFormatting>
  <conditionalFormatting sqref="L16:L17">
    <cfRule type="expression" dxfId="272" priority="218">
      <formula>($D16=$A$2)</formula>
    </cfRule>
    <cfRule type="expression" dxfId="271" priority="219">
      <formula>OR($E16="토",$E16="일")</formula>
    </cfRule>
  </conditionalFormatting>
  <conditionalFormatting sqref="L17:L18">
    <cfRule type="expression" dxfId="270" priority="214">
      <formula>$D17=$A$2</formula>
    </cfRule>
  </conditionalFormatting>
  <conditionalFormatting sqref="L17:L18">
    <cfRule type="expression" dxfId="269" priority="215">
      <formula>($D17=$A$2)</formula>
    </cfRule>
    <cfRule type="expression" dxfId="268" priority="216">
      <formula>OR($E17="토",$E17="일")</formula>
    </cfRule>
  </conditionalFormatting>
  <conditionalFormatting sqref="J20:M20">
    <cfRule type="expression" dxfId="267" priority="211">
      <formula>$D20=$A$2</formula>
    </cfRule>
  </conditionalFormatting>
  <conditionalFormatting sqref="J20:M20">
    <cfRule type="expression" dxfId="266" priority="212">
      <formula>($D20=$A$2)</formula>
    </cfRule>
    <cfRule type="expression" dxfId="265" priority="213">
      <formula>OR($E20="토",$E20="일")</formula>
    </cfRule>
  </conditionalFormatting>
  <conditionalFormatting sqref="L23:M23">
    <cfRule type="expression" dxfId="264" priority="208">
      <formula>$D23=$A$2</formula>
    </cfRule>
  </conditionalFormatting>
  <conditionalFormatting sqref="L23:M23">
    <cfRule type="expression" dxfId="263" priority="209">
      <formula>($D23=$A$2)</formula>
    </cfRule>
    <cfRule type="expression" dxfId="262" priority="210">
      <formula>OR($E23="토",$E23="일")</formula>
    </cfRule>
  </conditionalFormatting>
  <conditionalFormatting sqref="G21:H21">
    <cfRule type="expression" dxfId="261" priority="205">
      <formula>$D21=$A$2</formula>
    </cfRule>
  </conditionalFormatting>
  <conditionalFormatting sqref="G21:H21">
    <cfRule type="expression" dxfId="260" priority="206">
      <formula>($D21=$A$2)</formula>
    </cfRule>
    <cfRule type="expression" dxfId="259" priority="207">
      <formula>OR($E21="토",$E21="일")</formula>
    </cfRule>
  </conditionalFormatting>
  <conditionalFormatting sqref="G20:H20">
    <cfRule type="expression" dxfId="258" priority="202">
      <formula>$D20=$A$2</formula>
    </cfRule>
  </conditionalFormatting>
  <conditionalFormatting sqref="G20:H20">
    <cfRule type="expression" dxfId="257" priority="203">
      <formula>($D20=$A$2)</formula>
    </cfRule>
    <cfRule type="expression" dxfId="256" priority="204">
      <formula>OR($E20="토",$E20="일")</formula>
    </cfRule>
  </conditionalFormatting>
  <conditionalFormatting sqref="J21:M21">
    <cfRule type="expression" dxfId="255" priority="199">
      <formula>$D21=$A$2</formula>
    </cfRule>
  </conditionalFormatting>
  <conditionalFormatting sqref="J21:M21">
    <cfRule type="expression" dxfId="254" priority="200">
      <formula>($D21=$A$2)</formula>
    </cfRule>
    <cfRule type="expression" dxfId="253" priority="201">
      <formula>OR($E21="토",$E21="일")</formula>
    </cfRule>
  </conditionalFormatting>
  <conditionalFormatting sqref="L20:M20">
    <cfRule type="expression" dxfId="252" priority="196">
      <formula>$D20=$A$2</formula>
    </cfRule>
  </conditionalFormatting>
  <conditionalFormatting sqref="L20:M20">
    <cfRule type="expression" dxfId="251" priority="197">
      <formula>($D20=$A$2)</formula>
    </cfRule>
    <cfRule type="expression" dxfId="250" priority="198">
      <formula>OR($E20="토",$E20="일")</formula>
    </cfRule>
  </conditionalFormatting>
  <conditionalFormatting sqref="L23:M23">
    <cfRule type="expression" dxfId="249" priority="193">
      <formula>$D23=$A$2</formula>
    </cfRule>
  </conditionalFormatting>
  <conditionalFormatting sqref="L23:M23">
    <cfRule type="expression" dxfId="248" priority="194">
      <formula>($D23=$A$2)</formula>
    </cfRule>
    <cfRule type="expression" dxfId="247" priority="195">
      <formula>OR($E23="토",$E23="일")</formula>
    </cfRule>
  </conditionalFormatting>
  <conditionalFormatting sqref="L23:M23">
    <cfRule type="expression" dxfId="246" priority="190">
      <formula>$D23=$A$2</formula>
    </cfRule>
  </conditionalFormatting>
  <conditionalFormatting sqref="L23:M23">
    <cfRule type="expression" dxfId="245" priority="191">
      <formula>($D23=$A$2)</formula>
    </cfRule>
    <cfRule type="expression" dxfId="244" priority="192">
      <formula>OR($E23="토",$E23="일")</formula>
    </cfRule>
  </conditionalFormatting>
  <conditionalFormatting sqref="H22:H24">
    <cfRule type="expression" dxfId="243" priority="187">
      <formula>$D22=$A$2</formula>
    </cfRule>
  </conditionalFormatting>
  <conditionalFormatting sqref="H22:H24">
    <cfRule type="expression" dxfId="242" priority="188">
      <formula>($D22=$A$2)</formula>
    </cfRule>
    <cfRule type="expression" dxfId="241" priority="189">
      <formula>OR($E22="토",$E22="일")</formula>
    </cfRule>
  </conditionalFormatting>
  <conditionalFormatting sqref="J23:M23">
    <cfRule type="expression" dxfId="240" priority="184">
      <formula>$D23=$A$2</formula>
    </cfRule>
  </conditionalFormatting>
  <conditionalFormatting sqref="J23:M23">
    <cfRule type="expression" dxfId="239" priority="185">
      <formula>($D23=$A$2)</formula>
    </cfRule>
    <cfRule type="expression" dxfId="238" priority="186">
      <formula>OR($E23="토",$E23="일")</formula>
    </cfRule>
  </conditionalFormatting>
  <conditionalFormatting sqref="G22:H22">
    <cfRule type="expression" dxfId="237" priority="181">
      <formula>$D22=$A$2</formula>
    </cfRule>
  </conditionalFormatting>
  <conditionalFormatting sqref="G22:H22">
    <cfRule type="expression" dxfId="236" priority="182">
      <formula>($D22=$A$2)</formula>
    </cfRule>
    <cfRule type="expression" dxfId="235" priority="183">
      <formula>OR($E22="토",$E22="일")</formula>
    </cfRule>
  </conditionalFormatting>
  <conditionalFormatting sqref="J22:M22">
    <cfRule type="expression" dxfId="234" priority="178">
      <formula>$D22=$A$2</formula>
    </cfRule>
  </conditionalFormatting>
  <conditionalFormatting sqref="J22:M22">
    <cfRule type="expression" dxfId="233" priority="179">
      <formula>($D22=$A$2)</formula>
    </cfRule>
    <cfRule type="expression" dxfId="232" priority="180">
      <formula>OR($E22="토",$E22="일")</formula>
    </cfRule>
  </conditionalFormatting>
  <conditionalFormatting sqref="J20:M20">
    <cfRule type="expression" dxfId="231" priority="175">
      <formula>$D20=$A$2</formula>
    </cfRule>
  </conditionalFormatting>
  <conditionalFormatting sqref="J20:M20">
    <cfRule type="expression" dxfId="230" priority="176">
      <formula>($D20=$A$2)</formula>
    </cfRule>
    <cfRule type="expression" dxfId="229" priority="177">
      <formula>OR($E20="토",$E20="일")</formula>
    </cfRule>
  </conditionalFormatting>
  <conditionalFormatting sqref="K19:M19">
    <cfRule type="expression" dxfId="228" priority="172">
      <formula>$D19=$A$2</formula>
    </cfRule>
  </conditionalFormatting>
  <conditionalFormatting sqref="K19:M19">
    <cfRule type="expression" dxfId="227" priority="173">
      <formula>($D19=$A$2)</formula>
    </cfRule>
    <cfRule type="expression" dxfId="226" priority="174">
      <formula>OR($E19="토",$E19="일")</formula>
    </cfRule>
  </conditionalFormatting>
  <conditionalFormatting sqref="H21">
    <cfRule type="expression" dxfId="225" priority="169">
      <formula>$D21=$A$2</formula>
    </cfRule>
  </conditionalFormatting>
  <conditionalFormatting sqref="H21">
    <cfRule type="expression" dxfId="224" priority="170">
      <formula>($D21=$A$2)</formula>
    </cfRule>
    <cfRule type="expression" dxfId="223" priority="171">
      <formula>OR($E21="토",$E21="일")</formula>
    </cfRule>
  </conditionalFormatting>
  <conditionalFormatting sqref="H20">
    <cfRule type="expression" dxfId="222" priority="166">
      <formula>$D20=$A$2</formula>
    </cfRule>
  </conditionalFormatting>
  <conditionalFormatting sqref="H20">
    <cfRule type="expression" dxfId="221" priority="167">
      <formula>($D20=$A$2)</formula>
    </cfRule>
    <cfRule type="expression" dxfId="220" priority="168">
      <formula>OR($E20="토",$E20="일")</formula>
    </cfRule>
  </conditionalFormatting>
  <conditionalFormatting sqref="L18:M18">
    <cfRule type="expression" dxfId="219" priority="163">
      <formula>$D18=$A$2</formula>
    </cfRule>
  </conditionalFormatting>
  <conditionalFormatting sqref="L18:M18">
    <cfRule type="expression" dxfId="218" priority="164">
      <formula>($D18=$A$2)</formula>
    </cfRule>
    <cfRule type="expression" dxfId="217" priority="165">
      <formula>OR($E18="토",$E18="일")</formula>
    </cfRule>
  </conditionalFormatting>
  <conditionalFormatting sqref="J21:M21">
    <cfRule type="expression" dxfId="216" priority="160">
      <formula>$D21=$A$2</formula>
    </cfRule>
  </conditionalFormatting>
  <conditionalFormatting sqref="J21:M21">
    <cfRule type="expression" dxfId="215" priority="161">
      <formula>($D21=$A$2)</formula>
    </cfRule>
    <cfRule type="expression" dxfId="214" priority="162">
      <formula>OR($E21="토",$E21="일")</formula>
    </cfRule>
  </conditionalFormatting>
  <conditionalFormatting sqref="L20:M20">
    <cfRule type="expression" dxfId="213" priority="157">
      <formula>$D20=$A$2</formula>
    </cfRule>
  </conditionalFormatting>
  <conditionalFormatting sqref="L20:M20">
    <cfRule type="expression" dxfId="212" priority="158">
      <formula>($D20=$A$2)</formula>
    </cfRule>
    <cfRule type="expression" dxfId="211" priority="159">
      <formula>OR($E20="토",$E20="일")</formula>
    </cfRule>
  </conditionalFormatting>
  <conditionalFormatting sqref="J21:M21">
    <cfRule type="expression" dxfId="210" priority="154">
      <formula>$D21=$A$2</formula>
    </cfRule>
  </conditionalFormatting>
  <conditionalFormatting sqref="J21:M21">
    <cfRule type="expression" dxfId="209" priority="155">
      <formula>($D21=$A$2)</formula>
    </cfRule>
    <cfRule type="expression" dxfId="208" priority="156">
      <formula>OR($E21="토",$E21="일")</formula>
    </cfRule>
  </conditionalFormatting>
  <conditionalFormatting sqref="H22">
    <cfRule type="expression" dxfId="207" priority="151">
      <formula>$D22=$A$2</formula>
    </cfRule>
  </conditionalFormatting>
  <conditionalFormatting sqref="H22">
    <cfRule type="expression" dxfId="206" priority="152">
      <formula>($D22=$A$2)</formula>
    </cfRule>
    <cfRule type="expression" dxfId="205" priority="153">
      <formula>OR($E22="토",$E22="일")</formula>
    </cfRule>
  </conditionalFormatting>
  <conditionalFormatting sqref="H21">
    <cfRule type="expression" dxfId="204" priority="148">
      <formula>$D21=$A$2</formula>
    </cfRule>
  </conditionalFormatting>
  <conditionalFormatting sqref="H21">
    <cfRule type="expression" dxfId="203" priority="149">
      <formula>($D21=$A$2)</formula>
    </cfRule>
    <cfRule type="expression" dxfId="202" priority="150">
      <formula>OR($E21="토",$E21="일")</formula>
    </cfRule>
  </conditionalFormatting>
  <conditionalFormatting sqref="J22:M22">
    <cfRule type="expression" dxfId="201" priority="145">
      <formula>$D22=$A$2</formula>
    </cfRule>
  </conditionalFormatting>
  <conditionalFormatting sqref="J22:M22">
    <cfRule type="expression" dxfId="200" priority="146">
      <formula>($D22=$A$2)</formula>
    </cfRule>
    <cfRule type="expression" dxfId="199" priority="147">
      <formula>OR($E22="토",$E22="일")</formula>
    </cfRule>
  </conditionalFormatting>
  <conditionalFormatting sqref="L21:M21">
    <cfRule type="expression" dxfId="198" priority="142">
      <formula>$D21=$A$2</formula>
    </cfRule>
  </conditionalFormatting>
  <conditionalFormatting sqref="L21:M21">
    <cfRule type="expression" dxfId="197" priority="143">
      <formula>($D21=$A$2)</formula>
    </cfRule>
    <cfRule type="expression" dxfId="196" priority="144">
      <formula>OR($E21="토",$E21="일")</formula>
    </cfRule>
  </conditionalFormatting>
  <conditionalFormatting sqref="H22:H24">
    <cfRule type="expression" dxfId="195" priority="139">
      <formula>$D22=$A$2</formula>
    </cfRule>
  </conditionalFormatting>
  <conditionalFormatting sqref="H22:H24">
    <cfRule type="expression" dxfId="194" priority="140">
      <formula>($D22=$A$2)</formula>
    </cfRule>
    <cfRule type="expression" dxfId="193" priority="141">
      <formula>OR($E22="토",$E22="일")</formula>
    </cfRule>
  </conditionalFormatting>
  <conditionalFormatting sqref="J23:M23">
    <cfRule type="expression" dxfId="192" priority="136">
      <formula>$D23=$A$2</formula>
    </cfRule>
  </conditionalFormatting>
  <conditionalFormatting sqref="J23:M23">
    <cfRule type="expression" dxfId="191" priority="137">
      <formula>($D23=$A$2)</formula>
    </cfRule>
    <cfRule type="expression" dxfId="190" priority="138">
      <formula>OR($E23="토",$E23="일")</formula>
    </cfRule>
  </conditionalFormatting>
  <conditionalFormatting sqref="G25">
    <cfRule type="expression" dxfId="189" priority="133">
      <formula>$D25&lt;=$A$2</formula>
    </cfRule>
  </conditionalFormatting>
  <conditionalFormatting sqref="G25">
    <cfRule type="expression" dxfId="188" priority="134">
      <formula>($D25=$A$2)</formula>
    </cfRule>
    <cfRule type="expression" dxfId="187" priority="135">
      <formula>OR($E25="토",$E25="일")</formula>
    </cfRule>
  </conditionalFormatting>
  <conditionalFormatting sqref="L16">
    <cfRule type="expression" dxfId="186" priority="130">
      <formula>$D16=$A$2</formula>
    </cfRule>
  </conditionalFormatting>
  <conditionalFormatting sqref="L16">
    <cfRule type="expression" dxfId="185" priority="131">
      <formula>($D16=$A$2)</formula>
    </cfRule>
    <cfRule type="expression" dxfId="184" priority="132">
      <formula>OR($E16="토",$E16="일")</formula>
    </cfRule>
  </conditionalFormatting>
  <conditionalFormatting sqref="L20">
    <cfRule type="expression" dxfId="183" priority="127">
      <formula>$D20=$A$2</formula>
    </cfRule>
  </conditionalFormatting>
  <conditionalFormatting sqref="L20">
    <cfRule type="expression" dxfId="182" priority="128">
      <formula>($D20=$A$2)</formula>
    </cfRule>
    <cfRule type="expression" dxfId="181" priority="129">
      <formula>OR($E20="토",$E20="일")</formula>
    </cfRule>
  </conditionalFormatting>
  <conditionalFormatting sqref="L20">
    <cfRule type="expression" dxfId="180" priority="124">
      <formula>$D20=$A$2</formula>
    </cfRule>
  </conditionalFormatting>
  <conditionalFormatting sqref="L20">
    <cfRule type="expression" dxfId="179" priority="125">
      <formula>($D20=$A$2)</formula>
    </cfRule>
    <cfRule type="expression" dxfId="178" priority="126">
      <formula>OR($E20="토",$E20="일")</formula>
    </cfRule>
  </conditionalFormatting>
  <conditionalFormatting sqref="L20">
    <cfRule type="expression" dxfId="177" priority="121">
      <formula>$D20=$A$2</formula>
    </cfRule>
  </conditionalFormatting>
  <conditionalFormatting sqref="L20">
    <cfRule type="expression" dxfId="176" priority="122">
      <formula>($D20=$A$2)</formula>
    </cfRule>
    <cfRule type="expression" dxfId="175" priority="123">
      <formula>OR($E20="토",$E20="일")</formula>
    </cfRule>
  </conditionalFormatting>
  <conditionalFormatting sqref="L22:L24">
    <cfRule type="expression" dxfId="174" priority="118">
      <formula>$D22=$A$2</formula>
    </cfRule>
  </conditionalFormatting>
  <conditionalFormatting sqref="L22:L24">
    <cfRule type="expression" dxfId="173" priority="119">
      <formula>($D22=$A$2)</formula>
    </cfRule>
    <cfRule type="expression" dxfId="172" priority="120">
      <formula>OR($E22="토",$E22="일")</formula>
    </cfRule>
  </conditionalFormatting>
  <conditionalFormatting sqref="L22:L24">
    <cfRule type="expression" dxfId="171" priority="115">
      <formula>$D22=$A$2</formula>
    </cfRule>
  </conditionalFormatting>
  <conditionalFormatting sqref="L22:L24">
    <cfRule type="expression" dxfId="170" priority="116">
      <formula>($D22=$A$2)</formula>
    </cfRule>
    <cfRule type="expression" dxfId="169" priority="117">
      <formula>OR($E22="토",$E22="일")</formula>
    </cfRule>
  </conditionalFormatting>
  <conditionalFormatting sqref="L11:L12">
    <cfRule type="expression" dxfId="168" priority="112">
      <formula>$D11=$A$2</formula>
    </cfRule>
  </conditionalFormatting>
  <conditionalFormatting sqref="L11:L12">
    <cfRule type="expression" dxfId="167" priority="113">
      <formula>($D11=$A$2)</formula>
    </cfRule>
    <cfRule type="expression" dxfId="166" priority="114">
      <formula>OR($E11="토",$E11="일")</formula>
    </cfRule>
  </conditionalFormatting>
  <conditionalFormatting sqref="M22:M24">
    <cfRule type="expression" dxfId="165" priority="109">
      <formula>$D22=$A$2</formula>
    </cfRule>
  </conditionalFormatting>
  <conditionalFormatting sqref="M22:M24">
    <cfRule type="expression" dxfId="164" priority="110">
      <formula>($D22=$A$2)</formula>
    </cfRule>
    <cfRule type="expression" dxfId="163" priority="111">
      <formula>OR($E22="토",$E22="일")</formula>
    </cfRule>
  </conditionalFormatting>
  <conditionalFormatting sqref="M22:M24">
    <cfRule type="expression" dxfId="162" priority="106">
      <formula>$D22=$A$2</formula>
    </cfRule>
  </conditionalFormatting>
  <conditionalFormatting sqref="M22:M24">
    <cfRule type="expression" dxfId="161" priority="107">
      <formula>($D22=$A$2)</formula>
    </cfRule>
    <cfRule type="expression" dxfId="160" priority="108">
      <formula>OR($E22="토",$E22="일")</formula>
    </cfRule>
  </conditionalFormatting>
  <conditionalFormatting sqref="M22:M24">
    <cfRule type="expression" dxfId="159" priority="103">
      <formula>$D22=$A$2</formula>
    </cfRule>
  </conditionalFormatting>
  <conditionalFormatting sqref="M22:M24">
    <cfRule type="expression" dxfId="158" priority="104">
      <formula>($D22=$A$2)</formula>
    </cfRule>
    <cfRule type="expression" dxfId="157" priority="105">
      <formula>OR($E22="토",$E22="일")</formula>
    </cfRule>
  </conditionalFormatting>
  <conditionalFormatting sqref="M22:M24">
    <cfRule type="expression" dxfId="156" priority="100">
      <formula>$D22=$A$2</formula>
    </cfRule>
  </conditionalFormatting>
  <conditionalFormatting sqref="M22:M24">
    <cfRule type="expression" dxfId="155" priority="101">
      <formula>($D22=$A$2)</formula>
    </cfRule>
    <cfRule type="expression" dxfId="154" priority="102">
      <formula>OR($E22="토",$E22="일")</formula>
    </cfRule>
  </conditionalFormatting>
  <conditionalFormatting sqref="M23:M24">
    <cfRule type="expression" dxfId="153" priority="97">
      <formula>$D23=$A$2</formula>
    </cfRule>
  </conditionalFormatting>
  <conditionalFormatting sqref="M23:M24">
    <cfRule type="expression" dxfId="152" priority="98">
      <formula>($D23=$A$2)</formula>
    </cfRule>
    <cfRule type="expression" dxfId="151" priority="99">
      <formula>OR($E23="토",$E23="일")</formula>
    </cfRule>
  </conditionalFormatting>
  <conditionalFormatting sqref="M23:M24">
    <cfRule type="expression" dxfId="150" priority="94">
      <formula>$D23=$A$2</formula>
    </cfRule>
  </conditionalFormatting>
  <conditionalFormatting sqref="M23:M24">
    <cfRule type="expression" dxfId="149" priority="95">
      <formula>($D23=$A$2)</formula>
    </cfRule>
    <cfRule type="expression" dxfId="148" priority="96">
      <formula>OR($E23="토",$E23="일")</formula>
    </cfRule>
  </conditionalFormatting>
  <conditionalFormatting sqref="M23:M24">
    <cfRule type="expression" dxfId="147" priority="91">
      <formula>$D23=$A$2</formula>
    </cfRule>
  </conditionalFormatting>
  <conditionalFormatting sqref="M23:M24">
    <cfRule type="expression" dxfId="146" priority="92">
      <formula>($D23=$A$2)</formula>
    </cfRule>
    <cfRule type="expression" dxfId="145" priority="93">
      <formula>OR($E23="토",$E23="일")</formula>
    </cfRule>
  </conditionalFormatting>
  <conditionalFormatting sqref="M23:M24">
    <cfRule type="expression" dxfId="144" priority="88">
      <formula>$D23=$A$2</formula>
    </cfRule>
  </conditionalFormatting>
  <conditionalFormatting sqref="M23:M24">
    <cfRule type="expression" dxfId="143" priority="89">
      <formula>($D23=$A$2)</formula>
    </cfRule>
    <cfRule type="expression" dxfId="142" priority="90">
      <formula>OR($E23="토",$E23="일")</formula>
    </cfRule>
  </conditionalFormatting>
  <conditionalFormatting sqref="M23:M24">
    <cfRule type="expression" dxfId="141" priority="85">
      <formula>$D23=$A$2</formula>
    </cfRule>
  </conditionalFormatting>
  <conditionalFormatting sqref="M23:M24">
    <cfRule type="expression" dxfId="140" priority="86">
      <formula>($D23=$A$2)</formula>
    </cfRule>
    <cfRule type="expression" dxfId="139" priority="87">
      <formula>OR($E23="토",$E23="일")</formula>
    </cfRule>
  </conditionalFormatting>
  <conditionalFormatting sqref="M23:M24">
    <cfRule type="expression" dxfId="138" priority="82">
      <formula>$D23=$A$2</formula>
    </cfRule>
  </conditionalFormatting>
  <conditionalFormatting sqref="M23:M24">
    <cfRule type="expression" dxfId="137" priority="83">
      <formula>($D23=$A$2)</formula>
    </cfRule>
    <cfRule type="expression" dxfId="136" priority="84">
      <formula>OR($E23="토",$E23="일")</formula>
    </cfRule>
  </conditionalFormatting>
  <conditionalFormatting sqref="M23:M24">
    <cfRule type="expression" dxfId="135" priority="79">
      <formula>$D23=$A$2</formula>
    </cfRule>
  </conditionalFormatting>
  <conditionalFormatting sqref="M23:M24">
    <cfRule type="expression" dxfId="134" priority="80">
      <formula>($D23=$A$2)</formula>
    </cfRule>
    <cfRule type="expression" dxfId="133" priority="81">
      <formula>OR($E23="토",$E23="일")</formula>
    </cfRule>
  </conditionalFormatting>
  <conditionalFormatting sqref="L19:M19">
    <cfRule type="expression" dxfId="132" priority="76">
      <formula>$D19=$A$2</formula>
    </cfRule>
  </conditionalFormatting>
  <conditionalFormatting sqref="L19:M19">
    <cfRule type="expression" dxfId="131" priority="77">
      <formula>($D19=$A$2)</formula>
    </cfRule>
    <cfRule type="expression" dxfId="130" priority="78">
      <formula>OR($E19="토",$E19="일")</formula>
    </cfRule>
  </conditionalFormatting>
  <conditionalFormatting sqref="L19:M19">
    <cfRule type="expression" dxfId="129" priority="73">
      <formula>$D19=$A$2</formula>
    </cfRule>
  </conditionalFormatting>
  <conditionalFormatting sqref="L19:M19">
    <cfRule type="expression" dxfId="128" priority="74">
      <formula>($D19=$A$2)</formula>
    </cfRule>
    <cfRule type="expression" dxfId="127" priority="75">
      <formula>OR($E19="토",$E19="일")</formula>
    </cfRule>
  </conditionalFormatting>
  <conditionalFormatting sqref="L19:M19">
    <cfRule type="expression" dxfId="126" priority="70">
      <formula>$D19=$A$2</formula>
    </cfRule>
  </conditionalFormatting>
  <conditionalFormatting sqref="L19:M19">
    <cfRule type="expression" dxfId="125" priority="71">
      <formula>($D19=$A$2)</formula>
    </cfRule>
    <cfRule type="expression" dxfId="124" priority="72">
      <formula>OR($E19="토",$E19="일")</formula>
    </cfRule>
  </conditionalFormatting>
  <conditionalFormatting sqref="L19:M19">
    <cfRule type="expression" dxfId="123" priority="67">
      <formula>$D19=$A$2</formula>
    </cfRule>
  </conditionalFormatting>
  <conditionalFormatting sqref="L19:M19">
    <cfRule type="expression" dxfId="122" priority="68">
      <formula>($D19=$A$2)</formula>
    </cfRule>
    <cfRule type="expression" dxfId="121" priority="69">
      <formula>OR($E19="토",$E19="일")</formula>
    </cfRule>
  </conditionalFormatting>
  <conditionalFormatting sqref="L22:M22">
    <cfRule type="expression" dxfId="120" priority="64">
      <formula>$D22=$A$2</formula>
    </cfRule>
  </conditionalFormatting>
  <conditionalFormatting sqref="L22:M22">
    <cfRule type="expression" dxfId="119" priority="65">
      <formula>($D22=$A$2)</formula>
    </cfRule>
    <cfRule type="expression" dxfId="118" priority="66">
      <formula>OR($E22="토",$E22="일")</formula>
    </cfRule>
  </conditionalFormatting>
  <conditionalFormatting sqref="L22:M22">
    <cfRule type="expression" dxfId="117" priority="61">
      <formula>$D22=$A$2</formula>
    </cfRule>
  </conditionalFormatting>
  <conditionalFormatting sqref="L22:M22">
    <cfRule type="expression" dxfId="116" priority="62">
      <formula>($D22=$A$2)</formula>
    </cfRule>
    <cfRule type="expression" dxfId="115" priority="63">
      <formula>OR($E22="토",$E22="일")</formula>
    </cfRule>
  </conditionalFormatting>
  <conditionalFormatting sqref="L22:M22">
    <cfRule type="expression" dxfId="114" priority="58">
      <formula>$D22=$A$2</formula>
    </cfRule>
  </conditionalFormatting>
  <conditionalFormatting sqref="L22:M22">
    <cfRule type="expression" dxfId="113" priority="59">
      <formula>($D22=$A$2)</formula>
    </cfRule>
    <cfRule type="expression" dxfId="112" priority="60">
      <formula>OR($E22="토",$E22="일")</formula>
    </cfRule>
  </conditionalFormatting>
  <conditionalFormatting sqref="J22:M22">
    <cfRule type="expression" dxfId="111" priority="55">
      <formula>$D22=$A$2</formula>
    </cfRule>
  </conditionalFormatting>
  <conditionalFormatting sqref="J22:M22">
    <cfRule type="expression" dxfId="110" priority="56">
      <formula>($D22=$A$2)</formula>
    </cfRule>
    <cfRule type="expression" dxfId="109" priority="57">
      <formula>OR($E22="토",$E22="일")</formula>
    </cfRule>
  </conditionalFormatting>
  <conditionalFormatting sqref="L23:M23">
    <cfRule type="expression" dxfId="108" priority="52">
      <formula>$D23=$A$2</formula>
    </cfRule>
  </conditionalFormatting>
  <conditionalFormatting sqref="L23:M23">
    <cfRule type="expression" dxfId="107" priority="53">
      <formula>($D23=$A$2)</formula>
    </cfRule>
    <cfRule type="expression" dxfId="106" priority="54">
      <formula>OR($E23="토",$E23="일")</formula>
    </cfRule>
  </conditionalFormatting>
  <conditionalFormatting sqref="L23:M23">
    <cfRule type="expression" dxfId="105" priority="49">
      <formula>$D23=$A$2</formula>
    </cfRule>
  </conditionalFormatting>
  <conditionalFormatting sqref="L23:M23">
    <cfRule type="expression" dxfId="104" priority="50">
      <formula>($D23=$A$2)</formula>
    </cfRule>
    <cfRule type="expression" dxfId="103" priority="51">
      <formula>OR($E23="토",$E23="일")</formula>
    </cfRule>
  </conditionalFormatting>
  <conditionalFormatting sqref="L23:M23">
    <cfRule type="expression" dxfId="102" priority="46">
      <formula>$D23=$A$2</formula>
    </cfRule>
  </conditionalFormatting>
  <conditionalFormatting sqref="L23:M23">
    <cfRule type="expression" dxfId="101" priority="47">
      <formula>($D23=$A$2)</formula>
    </cfRule>
    <cfRule type="expression" dxfId="100" priority="48">
      <formula>OR($E23="토",$E23="일")</formula>
    </cfRule>
  </conditionalFormatting>
  <conditionalFormatting sqref="J23:M23">
    <cfRule type="expression" dxfId="99" priority="43">
      <formula>$D23=$A$2</formula>
    </cfRule>
  </conditionalFormatting>
  <conditionalFormatting sqref="J23:M23">
    <cfRule type="expression" dxfId="98" priority="44">
      <formula>($D23=$A$2)</formula>
    </cfRule>
    <cfRule type="expression" dxfId="97" priority="45">
      <formula>OR($E23="토",$E23="일")</formula>
    </cfRule>
  </conditionalFormatting>
  <conditionalFormatting sqref="J22:M22">
    <cfRule type="expression" dxfId="96" priority="40">
      <formula>$D22=$A$2</formula>
    </cfRule>
  </conditionalFormatting>
  <conditionalFormatting sqref="J22:M22">
    <cfRule type="expression" dxfId="95" priority="41">
      <formula>($D22=$A$2)</formula>
    </cfRule>
    <cfRule type="expression" dxfId="94" priority="42">
      <formula>OR($E22="토",$E22="일")</formula>
    </cfRule>
  </conditionalFormatting>
  <conditionalFormatting sqref="L24:M24">
    <cfRule type="expression" dxfId="93" priority="37">
      <formula>$D24=$A$2</formula>
    </cfRule>
  </conditionalFormatting>
  <conditionalFormatting sqref="L24:M24">
    <cfRule type="expression" dxfId="92" priority="38">
      <formula>($D24=$A$2)</formula>
    </cfRule>
    <cfRule type="expression" dxfId="91" priority="39">
      <formula>OR($E24="토",$E24="일")</formula>
    </cfRule>
  </conditionalFormatting>
  <conditionalFormatting sqref="L24:M24">
    <cfRule type="expression" dxfId="90" priority="34">
      <formula>$D24=$A$2</formula>
    </cfRule>
  </conditionalFormatting>
  <conditionalFormatting sqref="L24:M24">
    <cfRule type="expression" dxfId="89" priority="35">
      <formula>($D24=$A$2)</formula>
    </cfRule>
    <cfRule type="expression" dxfId="88" priority="36">
      <formula>OR($E24="토",$E24="일")</formula>
    </cfRule>
  </conditionalFormatting>
  <conditionalFormatting sqref="L24:M24">
    <cfRule type="expression" dxfId="87" priority="31">
      <formula>$D24=$A$2</formula>
    </cfRule>
  </conditionalFormatting>
  <conditionalFormatting sqref="L24:M24">
    <cfRule type="expression" dxfId="86" priority="32">
      <formula>($D24=$A$2)</formula>
    </cfRule>
    <cfRule type="expression" dxfId="85" priority="33">
      <formula>OR($E24="토",$E24="일")</formula>
    </cfRule>
  </conditionalFormatting>
  <conditionalFormatting sqref="L24:M24">
    <cfRule type="expression" dxfId="84" priority="28">
      <formula>$D24=$A$2</formula>
    </cfRule>
  </conditionalFormatting>
  <conditionalFormatting sqref="L24:M24">
    <cfRule type="expression" dxfId="83" priority="29">
      <formula>($D24=$A$2)</formula>
    </cfRule>
    <cfRule type="expression" dxfId="82" priority="30">
      <formula>OR($E24="토",$E24="일")</formula>
    </cfRule>
  </conditionalFormatting>
  <conditionalFormatting sqref="L24:M24">
    <cfRule type="expression" dxfId="81" priority="25">
      <formula>$D24=$A$2</formula>
    </cfRule>
  </conditionalFormatting>
  <conditionalFormatting sqref="L24:M24">
    <cfRule type="expression" dxfId="80" priority="26">
      <formula>($D24=$A$2)</formula>
    </cfRule>
    <cfRule type="expression" dxfId="79" priority="27">
      <formula>OR($E24="토",$E24="일")</formula>
    </cfRule>
  </conditionalFormatting>
  <conditionalFormatting sqref="J24:M24">
    <cfRule type="expression" dxfId="78" priority="22">
      <formula>$D24=$A$2</formula>
    </cfRule>
  </conditionalFormatting>
  <conditionalFormatting sqref="J24:M24">
    <cfRule type="expression" dxfId="77" priority="23">
      <formula>($D24=$A$2)</formula>
    </cfRule>
    <cfRule type="expression" dxfId="76" priority="24">
      <formula>OR($E24="토",$E24="일")</formula>
    </cfRule>
  </conditionalFormatting>
  <conditionalFormatting sqref="J24:M24">
    <cfRule type="expression" dxfId="75" priority="19">
      <formula>$D24=$A$2</formula>
    </cfRule>
  </conditionalFormatting>
  <conditionalFormatting sqref="J24:M24">
    <cfRule type="expression" dxfId="74" priority="20">
      <formula>($D24=$A$2)</formula>
    </cfRule>
    <cfRule type="expression" dxfId="73" priority="21">
      <formula>OR($E24="토",$E24="일")</formula>
    </cfRule>
  </conditionalFormatting>
  <conditionalFormatting sqref="L24:M24">
    <cfRule type="expression" dxfId="72" priority="16">
      <formula>$D24=$A$2</formula>
    </cfRule>
  </conditionalFormatting>
  <conditionalFormatting sqref="L24:M24">
    <cfRule type="expression" dxfId="71" priority="17">
      <formula>($D24=$A$2)</formula>
    </cfRule>
    <cfRule type="expression" dxfId="70" priority="18">
      <formula>OR($E24="토",$E24="일")</formula>
    </cfRule>
  </conditionalFormatting>
  <conditionalFormatting sqref="L24:M24">
    <cfRule type="expression" dxfId="69" priority="13">
      <formula>$D24=$A$2</formula>
    </cfRule>
  </conditionalFormatting>
  <conditionalFormatting sqref="L24:M24">
    <cfRule type="expression" dxfId="68" priority="14">
      <formula>($D24=$A$2)</formula>
    </cfRule>
    <cfRule type="expression" dxfId="67" priority="15">
      <formula>OR($E24="토",$E24="일")</formula>
    </cfRule>
  </conditionalFormatting>
  <conditionalFormatting sqref="L24:M24">
    <cfRule type="expression" dxfId="66" priority="10">
      <formula>$D24=$A$2</formula>
    </cfRule>
  </conditionalFormatting>
  <conditionalFormatting sqref="L24:M24">
    <cfRule type="expression" dxfId="65" priority="11">
      <formula>($D24=$A$2)</formula>
    </cfRule>
    <cfRule type="expression" dxfId="64" priority="12">
      <formula>OR($E24="토",$E24="일")</formula>
    </cfRule>
  </conditionalFormatting>
  <conditionalFormatting sqref="J24:M24">
    <cfRule type="expression" dxfId="63" priority="7">
      <formula>$D24=$A$2</formula>
    </cfRule>
  </conditionalFormatting>
  <conditionalFormatting sqref="J24:M24">
    <cfRule type="expression" dxfId="62" priority="8">
      <formula>($D24=$A$2)</formula>
    </cfRule>
    <cfRule type="expression" dxfId="61" priority="9">
      <formula>OR($E24="토",$E24="일")</formula>
    </cfRule>
  </conditionalFormatting>
  <conditionalFormatting sqref="I20">
    <cfRule type="expression" dxfId="60" priority="382">
      <formula>$D21&lt;=$A$2</formula>
    </cfRule>
  </conditionalFormatting>
  <conditionalFormatting sqref="I20">
    <cfRule type="expression" dxfId="59" priority="383">
      <formula>($D21=$A$2)</formula>
    </cfRule>
    <cfRule type="expression" dxfId="58" priority="384">
      <formula>OR($E21="토",$E21="일")</formula>
    </cfRule>
  </conditionalFormatting>
  <conditionalFormatting sqref="I20">
    <cfRule type="expression" dxfId="57" priority="385">
      <formula>$D21=$A$2</formula>
    </cfRule>
  </conditionalFormatting>
  <conditionalFormatting sqref="K20">
    <cfRule type="expression" dxfId="56" priority="4">
      <formula>$D20=$A$2</formula>
    </cfRule>
  </conditionalFormatting>
  <conditionalFormatting sqref="K20">
    <cfRule type="expression" dxfId="55" priority="5">
      <formula>($D20=$A$2)</formula>
    </cfRule>
    <cfRule type="expression" dxfId="54" priority="6">
      <formula>OR($E20="토",$E20="일")</formula>
    </cfRule>
  </conditionalFormatting>
  <conditionalFormatting sqref="K20">
    <cfRule type="expression" dxfId="53" priority="1">
      <formula>$D20=$A$2</formula>
    </cfRule>
  </conditionalFormatting>
  <conditionalFormatting sqref="K20">
    <cfRule type="expression" dxfId="52" priority="2">
      <formula>($D20=$A$2)</formula>
    </cfRule>
    <cfRule type="expression" dxfId="51" priority="3">
      <formula>OR($E20="토",$E20="일")</formula>
    </cfRule>
  </conditionalFormatting>
  <printOptions horizontalCentered="1"/>
  <pageMargins left="0.31496062992125984" right="0.19685039370078741" top="0.19685039370078741" bottom="0" header="0.31496062992125984" footer="0.31496062992125984"/>
  <pageSetup paperSize="9" scale="48" fitToHeight="0" orientation="landscape" r:id="rId1"/>
  <headerFooter alignWithMargins="0"/>
  <rowBreaks count="1" manualBreakCount="1">
    <brk id="104" max="16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D14:H23"/>
  <sheetViews>
    <sheetView showGridLines="0" topLeftCell="A4" workbookViewId="0">
      <selection activeCell="H15" sqref="H15"/>
    </sheetView>
  </sheetViews>
  <sheetFormatPr defaultRowHeight="16.5" x14ac:dyDescent="0.3"/>
  <cols>
    <col min="4" max="4" width="9" style="139"/>
    <col min="6" max="6" width="15.125" customWidth="1"/>
    <col min="7" max="7" width="40.625" customWidth="1"/>
    <col min="8" max="8" width="31.875" customWidth="1"/>
  </cols>
  <sheetData>
    <row r="14" spans="4:8" x14ac:dyDescent="0.3">
      <c r="D14" s="140" t="s">
        <v>28</v>
      </c>
      <c r="E14" s="141" t="s">
        <v>29</v>
      </c>
      <c r="F14" s="141" t="s">
        <v>29</v>
      </c>
      <c r="G14" s="141" t="s">
        <v>3</v>
      </c>
      <c r="H14" s="142" t="s">
        <v>30</v>
      </c>
    </row>
    <row r="15" spans="4:8" ht="18.75" x14ac:dyDescent="0.3">
      <c r="D15" s="143" t="s">
        <v>27</v>
      </c>
      <c r="E15" s="144">
        <v>4</v>
      </c>
      <c r="F15" s="17">
        <v>45898</v>
      </c>
      <c r="G15" s="35" t="s">
        <v>19</v>
      </c>
      <c r="H15" s="130" t="s">
        <v>25</v>
      </c>
    </row>
    <row r="16" spans="4:8" ht="18.75" x14ac:dyDescent="0.3">
      <c r="D16" s="145">
        <v>45905</v>
      </c>
      <c r="E16" s="144">
        <v>1</v>
      </c>
      <c r="F16" s="17">
        <v>45905</v>
      </c>
      <c r="G16" s="35"/>
      <c r="H16" s="130"/>
    </row>
    <row r="17" spans="4:8" ht="18.75" x14ac:dyDescent="0.3">
      <c r="D17" s="143"/>
      <c r="E17" s="144">
        <v>2</v>
      </c>
      <c r="F17" s="17">
        <v>45912</v>
      </c>
      <c r="G17" s="35"/>
      <c r="H17" s="130" t="s">
        <v>23</v>
      </c>
    </row>
    <row r="18" spans="4:8" ht="18.75" x14ac:dyDescent="0.3">
      <c r="D18" s="143"/>
      <c r="E18" s="144">
        <v>3</v>
      </c>
      <c r="F18" s="17">
        <v>45919</v>
      </c>
      <c r="G18" s="35"/>
      <c r="H18" s="130"/>
    </row>
    <row r="19" spans="4:8" ht="18.75" x14ac:dyDescent="0.3">
      <c r="D19" s="143"/>
      <c r="E19" s="144">
        <v>4</v>
      </c>
      <c r="F19" s="17">
        <v>45926</v>
      </c>
      <c r="G19" s="35"/>
      <c r="H19" s="130" t="s">
        <v>24</v>
      </c>
    </row>
    <row r="20" spans="4:8" ht="18.75" x14ac:dyDescent="0.3">
      <c r="D20" s="145">
        <v>45933</v>
      </c>
      <c r="E20" s="144">
        <v>1</v>
      </c>
      <c r="F20" s="17">
        <v>45933</v>
      </c>
      <c r="G20" s="35"/>
      <c r="H20" s="130"/>
    </row>
    <row r="21" spans="4:8" ht="18.75" x14ac:dyDescent="0.3">
      <c r="D21" s="143"/>
      <c r="E21" s="144">
        <v>2</v>
      </c>
      <c r="F21" s="17">
        <v>45940</v>
      </c>
      <c r="G21" s="35"/>
      <c r="H21" s="130"/>
    </row>
    <row r="22" spans="4:8" ht="18.75" x14ac:dyDescent="0.3">
      <c r="D22" s="143"/>
      <c r="E22" s="144">
        <v>3</v>
      </c>
      <c r="F22" s="17">
        <v>45947</v>
      </c>
      <c r="G22" s="35"/>
      <c r="H22" s="130" t="s">
        <v>22</v>
      </c>
    </row>
    <row r="23" spans="4:8" ht="18.75" x14ac:dyDescent="0.3">
      <c r="D23" s="146"/>
      <c r="E23" s="147">
        <v>4</v>
      </c>
      <c r="F23" s="148">
        <v>45954</v>
      </c>
      <c r="G23" s="149" t="s">
        <v>21</v>
      </c>
      <c r="H23" s="150" t="s">
        <v>26</v>
      </c>
    </row>
  </sheetData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Q189"/>
  <sheetViews>
    <sheetView showGridLines="0" tabSelected="1" view="pageBreakPreview" zoomScale="70" zoomScaleNormal="70" zoomScaleSheetLayoutView="70" workbookViewId="0">
      <pane xSplit="4" ySplit="6" topLeftCell="E7" activePane="bottomRight" state="frozen"/>
      <selection activeCell="M20" sqref="M20"/>
      <selection pane="topRight" activeCell="M20" sqref="M20"/>
      <selection pane="bottomLeft" activeCell="M20" sqref="M20"/>
      <selection pane="bottomRight" activeCell="J7" sqref="J7"/>
    </sheetView>
  </sheetViews>
  <sheetFormatPr defaultColWidth="9" defaultRowHeight="18.75" outlineLevelRow="1" x14ac:dyDescent="0.3"/>
  <cols>
    <col min="1" max="1" width="10.125" style="1" bestFit="1" customWidth="1"/>
    <col min="2" max="2" width="8.625" style="13" customWidth="1"/>
    <col min="3" max="3" width="17.625" style="5" bestFit="1" customWidth="1"/>
    <col min="4" max="4" width="4.5" style="6" bestFit="1" customWidth="1"/>
    <col min="5" max="5" width="25.625" style="6" customWidth="1"/>
    <col min="6" max="6" width="43.125" style="34" customWidth="1"/>
    <col min="7" max="8" width="40.625" style="7" customWidth="1"/>
    <col min="9" max="9" width="43.875" style="7" customWidth="1"/>
    <col min="10" max="10" width="40.625" style="7" customWidth="1"/>
    <col min="11" max="11" width="32.375" style="34" customWidth="1"/>
    <col min="12" max="12" width="39" style="7" customWidth="1"/>
    <col min="13" max="16384" width="9" style="1"/>
  </cols>
  <sheetData>
    <row r="1" spans="1:17" ht="19.149999999999999" customHeight="1" x14ac:dyDescent="0.3">
      <c r="A1" s="229" t="s">
        <v>153</v>
      </c>
      <c r="B1" s="229"/>
      <c r="C1" s="229"/>
      <c r="D1" s="40"/>
      <c r="E1" s="191"/>
      <c r="F1" s="10"/>
      <c r="G1" s="10"/>
      <c r="H1" s="27"/>
      <c r="I1" s="10"/>
      <c r="J1" s="10"/>
      <c r="K1" s="10"/>
      <c r="L1" s="10"/>
      <c r="O1" s="227"/>
      <c r="P1" s="227"/>
      <c r="Q1" s="227"/>
    </row>
    <row r="2" spans="1:17" ht="21" customHeight="1" x14ac:dyDescent="0.45">
      <c r="A2" s="228">
        <f ca="1">TODAY()</f>
        <v>46245</v>
      </c>
      <c r="B2" s="228"/>
      <c r="C2" s="228"/>
      <c r="D2" s="41"/>
      <c r="E2" s="203"/>
      <c r="F2" s="10"/>
      <c r="G2" s="10"/>
      <c r="H2" s="27"/>
      <c r="I2" s="10"/>
      <c r="J2" s="10"/>
      <c r="K2" s="10"/>
      <c r="L2" s="10"/>
      <c r="O2" s="228"/>
      <c r="P2" s="228"/>
      <c r="Q2" s="10"/>
    </row>
    <row r="3" spans="1:17" ht="6" customHeight="1" x14ac:dyDescent="0.3">
      <c r="C3" s="2"/>
      <c r="D3" s="3"/>
      <c r="E3" s="3"/>
      <c r="F3" s="30"/>
      <c r="G3" s="3"/>
      <c r="H3" s="28"/>
      <c r="I3" s="3"/>
      <c r="J3" s="3"/>
      <c r="K3" s="30"/>
      <c r="L3" s="3"/>
    </row>
    <row r="4" spans="1:17" ht="25.5" customHeight="1" x14ac:dyDescent="0.3">
      <c r="A4" s="230" t="s">
        <v>2</v>
      </c>
      <c r="B4" s="223"/>
      <c r="C4" s="223" t="s">
        <v>0</v>
      </c>
      <c r="D4" s="223"/>
      <c r="E4" s="11" t="str">
        <f>'일정 및 To-do List (주차별)'!G4</f>
        <v>주요일정</v>
      </c>
      <c r="F4" s="12" t="str">
        <f>'일정 및 To-do List (주차별)'!H4</f>
        <v>투자관련</v>
      </c>
      <c r="G4" s="12" t="str">
        <f>'일정 및 To-do List (주차별)'!I4</f>
        <v>대출약정관련</v>
      </c>
      <c r="H4" s="29" t="str">
        <f>'일정 및 To-do List (주차별)'!K4</f>
        <v>안양PFV</v>
      </c>
      <c r="I4" s="12" t="str">
        <f>'일정 및 To-do List (주차별)'!L4</f>
        <v>코크렙 ##호</v>
      </c>
      <c r="J4" s="12" t="str">
        <f>'일정 및 To-do List (주차별)'!M4</f>
        <v>KLI리츠</v>
      </c>
      <c r="K4" s="42"/>
      <c r="L4" s="12"/>
    </row>
    <row r="5" spans="1:17" x14ac:dyDescent="0.3">
      <c r="A5" s="231"/>
      <c r="B5" s="224"/>
      <c r="C5" s="224"/>
      <c r="D5" s="224"/>
      <c r="E5" s="11"/>
      <c r="F5" s="199" t="str">
        <f>'일정 및 To-do List (주차별)'!H5</f>
        <v>우리투자증권, 삼성증권, LF</v>
      </c>
      <c r="G5" s="199" t="str">
        <f>'일정 및 To-do List (주차별)'!I5</f>
        <v>우리은행 등</v>
      </c>
      <c r="H5" s="200" t="str">
        <f>'일정 및 To-do List (주차별)'!K5</f>
        <v>매도인</v>
      </c>
      <c r="I5" s="199" t="str">
        <f>'일정 및 To-do List (주차별)'!L5</f>
        <v>매수인 &amp; 임대인</v>
      </c>
      <c r="J5" s="199" t="str">
        <f>'일정 및 To-do List (주차별)'!M5</f>
        <v>투자자</v>
      </c>
      <c r="K5" s="58"/>
      <c r="L5" s="11"/>
    </row>
    <row r="6" spans="1:17" ht="79.5" customHeight="1" x14ac:dyDescent="0.3">
      <c r="A6" s="232"/>
      <c r="B6" s="226"/>
      <c r="C6" s="225" t="s">
        <v>1</v>
      </c>
      <c r="D6" s="226"/>
      <c r="E6" s="190"/>
      <c r="F6" s="76" t="str">
        <f>'일정 및 To-do List (주차별)'!H6</f>
        <v>주주간계약
매입확약서 및 매도확약서 확정</v>
      </c>
      <c r="G6" s="76" t="str">
        <f>'일정 및 To-do List (주차별)'!I6</f>
        <v>선순위, 중순위 참여 대주 결정
담보신탁 및 자산보관 협의
심사일정 8월내 가능 여부 문의</v>
      </c>
      <c r="H6" s="4" t="s">
        <v>109</v>
      </c>
      <c r="I6" s="76" t="s">
        <v>182</v>
      </c>
      <c r="J6" s="76" t="s">
        <v>185</v>
      </c>
      <c r="K6" s="76">
        <f>'일정 및 To-do List (주차별)'!N6</f>
        <v>0</v>
      </c>
      <c r="L6" s="76"/>
    </row>
    <row r="7" spans="1:17" outlineLevel="1" x14ac:dyDescent="0.3">
      <c r="A7" s="71"/>
      <c r="B7" s="72"/>
      <c r="C7" s="15">
        <v>46230</v>
      </c>
      <c r="D7" s="16" t="str">
        <f t="shared" ref="D7:D48" si="0">TEXT(C7,"aaa")</f>
        <v>월</v>
      </c>
      <c r="E7" s="204"/>
      <c r="F7" s="31"/>
      <c r="G7" s="31"/>
      <c r="H7" s="31"/>
      <c r="I7" s="31"/>
      <c r="J7" s="31"/>
      <c r="K7" s="43"/>
      <c r="L7" s="4"/>
    </row>
    <row r="8" spans="1:17" outlineLevel="1" x14ac:dyDescent="0.3">
      <c r="A8" s="47">
        <f>C8</f>
        <v>46231</v>
      </c>
      <c r="B8" s="72"/>
      <c r="C8" s="17">
        <f t="shared" ref="C8:C41" si="1">C7+1</f>
        <v>46231</v>
      </c>
      <c r="D8" s="18" t="str">
        <f t="shared" si="0"/>
        <v>화</v>
      </c>
      <c r="E8" s="18"/>
      <c r="F8" s="32"/>
      <c r="G8" s="32"/>
      <c r="H8" s="32"/>
      <c r="I8" s="32"/>
      <c r="J8" s="32"/>
      <c r="K8" s="44"/>
      <c r="L8" s="4"/>
    </row>
    <row r="9" spans="1:17" outlineLevel="1" x14ac:dyDescent="0.3">
      <c r="B9" s="73"/>
      <c r="C9" s="17">
        <f t="shared" si="1"/>
        <v>46232</v>
      </c>
      <c r="D9" s="18" t="str">
        <f t="shared" si="0"/>
        <v>수</v>
      </c>
      <c r="E9" s="18"/>
      <c r="F9" s="32"/>
      <c r="G9" s="32"/>
      <c r="H9" s="32"/>
      <c r="I9" s="32"/>
      <c r="J9" s="32"/>
      <c r="K9" s="44"/>
      <c r="L9" s="4"/>
    </row>
    <row r="10" spans="1:17" outlineLevel="1" x14ac:dyDescent="0.3">
      <c r="B10" s="73"/>
      <c r="C10" s="17">
        <f t="shared" si="1"/>
        <v>46233</v>
      </c>
      <c r="D10" s="18" t="str">
        <f t="shared" si="0"/>
        <v>목</v>
      </c>
      <c r="E10" s="205"/>
      <c r="F10" s="32"/>
      <c r="G10" s="32"/>
      <c r="H10" s="32"/>
      <c r="I10" s="32" t="s">
        <v>112</v>
      </c>
      <c r="J10" s="32"/>
      <c r="K10" s="44"/>
      <c r="L10" s="4"/>
    </row>
    <row r="11" spans="1:17" outlineLevel="1" x14ac:dyDescent="0.3">
      <c r="B11" s="73"/>
      <c r="C11" s="17">
        <f t="shared" si="1"/>
        <v>46234</v>
      </c>
      <c r="D11" s="18" t="str">
        <f t="shared" si="0"/>
        <v>금</v>
      </c>
      <c r="E11" s="206"/>
      <c r="F11" s="32" t="s">
        <v>110</v>
      </c>
      <c r="G11" s="32" t="s">
        <v>111</v>
      </c>
      <c r="H11" s="32"/>
      <c r="I11" s="32"/>
      <c r="J11" s="32"/>
      <c r="K11" s="44"/>
      <c r="L11" s="4"/>
    </row>
    <row r="12" spans="1:17" outlineLevel="1" x14ac:dyDescent="0.3">
      <c r="B12" s="73"/>
      <c r="C12" s="17">
        <f t="shared" si="1"/>
        <v>46235</v>
      </c>
      <c r="D12" s="18" t="str">
        <f t="shared" si="0"/>
        <v>토</v>
      </c>
      <c r="E12" s="206"/>
      <c r="F12" s="32"/>
      <c r="G12" s="32"/>
      <c r="H12" s="32"/>
      <c r="I12" s="32"/>
      <c r="J12" s="32"/>
      <c r="K12" s="45"/>
      <c r="L12" s="4"/>
    </row>
    <row r="13" spans="1:17" outlineLevel="1" x14ac:dyDescent="0.3">
      <c r="A13" s="47">
        <f>C15</f>
        <v>46238</v>
      </c>
      <c r="B13" s="72"/>
      <c r="C13" s="17">
        <f t="shared" si="1"/>
        <v>46236</v>
      </c>
      <c r="D13" s="18" t="str">
        <f t="shared" si="0"/>
        <v>일</v>
      </c>
      <c r="E13" s="205"/>
      <c r="F13" s="32"/>
      <c r="G13" s="32"/>
      <c r="H13" s="32"/>
      <c r="I13" s="32"/>
      <c r="J13" s="32"/>
      <c r="K13" s="44"/>
      <c r="L13" s="4"/>
    </row>
    <row r="14" spans="1:17" outlineLevel="1" x14ac:dyDescent="0.3">
      <c r="B14" s="73"/>
      <c r="C14" s="17">
        <f t="shared" si="1"/>
        <v>46237</v>
      </c>
      <c r="D14" s="18" t="str">
        <f t="shared" si="0"/>
        <v>월</v>
      </c>
      <c r="E14" s="205"/>
      <c r="F14" s="32"/>
      <c r="G14" s="32"/>
      <c r="H14" s="32"/>
      <c r="I14" s="32"/>
      <c r="J14" s="32"/>
      <c r="K14" s="44"/>
      <c r="L14" s="4"/>
    </row>
    <row r="15" spans="1:17" outlineLevel="1" x14ac:dyDescent="0.3">
      <c r="B15" s="63"/>
      <c r="C15" s="17">
        <f t="shared" si="1"/>
        <v>46238</v>
      </c>
      <c r="D15" s="18" t="str">
        <f t="shared" si="0"/>
        <v>화</v>
      </c>
      <c r="E15" s="205"/>
      <c r="F15" s="32"/>
      <c r="G15" s="32"/>
      <c r="H15" s="32"/>
      <c r="I15" s="32"/>
      <c r="J15" s="32"/>
      <c r="K15" s="44"/>
      <c r="L15" s="4"/>
    </row>
    <row r="16" spans="1:17" outlineLevel="1" x14ac:dyDescent="0.3">
      <c r="B16" s="73"/>
      <c r="C16" s="17">
        <f t="shared" si="1"/>
        <v>46239</v>
      </c>
      <c r="D16" s="18" t="str">
        <f t="shared" si="0"/>
        <v>수</v>
      </c>
      <c r="E16" s="207"/>
      <c r="F16" s="32"/>
      <c r="G16" s="32"/>
      <c r="H16" s="32" t="s">
        <v>113</v>
      </c>
      <c r="I16" s="32" t="s">
        <v>137</v>
      </c>
      <c r="J16" s="32"/>
      <c r="K16" s="44"/>
      <c r="L16" s="4"/>
    </row>
    <row r="17" spans="1:12" outlineLevel="1" x14ac:dyDescent="0.3">
      <c r="B17" s="73"/>
      <c r="C17" s="17">
        <f t="shared" si="1"/>
        <v>46240</v>
      </c>
      <c r="D17" s="18" t="str">
        <f t="shared" si="0"/>
        <v>목</v>
      </c>
      <c r="E17" s="18"/>
      <c r="F17" s="32"/>
      <c r="G17" s="32"/>
      <c r="H17" s="32"/>
      <c r="I17" s="32"/>
      <c r="J17" s="32"/>
      <c r="K17" s="44"/>
      <c r="L17" s="4"/>
    </row>
    <row r="18" spans="1:12" outlineLevel="1" x14ac:dyDescent="0.3">
      <c r="B18" s="73"/>
      <c r="C18" s="17">
        <f t="shared" si="1"/>
        <v>46241</v>
      </c>
      <c r="D18" s="18" t="str">
        <f t="shared" si="0"/>
        <v>금</v>
      </c>
      <c r="E18" s="208"/>
      <c r="F18" s="32"/>
      <c r="G18" s="32"/>
      <c r="H18" s="32"/>
      <c r="I18" s="32"/>
      <c r="J18" s="32"/>
      <c r="K18" s="44"/>
      <c r="L18" s="4"/>
    </row>
    <row r="19" spans="1:12" outlineLevel="1" x14ac:dyDescent="0.3">
      <c r="B19" s="73"/>
      <c r="C19" s="17">
        <f t="shared" si="1"/>
        <v>46242</v>
      </c>
      <c r="D19" s="18" t="str">
        <f t="shared" si="0"/>
        <v>토</v>
      </c>
      <c r="E19" s="18"/>
      <c r="F19" s="81"/>
      <c r="G19" s="81"/>
      <c r="H19" s="81"/>
      <c r="I19" s="81"/>
      <c r="J19" s="81"/>
      <c r="K19" s="44"/>
      <c r="L19" s="4"/>
    </row>
    <row r="20" spans="1:12" outlineLevel="1" x14ac:dyDescent="0.3">
      <c r="A20" s="47">
        <f>C22</f>
        <v>46245</v>
      </c>
      <c r="B20" s="72"/>
      <c r="C20" s="17">
        <f t="shared" si="1"/>
        <v>46243</v>
      </c>
      <c r="D20" s="18" t="str">
        <f t="shared" si="0"/>
        <v>일</v>
      </c>
      <c r="E20" s="205"/>
      <c r="F20" s="32"/>
      <c r="G20" s="32"/>
      <c r="H20" s="32"/>
      <c r="I20" s="32"/>
      <c r="J20" s="32"/>
      <c r="K20" s="44"/>
      <c r="L20" s="4"/>
    </row>
    <row r="21" spans="1:12" outlineLevel="1" x14ac:dyDescent="0.3">
      <c r="B21" s="73"/>
      <c r="C21" s="20">
        <f t="shared" si="1"/>
        <v>46244</v>
      </c>
      <c r="D21" s="21" t="str">
        <f t="shared" si="0"/>
        <v>월</v>
      </c>
      <c r="E21" s="205" t="str">
        <f>H21</f>
        <v>숏리스트 인터뷰 진행</v>
      </c>
      <c r="F21" s="32"/>
      <c r="G21" s="32"/>
      <c r="H21" s="32" t="s">
        <v>114</v>
      </c>
      <c r="I21" s="32" t="s">
        <v>114</v>
      </c>
      <c r="J21" s="32"/>
      <c r="K21" s="44"/>
      <c r="L21" s="4"/>
    </row>
    <row r="22" spans="1:12" outlineLevel="1" x14ac:dyDescent="0.3">
      <c r="B22" s="73"/>
      <c r="C22" s="17">
        <f t="shared" si="1"/>
        <v>46245</v>
      </c>
      <c r="D22" s="18" t="str">
        <f t="shared" si="0"/>
        <v>화</v>
      </c>
      <c r="E22" s="205"/>
      <c r="F22" s="32"/>
      <c r="G22" s="32"/>
      <c r="H22" s="32"/>
      <c r="I22" s="32"/>
      <c r="J22" s="32"/>
      <c r="K22" s="44"/>
      <c r="L22" s="4"/>
    </row>
    <row r="23" spans="1:12" outlineLevel="1" x14ac:dyDescent="0.3">
      <c r="B23" s="73"/>
      <c r="C23" s="17">
        <f t="shared" si="1"/>
        <v>46246</v>
      </c>
      <c r="D23" s="18" t="str">
        <f t="shared" si="0"/>
        <v>수</v>
      </c>
      <c r="E23" s="207"/>
      <c r="F23" s="32"/>
      <c r="G23" s="32"/>
      <c r="H23" s="32"/>
      <c r="I23" s="32"/>
      <c r="J23" s="32"/>
      <c r="K23" s="44"/>
      <c r="L23" s="4"/>
    </row>
    <row r="24" spans="1:12" ht="37.5" outlineLevel="1" x14ac:dyDescent="0.3">
      <c r="B24" s="73"/>
      <c r="C24" s="17">
        <f t="shared" si="1"/>
        <v>46247</v>
      </c>
      <c r="D24" s="18" t="str">
        <f t="shared" si="0"/>
        <v>목</v>
      </c>
      <c r="E24" s="205"/>
      <c r="F24" s="32"/>
      <c r="G24" s="32"/>
      <c r="H24" s="32"/>
      <c r="I24" s="32" t="s">
        <v>154</v>
      </c>
      <c r="J24" s="32"/>
      <c r="K24" s="44"/>
      <c r="L24" s="4"/>
    </row>
    <row r="25" spans="1:12" outlineLevel="1" x14ac:dyDescent="0.3">
      <c r="B25" s="73"/>
      <c r="C25" s="77">
        <f t="shared" si="1"/>
        <v>46248</v>
      </c>
      <c r="D25" s="78" t="str">
        <f t="shared" si="0"/>
        <v>금</v>
      </c>
      <c r="E25" s="209" t="s">
        <v>115</v>
      </c>
      <c r="F25" s="201"/>
      <c r="G25" s="201"/>
      <c r="H25" s="201"/>
      <c r="I25" s="201"/>
      <c r="J25" s="201"/>
      <c r="K25" s="44"/>
      <c r="L25" s="4"/>
    </row>
    <row r="26" spans="1:12" s="9" customFormat="1" outlineLevel="1" x14ac:dyDescent="0.3">
      <c r="A26" s="1"/>
      <c r="B26" s="73"/>
      <c r="C26" s="20">
        <f t="shared" si="1"/>
        <v>46249</v>
      </c>
      <c r="D26" s="21" t="str">
        <f t="shared" si="0"/>
        <v>토</v>
      </c>
      <c r="E26" s="210"/>
      <c r="F26" s="32"/>
      <c r="G26" s="32"/>
      <c r="H26" s="32"/>
      <c r="I26" s="32"/>
      <c r="J26" s="32"/>
      <c r="K26" s="46"/>
      <c r="L26" s="8"/>
    </row>
    <row r="27" spans="1:12" outlineLevel="1" x14ac:dyDescent="0.3">
      <c r="A27" s="47">
        <f>C29</f>
        <v>46252</v>
      </c>
      <c r="B27" s="72"/>
      <c r="C27" s="17">
        <f t="shared" si="1"/>
        <v>46250</v>
      </c>
      <c r="D27" s="18" t="str">
        <f t="shared" si="0"/>
        <v>일</v>
      </c>
      <c r="E27" s="205"/>
      <c r="F27" s="32"/>
      <c r="G27" s="32"/>
      <c r="H27" s="32"/>
      <c r="I27" s="32"/>
      <c r="J27" s="32"/>
      <c r="K27" s="44"/>
      <c r="L27" s="4"/>
    </row>
    <row r="28" spans="1:12" outlineLevel="1" x14ac:dyDescent="0.3">
      <c r="B28" s="73"/>
      <c r="C28" s="77">
        <f t="shared" si="1"/>
        <v>46251</v>
      </c>
      <c r="D28" s="78" t="str">
        <f t="shared" si="0"/>
        <v>월</v>
      </c>
      <c r="E28" s="209" t="s">
        <v>116</v>
      </c>
      <c r="F28" s="201"/>
      <c r="G28" s="201"/>
      <c r="H28" s="201"/>
      <c r="I28" s="201"/>
      <c r="J28" s="201"/>
      <c r="K28" s="44"/>
      <c r="L28" s="4"/>
    </row>
    <row r="29" spans="1:12" ht="37.5" outlineLevel="1" x14ac:dyDescent="0.3">
      <c r="B29" s="73"/>
      <c r="C29" s="237">
        <f t="shared" si="1"/>
        <v>46252</v>
      </c>
      <c r="D29" s="238" t="str">
        <f t="shared" si="0"/>
        <v>화</v>
      </c>
      <c r="E29" s="239" t="str">
        <f>H29</f>
        <v>우협선정 및 통지</v>
      </c>
      <c r="F29" s="240"/>
      <c r="G29" s="240" t="s">
        <v>122</v>
      </c>
      <c r="H29" s="240" t="s">
        <v>119</v>
      </c>
      <c r="I29" s="240" t="s">
        <v>163</v>
      </c>
      <c r="J29" s="240"/>
      <c r="K29" s="241"/>
      <c r="L29" s="4"/>
    </row>
    <row r="30" spans="1:12" outlineLevel="1" x14ac:dyDescent="0.3">
      <c r="B30" s="73"/>
      <c r="C30" s="17">
        <f t="shared" si="1"/>
        <v>46253</v>
      </c>
      <c r="D30" s="18" t="str">
        <f t="shared" si="0"/>
        <v>수</v>
      </c>
      <c r="E30" s="207"/>
      <c r="F30" s="32"/>
      <c r="G30" s="32"/>
      <c r="H30" s="32"/>
      <c r="I30" s="32"/>
      <c r="J30" s="32"/>
      <c r="K30" s="44"/>
      <c r="L30" s="4"/>
    </row>
    <row r="31" spans="1:12" s="242" customFormat="1" outlineLevel="1" x14ac:dyDescent="0.3">
      <c r="B31" s="243"/>
      <c r="C31" s="237">
        <f t="shared" si="1"/>
        <v>46254</v>
      </c>
      <c r="D31" s="238" t="str">
        <f t="shared" si="0"/>
        <v>목</v>
      </c>
      <c r="E31" s="238"/>
      <c r="F31" s="240"/>
      <c r="G31" s="240"/>
      <c r="H31" s="240"/>
      <c r="I31" s="240" t="s">
        <v>156</v>
      </c>
      <c r="J31" s="240"/>
      <c r="K31" s="241"/>
      <c r="L31" s="244"/>
    </row>
    <row r="32" spans="1:12" outlineLevel="1" x14ac:dyDescent="0.3">
      <c r="B32" s="73"/>
      <c r="C32" s="17">
        <f t="shared" si="1"/>
        <v>46255</v>
      </c>
      <c r="D32" s="18" t="str">
        <f t="shared" si="0"/>
        <v>금</v>
      </c>
      <c r="E32" s="205"/>
      <c r="F32" s="32"/>
      <c r="G32" s="32"/>
      <c r="H32" s="32"/>
      <c r="I32" s="32"/>
      <c r="J32" s="32" t="s">
        <v>152</v>
      </c>
      <c r="K32" s="44"/>
      <c r="L32" s="4"/>
    </row>
    <row r="33" spans="1:15" outlineLevel="1" x14ac:dyDescent="0.3">
      <c r="B33" s="73"/>
      <c r="C33" s="17">
        <f t="shared" si="1"/>
        <v>46256</v>
      </c>
      <c r="D33" s="18" t="str">
        <f t="shared" si="0"/>
        <v>토</v>
      </c>
      <c r="E33" s="205"/>
      <c r="F33" s="19"/>
      <c r="G33" s="19"/>
      <c r="H33" s="19"/>
      <c r="I33" s="19"/>
      <c r="J33" s="19"/>
      <c r="K33" s="44"/>
      <c r="L33" s="4"/>
    </row>
    <row r="34" spans="1:15" outlineLevel="1" x14ac:dyDescent="0.3">
      <c r="A34" s="47">
        <f>C36</f>
        <v>46259</v>
      </c>
      <c r="B34" s="72"/>
      <c r="C34" s="17">
        <f t="shared" si="1"/>
        <v>46257</v>
      </c>
      <c r="D34" s="18" t="str">
        <f t="shared" si="0"/>
        <v>일</v>
      </c>
      <c r="E34" s="205"/>
      <c r="F34" s="32"/>
      <c r="G34" s="32"/>
      <c r="H34" s="32"/>
      <c r="I34" s="32"/>
      <c r="J34" s="32"/>
      <c r="K34" s="44"/>
      <c r="L34" s="4"/>
    </row>
    <row r="35" spans="1:15" ht="56.25" outlineLevel="1" x14ac:dyDescent="0.3">
      <c r="B35" s="73"/>
      <c r="C35" s="251">
        <f t="shared" si="1"/>
        <v>46258</v>
      </c>
      <c r="D35" s="252" t="str">
        <f t="shared" si="0"/>
        <v>월</v>
      </c>
      <c r="E35" s="252" t="s">
        <v>139</v>
      </c>
      <c r="F35" s="253"/>
      <c r="G35" s="253"/>
      <c r="H35" s="253"/>
      <c r="I35" s="253" t="s">
        <v>172</v>
      </c>
      <c r="J35" s="253"/>
      <c r="K35" s="44"/>
      <c r="L35" s="4"/>
    </row>
    <row r="36" spans="1:15" outlineLevel="1" x14ac:dyDescent="0.3">
      <c r="B36" s="73"/>
      <c r="C36" s="17">
        <f t="shared" si="1"/>
        <v>46259</v>
      </c>
      <c r="D36" s="18" t="str">
        <f t="shared" si="0"/>
        <v>화</v>
      </c>
      <c r="E36" s="205"/>
      <c r="F36" s="19"/>
      <c r="G36" s="19"/>
      <c r="H36" s="19"/>
      <c r="I36" s="19"/>
      <c r="J36" s="19"/>
      <c r="K36" s="44"/>
      <c r="L36" s="4"/>
      <c r="O36" s="1">
        <v>1860</v>
      </c>
    </row>
    <row r="37" spans="1:15" ht="37.5" outlineLevel="1" x14ac:dyDescent="0.3">
      <c r="B37" s="73"/>
      <c r="C37" s="17">
        <f t="shared" si="1"/>
        <v>46260</v>
      </c>
      <c r="D37" s="18" t="str">
        <f t="shared" si="0"/>
        <v>수</v>
      </c>
      <c r="E37" s="205"/>
      <c r="F37" s="19"/>
      <c r="G37" s="19"/>
      <c r="H37" s="19"/>
      <c r="I37" s="19"/>
      <c r="J37" s="19" t="s">
        <v>120</v>
      </c>
      <c r="K37" s="44"/>
      <c r="L37" s="4"/>
      <c r="O37" s="1">
        <v>465</v>
      </c>
    </row>
    <row r="38" spans="1:15" ht="75" outlineLevel="1" x14ac:dyDescent="0.3">
      <c r="B38" s="73"/>
      <c r="C38" s="17">
        <f t="shared" si="1"/>
        <v>46261</v>
      </c>
      <c r="D38" s="18" t="str">
        <f t="shared" si="0"/>
        <v>목</v>
      </c>
      <c r="E38" s="205" t="s">
        <v>155</v>
      </c>
      <c r="F38" s="19" t="s">
        <v>176</v>
      </c>
      <c r="G38" s="19"/>
      <c r="H38" s="19" t="s">
        <v>168</v>
      </c>
      <c r="I38" s="202" t="s">
        <v>167</v>
      </c>
      <c r="J38" s="32" t="s">
        <v>183</v>
      </c>
      <c r="K38" s="44"/>
      <c r="L38" s="4"/>
      <c r="O38" s="1">
        <v>70</v>
      </c>
    </row>
    <row r="39" spans="1:15" outlineLevel="1" x14ac:dyDescent="0.3">
      <c r="B39" s="73"/>
      <c r="C39" s="17">
        <f t="shared" si="1"/>
        <v>46262</v>
      </c>
      <c r="D39" s="18" t="str">
        <f t="shared" si="0"/>
        <v>금</v>
      </c>
      <c r="E39" s="205"/>
      <c r="F39" s="59"/>
      <c r="G39" s="59"/>
      <c r="H39" s="19"/>
      <c r="I39" s="59" t="s">
        <v>128</v>
      </c>
      <c r="J39" s="59"/>
      <c r="K39" s="44"/>
      <c r="L39" s="4"/>
    </row>
    <row r="40" spans="1:15" outlineLevel="1" x14ac:dyDescent="0.3">
      <c r="B40" s="73"/>
      <c r="C40" s="17">
        <f t="shared" si="1"/>
        <v>46263</v>
      </c>
      <c r="D40" s="18" t="str">
        <f t="shared" si="0"/>
        <v>토</v>
      </c>
      <c r="E40" s="210"/>
      <c r="F40" s="32"/>
      <c r="G40" s="32"/>
      <c r="H40" s="32"/>
      <c r="I40" s="32"/>
      <c r="J40" s="32"/>
      <c r="K40" s="44"/>
      <c r="L40" s="4"/>
    </row>
    <row r="41" spans="1:15" outlineLevel="1" x14ac:dyDescent="0.3">
      <c r="A41" s="47">
        <f>C41</f>
        <v>46264</v>
      </c>
      <c r="B41" s="72"/>
      <c r="C41" s="17">
        <f t="shared" si="1"/>
        <v>46264</v>
      </c>
      <c r="D41" s="18" t="str">
        <f t="shared" si="0"/>
        <v>일</v>
      </c>
      <c r="E41" s="186"/>
      <c r="F41" s="32"/>
      <c r="G41" s="32"/>
      <c r="H41" s="32"/>
      <c r="I41" s="32"/>
      <c r="J41" s="32"/>
      <c r="K41" s="44"/>
      <c r="L41" s="4"/>
    </row>
    <row r="42" spans="1:15" outlineLevel="1" x14ac:dyDescent="0.3">
      <c r="B42" s="73"/>
      <c r="C42" s="17">
        <f t="shared" ref="C42:C105" si="2">C41+1</f>
        <v>46265</v>
      </c>
      <c r="D42" s="18" t="str">
        <f t="shared" si="0"/>
        <v>월</v>
      </c>
      <c r="E42" s="205"/>
      <c r="F42" s="32"/>
      <c r="G42" s="32"/>
      <c r="H42" s="32" t="s">
        <v>127</v>
      </c>
      <c r="I42" s="32"/>
      <c r="J42" s="32"/>
      <c r="K42" s="44"/>
      <c r="L42" s="4"/>
    </row>
    <row r="43" spans="1:15" outlineLevel="1" x14ac:dyDescent="0.3">
      <c r="B43" s="73"/>
      <c r="C43" s="17">
        <f t="shared" si="2"/>
        <v>46266</v>
      </c>
      <c r="D43" s="18" t="str">
        <f t="shared" si="0"/>
        <v>화</v>
      </c>
      <c r="E43" s="211"/>
      <c r="F43" s="19" t="s">
        <v>177</v>
      </c>
      <c r="G43" s="32"/>
      <c r="H43" s="32" t="s">
        <v>169</v>
      </c>
      <c r="I43" s="32"/>
      <c r="J43" s="32"/>
      <c r="K43" s="44"/>
      <c r="L43" s="4"/>
    </row>
    <row r="44" spans="1:15" outlineLevel="1" x14ac:dyDescent="0.3">
      <c r="B44" s="73"/>
      <c r="C44" s="17">
        <f t="shared" si="2"/>
        <v>46267</v>
      </c>
      <c r="D44" s="18" t="str">
        <f t="shared" si="0"/>
        <v>수</v>
      </c>
      <c r="E44" s="205"/>
      <c r="F44" s="32"/>
      <c r="G44" s="59"/>
      <c r="H44" s="32"/>
      <c r="I44" s="32" t="s">
        <v>162</v>
      </c>
      <c r="J44" s="32"/>
      <c r="K44" s="44"/>
      <c r="L44" s="4"/>
    </row>
    <row r="45" spans="1:15" outlineLevel="1" x14ac:dyDescent="0.3">
      <c r="B45" s="73"/>
      <c r="C45" s="17">
        <f t="shared" si="2"/>
        <v>46268</v>
      </c>
      <c r="D45" s="18" t="str">
        <f t="shared" si="0"/>
        <v>목</v>
      </c>
      <c r="E45" s="18" t="str">
        <f>G45</f>
        <v>대주 심사완료</v>
      </c>
      <c r="F45" s="80"/>
      <c r="G45" s="59" t="s">
        <v>121</v>
      </c>
      <c r="H45" s="80"/>
      <c r="I45" s="19" t="s">
        <v>157</v>
      </c>
      <c r="J45" s="80"/>
      <c r="K45" s="44"/>
      <c r="L45" s="4"/>
    </row>
    <row r="46" spans="1:15" outlineLevel="1" x14ac:dyDescent="0.3">
      <c r="B46" s="73"/>
      <c r="C46" s="17">
        <f t="shared" si="2"/>
        <v>46269</v>
      </c>
      <c r="D46" s="18" t="str">
        <f t="shared" si="0"/>
        <v>금</v>
      </c>
      <c r="E46" s="205"/>
      <c r="F46" s="19"/>
      <c r="G46" s="19" t="s">
        <v>164</v>
      </c>
      <c r="H46" s="19"/>
      <c r="I46" s="19"/>
      <c r="J46" s="19"/>
      <c r="K46" s="44"/>
      <c r="L46" s="4"/>
    </row>
    <row r="47" spans="1:15" outlineLevel="1" x14ac:dyDescent="0.3">
      <c r="B47" s="73"/>
      <c r="C47" s="17">
        <f t="shared" si="2"/>
        <v>46270</v>
      </c>
      <c r="D47" s="18" t="str">
        <f t="shared" si="0"/>
        <v>토</v>
      </c>
      <c r="E47" s="210"/>
      <c r="F47" s="19"/>
      <c r="G47" s="19"/>
      <c r="H47" s="19"/>
      <c r="I47" s="19"/>
      <c r="J47" s="19"/>
      <c r="K47" s="44"/>
      <c r="L47" s="4"/>
    </row>
    <row r="48" spans="1:15" outlineLevel="1" x14ac:dyDescent="0.3">
      <c r="B48" s="72"/>
      <c r="C48" s="17">
        <f t="shared" si="2"/>
        <v>46271</v>
      </c>
      <c r="D48" s="18" t="str">
        <f t="shared" si="0"/>
        <v>일</v>
      </c>
      <c r="E48" s="212"/>
      <c r="F48" s="32"/>
      <c r="G48" s="32"/>
      <c r="H48" s="32"/>
      <c r="I48" s="32"/>
      <c r="J48" s="32"/>
      <c r="K48" s="44"/>
      <c r="L48" s="4"/>
    </row>
    <row r="49" spans="1:12" outlineLevel="1" x14ac:dyDescent="0.3">
      <c r="B49" s="73"/>
      <c r="C49" s="17">
        <f t="shared" si="2"/>
        <v>46272</v>
      </c>
      <c r="D49" s="18" t="str">
        <f t="shared" ref="D49:D98" si="3">TEXT(C49,"aaa")</f>
        <v>월</v>
      </c>
      <c r="E49" s="205"/>
      <c r="F49" s="32"/>
      <c r="G49" s="32"/>
      <c r="H49" s="32" t="s">
        <v>123</v>
      </c>
      <c r="I49" s="32"/>
      <c r="J49" s="32"/>
      <c r="K49" s="44"/>
      <c r="L49" s="4"/>
    </row>
    <row r="50" spans="1:12" outlineLevel="1" x14ac:dyDescent="0.3">
      <c r="A50" s="47">
        <f>A52</f>
        <v>46275</v>
      </c>
      <c r="B50" s="74"/>
      <c r="C50" s="17">
        <f t="shared" si="2"/>
        <v>46273</v>
      </c>
      <c r="D50" s="18" t="str">
        <f t="shared" si="3"/>
        <v>화</v>
      </c>
      <c r="E50" s="212"/>
      <c r="F50" s="19" t="s">
        <v>178</v>
      </c>
      <c r="G50" s="19"/>
      <c r="H50" s="32" t="s">
        <v>170</v>
      </c>
      <c r="I50" s="19"/>
      <c r="J50" s="19"/>
      <c r="K50" s="44"/>
      <c r="L50" s="4"/>
    </row>
    <row r="51" spans="1:12" outlineLevel="1" x14ac:dyDescent="0.3">
      <c r="B51" s="73"/>
      <c r="C51" s="17">
        <f t="shared" si="2"/>
        <v>46274</v>
      </c>
      <c r="D51" s="18" t="str">
        <f t="shared" si="3"/>
        <v>수</v>
      </c>
      <c r="E51" s="212"/>
      <c r="F51" s="32"/>
      <c r="G51" s="32"/>
      <c r="H51" s="32"/>
      <c r="I51" s="32" t="s">
        <v>161</v>
      </c>
      <c r="J51" s="32"/>
      <c r="K51" s="44"/>
      <c r="L51" s="4"/>
    </row>
    <row r="52" spans="1:12" outlineLevel="1" x14ac:dyDescent="0.3">
      <c r="A52" s="48">
        <f>C52</f>
        <v>46275</v>
      </c>
      <c r="B52" s="73"/>
      <c r="C52" s="64">
        <f t="shared" si="2"/>
        <v>46275</v>
      </c>
      <c r="D52" s="65" t="str">
        <f t="shared" si="3"/>
        <v>목</v>
      </c>
      <c r="E52" s="212"/>
      <c r="F52" s="59"/>
      <c r="G52" s="19" t="s">
        <v>159</v>
      </c>
      <c r="H52" s="59"/>
      <c r="I52" s="19" t="s">
        <v>158</v>
      </c>
      <c r="J52" s="59"/>
      <c r="K52" s="66"/>
      <c r="L52" s="4"/>
    </row>
    <row r="53" spans="1:12" ht="37.5" outlineLevel="1" x14ac:dyDescent="0.3">
      <c r="B53" s="73"/>
      <c r="C53" s="17">
        <f t="shared" si="2"/>
        <v>46276</v>
      </c>
      <c r="D53" s="18" t="str">
        <f t="shared" si="3"/>
        <v>금</v>
      </c>
      <c r="E53" s="207" t="s">
        <v>129</v>
      </c>
      <c r="F53" s="59"/>
      <c r="G53" s="59"/>
      <c r="H53" s="59"/>
      <c r="I53" s="59" t="s">
        <v>181</v>
      </c>
      <c r="J53" s="59"/>
      <c r="K53" s="44"/>
      <c r="L53" s="4"/>
    </row>
    <row r="54" spans="1:12" outlineLevel="1" x14ac:dyDescent="0.3">
      <c r="B54" s="73"/>
      <c r="C54" s="17">
        <f t="shared" si="2"/>
        <v>46277</v>
      </c>
      <c r="D54" s="18" t="str">
        <f t="shared" si="3"/>
        <v>토</v>
      </c>
      <c r="E54" s="212"/>
      <c r="F54" s="32"/>
      <c r="G54" s="32"/>
      <c r="H54" s="32"/>
      <c r="I54" s="32"/>
      <c r="J54" s="32"/>
      <c r="K54" s="44"/>
      <c r="L54" s="4"/>
    </row>
    <row r="55" spans="1:12" outlineLevel="1" x14ac:dyDescent="0.3">
      <c r="B55" s="72"/>
      <c r="C55" s="17">
        <f t="shared" si="2"/>
        <v>46278</v>
      </c>
      <c r="D55" s="18" t="str">
        <f t="shared" si="3"/>
        <v>일</v>
      </c>
      <c r="E55" s="212"/>
      <c r="F55" s="32"/>
      <c r="G55" s="32"/>
      <c r="H55" s="32"/>
      <c r="I55" s="32"/>
      <c r="J55" s="32"/>
      <c r="K55" s="44"/>
      <c r="L55" s="4"/>
    </row>
    <row r="56" spans="1:12" outlineLevel="1" x14ac:dyDescent="0.3">
      <c r="B56" s="73"/>
      <c r="C56" s="17">
        <f t="shared" si="2"/>
        <v>46279</v>
      </c>
      <c r="D56" s="18" t="str">
        <f t="shared" si="3"/>
        <v>월</v>
      </c>
      <c r="E56" s="186"/>
      <c r="F56" s="32"/>
      <c r="G56" s="32"/>
      <c r="H56" s="32" t="s">
        <v>124</v>
      </c>
      <c r="I56" s="202"/>
      <c r="J56" s="32"/>
      <c r="K56" s="44"/>
      <c r="L56" s="4"/>
    </row>
    <row r="57" spans="1:12" outlineLevel="1" x14ac:dyDescent="0.3">
      <c r="B57" s="73"/>
      <c r="C57" s="17">
        <f t="shared" si="2"/>
        <v>46280</v>
      </c>
      <c r="D57" s="18" t="str">
        <f t="shared" si="3"/>
        <v>화</v>
      </c>
      <c r="E57" s="212"/>
      <c r="F57" s="19" t="s">
        <v>179</v>
      </c>
      <c r="G57" s="32"/>
      <c r="H57" s="32" t="s">
        <v>171</v>
      </c>
      <c r="I57" s="32"/>
      <c r="J57" s="32"/>
      <c r="K57" s="44"/>
      <c r="L57" s="4"/>
    </row>
    <row r="58" spans="1:12" outlineLevel="1" x14ac:dyDescent="0.3">
      <c r="B58" s="73"/>
      <c r="C58" s="17">
        <f t="shared" si="2"/>
        <v>46281</v>
      </c>
      <c r="D58" s="18" t="str">
        <f t="shared" si="3"/>
        <v>수</v>
      </c>
      <c r="E58" s="186"/>
      <c r="F58" s="32"/>
      <c r="G58" s="32"/>
      <c r="H58" s="32"/>
      <c r="I58" s="32"/>
      <c r="J58" s="32"/>
      <c r="K58" s="44"/>
      <c r="L58" s="4"/>
    </row>
    <row r="59" spans="1:12" outlineLevel="1" x14ac:dyDescent="0.3">
      <c r="B59" s="73"/>
      <c r="C59" s="17">
        <f t="shared" si="2"/>
        <v>46282</v>
      </c>
      <c r="D59" s="18" t="str">
        <f t="shared" si="3"/>
        <v>목</v>
      </c>
      <c r="E59" s="18"/>
      <c r="F59" s="19"/>
      <c r="G59" s="19" t="s">
        <v>160</v>
      </c>
      <c r="H59" s="19"/>
      <c r="I59" s="59" t="s">
        <v>173</v>
      </c>
      <c r="J59" s="19" t="s">
        <v>184</v>
      </c>
      <c r="K59" s="44"/>
      <c r="L59" s="4"/>
    </row>
    <row r="60" spans="1:12" s="242" customFormat="1" outlineLevel="1" x14ac:dyDescent="0.3">
      <c r="B60" s="243"/>
      <c r="C60" s="237">
        <f t="shared" si="2"/>
        <v>46283</v>
      </c>
      <c r="D60" s="238" t="str">
        <f t="shared" si="3"/>
        <v>금</v>
      </c>
      <c r="E60" s="239"/>
      <c r="F60" s="240"/>
      <c r="G60" s="240"/>
      <c r="H60" s="240"/>
      <c r="I60" s="250"/>
      <c r="J60" s="240"/>
      <c r="K60" s="241"/>
      <c r="L60" s="244"/>
    </row>
    <row r="61" spans="1:12" outlineLevel="1" x14ac:dyDescent="0.3">
      <c r="B61" s="73"/>
      <c r="C61" s="17">
        <f t="shared" si="2"/>
        <v>46284</v>
      </c>
      <c r="D61" s="18" t="str">
        <f t="shared" si="3"/>
        <v>토</v>
      </c>
      <c r="E61" s="205"/>
      <c r="F61" s="32"/>
      <c r="G61" s="32"/>
      <c r="H61" s="32"/>
      <c r="I61" s="32"/>
      <c r="J61" s="32"/>
      <c r="K61" s="44"/>
      <c r="L61" s="4"/>
    </row>
    <row r="62" spans="1:12" outlineLevel="1" x14ac:dyDescent="0.3">
      <c r="B62" s="72"/>
      <c r="C62" s="17">
        <f t="shared" si="2"/>
        <v>46285</v>
      </c>
      <c r="D62" s="18" t="str">
        <f t="shared" si="3"/>
        <v>일</v>
      </c>
      <c r="E62" s="205"/>
      <c r="F62" s="32"/>
      <c r="G62" s="32"/>
      <c r="H62" s="32"/>
      <c r="I62" s="32"/>
      <c r="J62" s="32"/>
      <c r="K62" s="44"/>
      <c r="L62" s="4"/>
    </row>
    <row r="63" spans="1:12" outlineLevel="1" x14ac:dyDescent="0.3">
      <c r="B63" s="73"/>
      <c r="C63" s="17">
        <f t="shared" si="2"/>
        <v>46286</v>
      </c>
      <c r="D63" s="18" t="str">
        <f t="shared" si="3"/>
        <v>월</v>
      </c>
      <c r="E63" s="205"/>
      <c r="F63" s="32"/>
      <c r="G63" s="32"/>
      <c r="H63" s="32" t="s">
        <v>125</v>
      </c>
      <c r="I63" s="59"/>
      <c r="J63" s="32"/>
      <c r="K63" s="44"/>
      <c r="L63" s="4"/>
    </row>
    <row r="64" spans="1:12" ht="37.5" outlineLevel="1" x14ac:dyDescent="0.3">
      <c r="B64" s="73"/>
      <c r="C64" s="17">
        <f t="shared" si="2"/>
        <v>46287</v>
      </c>
      <c r="D64" s="18" t="str">
        <f t="shared" si="3"/>
        <v>화</v>
      </c>
      <c r="E64" s="205"/>
      <c r="F64" s="222" t="s">
        <v>166</v>
      </c>
      <c r="G64" s="32"/>
      <c r="H64" s="202" t="s">
        <v>180</v>
      </c>
      <c r="I64" s="245" t="s">
        <v>174</v>
      </c>
      <c r="J64" s="32"/>
      <c r="K64" s="70"/>
      <c r="L64" s="4"/>
    </row>
    <row r="65" spans="2:12" outlineLevel="1" x14ac:dyDescent="0.3">
      <c r="B65" s="73"/>
      <c r="C65" s="77">
        <f t="shared" si="2"/>
        <v>46288</v>
      </c>
      <c r="D65" s="78" t="str">
        <f t="shared" si="3"/>
        <v>수</v>
      </c>
      <c r="E65" s="213" t="s">
        <v>115</v>
      </c>
      <c r="F65" s="201"/>
      <c r="G65" s="201"/>
      <c r="H65" s="201"/>
      <c r="I65" s="201"/>
      <c r="J65" s="201"/>
      <c r="K65" s="44"/>
      <c r="L65" s="4"/>
    </row>
    <row r="66" spans="2:12" outlineLevel="1" x14ac:dyDescent="0.3">
      <c r="B66" s="73"/>
      <c r="C66" s="77">
        <f t="shared" si="2"/>
        <v>46289</v>
      </c>
      <c r="D66" s="78" t="str">
        <f t="shared" si="3"/>
        <v>목</v>
      </c>
      <c r="E66" s="209" t="s">
        <v>117</v>
      </c>
      <c r="F66" s="201"/>
      <c r="G66" s="201"/>
      <c r="H66" s="201"/>
      <c r="I66" s="201"/>
      <c r="J66" s="201"/>
      <c r="K66" s="44"/>
      <c r="L66" s="4"/>
    </row>
    <row r="67" spans="2:12" outlineLevel="1" x14ac:dyDescent="0.3">
      <c r="B67" s="73"/>
      <c r="C67" s="77">
        <f t="shared" si="2"/>
        <v>46290</v>
      </c>
      <c r="D67" s="78" t="str">
        <f t="shared" si="3"/>
        <v>금</v>
      </c>
      <c r="E67" s="209" t="s">
        <v>117</v>
      </c>
      <c r="F67" s="201"/>
      <c r="G67" s="201"/>
      <c r="H67" s="201"/>
      <c r="I67" s="201"/>
      <c r="J67" s="201"/>
      <c r="K67" s="44"/>
      <c r="L67" s="4"/>
    </row>
    <row r="68" spans="2:12" outlineLevel="1" x14ac:dyDescent="0.3">
      <c r="B68" s="73"/>
      <c r="C68" s="17">
        <f t="shared" si="2"/>
        <v>46291</v>
      </c>
      <c r="D68" s="18" t="str">
        <f t="shared" si="3"/>
        <v>토</v>
      </c>
      <c r="E68" s="18"/>
      <c r="F68" s="32"/>
      <c r="G68" s="32"/>
      <c r="H68" s="32"/>
      <c r="I68" s="32"/>
      <c r="J68" s="32"/>
      <c r="K68" s="44"/>
      <c r="L68" s="4"/>
    </row>
    <row r="69" spans="2:12" outlineLevel="1" x14ac:dyDescent="0.3">
      <c r="B69" s="72"/>
      <c r="C69" s="17">
        <f t="shared" si="2"/>
        <v>46292</v>
      </c>
      <c r="D69" s="18" t="str">
        <f t="shared" si="3"/>
        <v>일</v>
      </c>
      <c r="E69" s="205"/>
      <c r="F69" s="32"/>
      <c r="G69" s="32"/>
      <c r="H69" s="32"/>
      <c r="I69" s="32"/>
      <c r="J69" s="32"/>
      <c r="K69" s="44"/>
      <c r="L69" s="4"/>
    </row>
    <row r="70" spans="2:12" outlineLevel="1" x14ac:dyDescent="0.3">
      <c r="B70" s="73"/>
      <c r="C70" s="17">
        <f t="shared" si="2"/>
        <v>46293</v>
      </c>
      <c r="D70" s="18" t="str">
        <f t="shared" si="3"/>
        <v>월</v>
      </c>
      <c r="E70" s="205"/>
      <c r="F70" s="32"/>
      <c r="G70" s="32"/>
      <c r="H70" s="32" t="s">
        <v>126</v>
      </c>
      <c r="I70" s="32"/>
      <c r="J70" s="32"/>
      <c r="K70" s="44"/>
      <c r="L70" s="4"/>
    </row>
    <row r="71" spans="2:12" outlineLevel="1" x14ac:dyDescent="0.3">
      <c r="B71" s="73"/>
      <c r="C71" s="17">
        <f t="shared" si="2"/>
        <v>46294</v>
      </c>
      <c r="D71" s="18" t="str">
        <f t="shared" si="3"/>
        <v>화</v>
      </c>
      <c r="E71" s="214"/>
      <c r="F71" s="32"/>
      <c r="G71" s="32"/>
      <c r="H71" s="32"/>
      <c r="I71" s="32"/>
      <c r="J71" s="32"/>
      <c r="K71" s="70"/>
      <c r="L71" s="4"/>
    </row>
    <row r="72" spans="2:12" ht="56.25" outlineLevel="1" x14ac:dyDescent="0.3">
      <c r="B72" s="73"/>
      <c r="C72" s="251">
        <f t="shared" si="2"/>
        <v>46295</v>
      </c>
      <c r="D72" s="252" t="str">
        <f t="shared" si="3"/>
        <v>수</v>
      </c>
      <c r="E72" s="252" t="s">
        <v>165</v>
      </c>
      <c r="F72" s="253"/>
      <c r="G72" s="254"/>
      <c r="H72" s="253"/>
      <c r="I72" s="253" t="s">
        <v>130</v>
      </c>
      <c r="J72" s="253" t="s">
        <v>131</v>
      </c>
      <c r="K72" s="44"/>
      <c r="L72" s="4"/>
    </row>
    <row r="73" spans="2:12" ht="75" outlineLevel="1" x14ac:dyDescent="0.3">
      <c r="B73" s="73"/>
      <c r="C73" s="17">
        <f t="shared" si="2"/>
        <v>46296</v>
      </c>
      <c r="D73" s="18" t="str">
        <f t="shared" si="3"/>
        <v>목</v>
      </c>
      <c r="E73" s="205"/>
      <c r="F73" s="32"/>
      <c r="G73" s="32"/>
      <c r="H73" s="32"/>
      <c r="I73" s="32" t="s">
        <v>143</v>
      </c>
      <c r="J73" s="32" t="s">
        <v>132</v>
      </c>
      <c r="K73" s="44"/>
      <c r="L73" s="4"/>
    </row>
    <row r="74" spans="2:12" outlineLevel="1" x14ac:dyDescent="0.3">
      <c r="B74" s="73"/>
      <c r="C74" s="17">
        <f t="shared" si="2"/>
        <v>46297</v>
      </c>
      <c r="D74" s="18" t="str">
        <f t="shared" si="3"/>
        <v>금</v>
      </c>
      <c r="E74" s="205"/>
      <c r="F74" s="32"/>
      <c r="G74" s="32"/>
      <c r="H74" s="32" t="s">
        <v>138</v>
      </c>
      <c r="I74" s="32" t="s">
        <v>138</v>
      </c>
      <c r="J74" s="32"/>
      <c r="K74" s="44"/>
      <c r="L74" s="4"/>
    </row>
    <row r="75" spans="2:12" outlineLevel="1" x14ac:dyDescent="0.3">
      <c r="B75" s="73"/>
      <c r="C75" s="17">
        <f t="shared" si="2"/>
        <v>46298</v>
      </c>
      <c r="D75" s="18" t="str">
        <f t="shared" si="3"/>
        <v>토</v>
      </c>
      <c r="E75" s="205"/>
      <c r="F75" s="32"/>
      <c r="G75" s="32"/>
      <c r="H75" s="32"/>
      <c r="I75" s="32"/>
      <c r="J75" s="32"/>
      <c r="K75" s="44"/>
      <c r="L75" s="4"/>
    </row>
    <row r="76" spans="2:12" outlineLevel="1" x14ac:dyDescent="0.3">
      <c r="B76" s="72"/>
      <c r="C76" s="17">
        <f t="shared" si="2"/>
        <v>46299</v>
      </c>
      <c r="D76" s="18" t="str">
        <f t="shared" si="3"/>
        <v>일</v>
      </c>
      <c r="E76" s="205"/>
      <c r="F76" s="32"/>
      <c r="G76" s="32"/>
      <c r="H76" s="32"/>
      <c r="I76" s="32"/>
      <c r="J76" s="32"/>
      <c r="K76" s="44"/>
      <c r="L76" s="4"/>
    </row>
    <row r="77" spans="2:12" outlineLevel="1" x14ac:dyDescent="0.3">
      <c r="B77" s="73"/>
      <c r="C77" s="77">
        <f t="shared" si="2"/>
        <v>46300</v>
      </c>
      <c r="D77" s="78" t="str">
        <f t="shared" si="3"/>
        <v>월</v>
      </c>
      <c r="E77" s="215" t="s">
        <v>116</v>
      </c>
      <c r="F77" s="201"/>
      <c r="G77" s="201"/>
      <c r="H77" s="201" t="s">
        <v>145</v>
      </c>
      <c r="I77" s="201"/>
      <c r="J77" s="201"/>
      <c r="K77" s="44"/>
      <c r="L77" s="4"/>
    </row>
    <row r="78" spans="2:12" outlineLevel="1" x14ac:dyDescent="0.3">
      <c r="B78" s="73"/>
      <c r="C78" s="17">
        <f t="shared" si="2"/>
        <v>46301</v>
      </c>
      <c r="D78" s="18" t="str">
        <f t="shared" si="3"/>
        <v>화</v>
      </c>
      <c r="E78" s="205"/>
      <c r="F78" s="32"/>
      <c r="G78" s="32"/>
      <c r="H78" s="32"/>
      <c r="I78" s="32"/>
      <c r="J78" s="32"/>
      <c r="K78" s="44"/>
      <c r="L78" s="4"/>
    </row>
    <row r="79" spans="2:12" outlineLevel="1" x14ac:dyDescent="0.3">
      <c r="B79" s="73"/>
      <c r="C79" s="17">
        <f t="shared" si="2"/>
        <v>46302</v>
      </c>
      <c r="D79" s="18" t="str">
        <f t="shared" si="3"/>
        <v>수</v>
      </c>
      <c r="E79" s="205"/>
      <c r="F79" s="32"/>
      <c r="G79" s="32"/>
      <c r="H79" s="32"/>
      <c r="I79" s="32"/>
      <c r="J79" s="32"/>
      <c r="K79" s="44"/>
      <c r="L79" s="4"/>
    </row>
    <row r="80" spans="2:12" outlineLevel="1" x14ac:dyDescent="0.3">
      <c r="B80" s="73"/>
      <c r="C80" s="17">
        <f t="shared" si="2"/>
        <v>46303</v>
      </c>
      <c r="D80" s="18" t="str">
        <f t="shared" si="3"/>
        <v>목</v>
      </c>
      <c r="E80" s="205"/>
      <c r="F80" s="32"/>
      <c r="G80" s="32"/>
      <c r="H80" s="32"/>
      <c r="I80" s="32"/>
      <c r="J80" s="32"/>
      <c r="K80" s="55"/>
      <c r="L80" s="4"/>
    </row>
    <row r="81" spans="1:12" outlineLevel="1" x14ac:dyDescent="0.3">
      <c r="B81" s="74"/>
      <c r="C81" s="77">
        <f t="shared" si="2"/>
        <v>46304</v>
      </c>
      <c r="D81" s="78" t="str">
        <f t="shared" si="3"/>
        <v>금</v>
      </c>
      <c r="E81" s="215" t="s">
        <v>118</v>
      </c>
      <c r="F81" s="201"/>
      <c r="G81" s="201"/>
      <c r="H81" s="201"/>
      <c r="I81" s="201"/>
      <c r="J81" s="201"/>
      <c r="K81" s="44"/>
      <c r="L81" s="4"/>
    </row>
    <row r="82" spans="1:12" outlineLevel="1" x14ac:dyDescent="0.3">
      <c r="B82" s="73"/>
      <c r="C82" s="17">
        <f t="shared" si="2"/>
        <v>46305</v>
      </c>
      <c r="D82" s="18" t="str">
        <f t="shared" si="3"/>
        <v>토</v>
      </c>
      <c r="E82" s="18"/>
      <c r="F82" s="32"/>
      <c r="G82" s="32"/>
      <c r="H82" s="32"/>
      <c r="I82" s="32"/>
      <c r="J82" s="32"/>
      <c r="K82" s="44"/>
      <c r="L82" s="4"/>
    </row>
    <row r="83" spans="1:12" outlineLevel="1" x14ac:dyDescent="0.3">
      <c r="A83" s="47"/>
      <c r="B83" s="72"/>
      <c r="C83" s="17">
        <f t="shared" si="2"/>
        <v>46306</v>
      </c>
      <c r="D83" s="18" t="str">
        <f t="shared" si="3"/>
        <v>일</v>
      </c>
      <c r="E83" s="205"/>
      <c r="F83" s="32"/>
      <c r="G83" s="32"/>
      <c r="H83" s="32"/>
      <c r="I83" s="32"/>
      <c r="J83" s="32"/>
      <c r="K83" s="44"/>
      <c r="L83" s="4"/>
    </row>
    <row r="84" spans="1:12" outlineLevel="1" x14ac:dyDescent="0.3">
      <c r="B84" s="73"/>
      <c r="C84" s="246">
        <f t="shared" si="2"/>
        <v>46307</v>
      </c>
      <c r="D84" s="247" t="str">
        <f t="shared" si="3"/>
        <v>월</v>
      </c>
      <c r="E84" s="248" t="s">
        <v>136</v>
      </c>
      <c r="F84" s="249"/>
      <c r="G84" s="249"/>
      <c r="H84" s="249" t="s">
        <v>146</v>
      </c>
      <c r="I84" s="249" t="s">
        <v>136</v>
      </c>
      <c r="J84" s="249"/>
      <c r="K84" s="44"/>
      <c r="L84" s="4"/>
    </row>
    <row r="85" spans="1:12" ht="56.25" outlineLevel="1" x14ac:dyDescent="0.3">
      <c r="A85" s="47">
        <f>C85</f>
        <v>46308</v>
      </c>
      <c r="B85" s="73"/>
      <c r="C85" s="17">
        <f t="shared" si="2"/>
        <v>46308</v>
      </c>
      <c r="D85" s="18" t="str">
        <f t="shared" si="3"/>
        <v>화</v>
      </c>
      <c r="E85" s="207"/>
      <c r="F85" s="202" t="s">
        <v>175</v>
      </c>
      <c r="G85" s="202" t="s">
        <v>149</v>
      </c>
      <c r="H85" s="32"/>
      <c r="I85" s="32" t="s">
        <v>144</v>
      </c>
      <c r="J85" s="32" t="s">
        <v>150</v>
      </c>
      <c r="K85" s="44"/>
      <c r="L85" s="4"/>
    </row>
    <row r="86" spans="1:12" outlineLevel="1" x14ac:dyDescent="0.3">
      <c r="B86" s="73"/>
      <c r="C86" s="17">
        <f t="shared" si="2"/>
        <v>46309</v>
      </c>
      <c r="D86" s="18" t="str">
        <f t="shared" si="3"/>
        <v>수</v>
      </c>
      <c r="E86" s="18"/>
      <c r="F86" s="32"/>
      <c r="G86" s="32"/>
      <c r="H86" s="32"/>
      <c r="I86" s="32"/>
      <c r="J86" s="32"/>
      <c r="K86" s="44"/>
      <c r="L86" s="4"/>
    </row>
    <row r="87" spans="1:12" outlineLevel="1" x14ac:dyDescent="0.3">
      <c r="B87" s="73"/>
      <c r="C87" s="17">
        <f t="shared" si="2"/>
        <v>46310</v>
      </c>
      <c r="D87" s="18" t="str">
        <f t="shared" si="3"/>
        <v>목</v>
      </c>
      <c r="E87" s="205"/>
      <c r="F87" s="32"/>
      <c r="G87" s="32"/>
      <c r="H87" s="32"/>
      <c r="I87" s="32"/>
      <c r="J87" s="32"/>
      <c r="K87" s="44"/>
      <c r="L87" s="4"/>
    </row>
    <row r="88" spans="1:12" outlineLevel="1" x14ac:dyDescent="0.3">
      <c r="B88" s="73"/>
      <c r="C88" s="50">
        <f t="shared" si="2"/>
        <v>46311</v>
      </c>
      <c r="D88" s="51" t="str">
        <f t="shared" si="3"/>
        <v>금</v>
      </c>
      <c r="E88" s="216"/>
      <c r="F88" s="52"/>
      <c r="G88" s="52"/>
      <c r="H88" s="52"/>
      <c r="I88" s="52"/>
      <c r="J88" s="52"/>
      <c r="K88" s="54"/>
      <c r="L88" s="4"/>
    </row>
    <row r="89" spans="1:12" outlineLevel="1" x14ac:dyDescent="0.3">
      <c r="B89" s="73"/>
      <c r="C89" s="17">
        <f t="shared" si="2"/>
        <v>46312</v>
      </c>
      <c r="D89" s="18" t="str">
        <f t="shared" si="3"/>
        <v>토</v>
      </c>
      <c r="E89" s="18"/>
      <c r="F89" s="32"/>
      <c r="G89" s="32"/>
      <c r="H89" s="32"/>
      <c r="I89" s="32"/>
      <c r="J89" s="32"/>
      <c r="K89" s="44"/>
      <c r="L89" s="4"/>
    </row>
    <row r="90" spans="1:12" outlineLevel="1" x14ac:dyDescent="0.3">
      <c r="B90" s="72">
        <f>B83+1</f>
        <v>1</v>
      </c>
      <c r="C90" s="17">
        <f t="shared" si="2"/>
        <v>46313</v>
      </c>
      <c r="D90" s="18" t="str">
        <f t="shared" si="3"/>
        <v>일</v>
      </c>
      <c r="E90" s="205"/>
      <c r="F90" s="32"/>
      <c r="G90" s="32"/>
      <c r="H90" s="32"/>
      <c r="I90" s="32"/>
      <c r="J90" s="32"/>
      <c r="K90" s="44"/>
      <c r="L90" s="4"/>
    </row>
    <row r="91" spans="1:12" outlineLevel="1" x14ac:dyDescent="0.3">
      <c r="B91" s="73"/>
      <c r="C91" s="17">
        <f t="shared" si="2"/>
        <v>46314</v>
      </c>
      <c r="D91" s="18" t="str">
        <f t="shared" si="3"/>
        <v>월</v>
      </c>
      <c r="E91" s="205"/>
      <c r="F91" s="32"/>
      <c r="G91" s="32"/>
      <c r="H91" s="32" t="s">
        <v>147</v>
      </c>
      <c r="I91" s="32"/>
      <c r="J91" s="32"/>
      <c r="K91" s="44"/>
      <c r="L91" s="4"/>
    </row>
    <row r="92" spans="1:12" outlineLevel="1" x14ac:dyDescent="0.3">
      <c r="B92" s="73"/>
      <c r="C92" s="17">
        <f t="shared" si="2"/>
        <v>46315</v>
      </c>
      <c r="D92" s="18" t="str">
        <f t="shared" si="3"/>
        <v>화</v>
      </c>
      <c r="E92" s="205"/>
      <c r="F92" s="32"/>
      <c r="G92" s="32"/>
      <c r="H92" s="32"/>
      <c r="I92" s="32"/>
      <c r="J92" s="32"/>
      <c r="K92" s="44"/>
      <c r="L92" s="4"/>
    </row>
    <row r="93" spans="1:12" outlineLevel="1" x14ac:dyDescent="0.3">
      <c r="B93" s="73"/>
      <c r="C93" s="17">
        <f t="shared" si="2"/>
        <v>46316</v>
      </c>
      <c r="D93" s="18" t="str">
        <f t="shared" si="3"/>
        <v>수</v>
      </c>
      <c r="E93" s="212"/>
      <c r="F93" s="59" t="s">
        <v>135</v>
      </c>
      <c r="G93" s="59"/>
      <c r="H93" s="59"/>
      <c r="I93" s="59"/>
      <c r="J93" s="59"/>
      <c r="K93" s="44"/>
      <c r="L93" s="4"/>
    </row>
    <row r="94" spans="1:12" outlineLevel="1" x14ac:dyDescent="0.3">
      <c r="B94" s="73"/>
      <c r="C94" s="22">
        <f t="shared" si="2"/>
        <v>46317</v>
      </c>
      <c r="D94" s="23" t="str">
        <f t="shared" si="3"/>
        <v>목</v>
      </c>
      <c r="E94" s="217" t="s">
        <v>133</v>
      </c>
      <c r="F94" s="33"/>
      <c r="G94" s="33" t="s">
        <v>134</v>
      </c>
      <c r="H94" s="33" t="s">
        <v>133</v>
      </c>
      <c r="I94" s="33"/>
      <c r="J94" s="33"/>
      <c r="K94" s="44"/>
      <c r="L94" s="4"/>
    </row>
    <row r="95" spans="1:12" outlineLevel="1" x14ac:dyDescent="0.3">
      <c r="B95" s="73"/>
      <c r="C95" s="17">
        <f t="shared" si="2"/>
        <v>46318</v>
      </c>
      <c r="D95" s="18" t="str">
        <f t="shared" si="3"/>
        <v>금</v>
      </c>
      <c r="E95" s="205"/>
      <c r="F95" s="32"/>
      <c r="G95" s="32"/>
      <c r="H95" s="32"/>
      <c r="I95" s="32"/>
      <c r="J95" s="32"/>
      <c r="K95" s="44"/>
      <c r="L95" s="4"/>
    </row>
    <row r="96" spans="1:12" outlineLevel="1" x14ac:dyDescent="0.3">
      <c r="B96" s="73"/>
      <c r="C96" s="22">
        <f t="shared" si="2"/>
        <v>46319</v>
      </c>
      <c r="D96" s="23" t="str">
        <f t="shared" si="3"/>
        <v>토</v>
      </c>
      <c r="E96" s="218"/>
      <c r="F96" s="33"/>
      <c r="G96" s="33"/>
      <c r="H96" s="33"/>
      <c r="I96" s="33"/>
      <c r="J96" s="33"/>
      <c r="K96" s="57"/>
      <c r="L96" s="4"/>
    </row>
    <row r="97" spans="2:12" outlineLevel="1" x14ac:dyDescent="0.3">
      <c r="B97" s="72">
        <f>B90+1</f>
        <v>2</v>
      </c>
      <c r="C97" s="67">
        <f t="shared" si="2"/>
        <v>46320</v>
      </c>
      <c r="D97" s="68" t="str">
        <f t="shared" si="3"/>
        <v>일</v>
      </c>
      <c r="E97" s="219"/>
      <c r="F97" s="69"/>
      <c r="G97" s="69"/>
      <c r="H97" s="69"/>
      <c r="I97" s="69"/>
      <c r="J97" s="69"/>
      <c r="K97" s="44"/>
      <c r="L97" s="4"/>
    </row>
    <row r="98" spans="2:12" ht="18.75" customHeight="1" outlineLevel="1" x14ac:dyDescent="0.3">
      <c r="B98" s="73"/>
      <c r="C98" s="17">
        <f t="shared" si="2"/>
        <v>46321</v>
      </c>
      <c r="D98" s="18" t="str">
        <f t="shared" si="3"/>
        <v>월</v>
      </c>
      <c r="E98" s="18"/>
      <c r="F98" s="32"/>
      <c r="G98" s="32"/>
      <c r="H98" s="32" t="s">
        <v>148</v>
      </c>
      <c r="I98" s="32"/>
      <c r="J98" s="32"/>
      <c r="K98" s="44"/>
      <c r="L98" s="4"/>
    </row>
    <row r="99" spans="2:12" outlineLevel="1" x14ac:dyDescent="0.3">
      <c r="B99" s="73"/>
      <c r="C99" s="17">
        <f t="shared" si="2"/>
        <v>46322</v>
      </c>
      <c r="D99" s="18" t="str">
        <f t="shared" ref="D99:D116" si="4">TEXT(C99,"aaa")</f>
        <v>화</v>
      </c>
      <c r="E99" s="205"/>
      <c r="F99" s="32"/>
      <c r="G99" s="32"/>
      <c r="I99" s="32"/>
      <c r="J99" s="32"/>
      <c r="K99" s="44"/>
    </row>
    <row r="100" spans="2:12" ht="18.75" customHeight="1" outlineLevel="1" x14ac:dyDescent="0.3">
      <c r="B100" s="73"/>
      <c r="C100" s="17">
        <f t="shared" si="2"/>
        <v>46323</v>
      </c>
      <c r="D100" s="18" t="str">
        <f t="shared" si="4"/>
        <v>수</v>
      </c>
      <c r="E100" s="18"/>
      <c r="F100" s="81"/>
      <c r="G100" s="81"/>
      <c r="H100" s="81"/>
      <c r="I100" s="81"/>
      <c r="J100" s="81"/>
      <c r="K100" s="44"/>
    </row>
    <row r="101" spans="2:12" outlineLevel="1" x14ac:dyDescent="0.3">
      <c r="B101" s="73"/>
      <c r="C101" s="17">
        <f t="shared" si="2"/>
        <v>46324</v>
      </c>
      <c r="D101" s="18" t="str">
        <f t="shared" si="4"/>
        <v>목</v>
      </c>
      <c r="E101" s="65"/>
      <c r="F101" s="32"/>
      <c r="G101" s="32"/>
      <c r="H101" s="32"/>
      <c r="I101" s="32"/>
      <c r="J101" s="32"/>
      <c r="K101" s="44"/>
    </row>
    <row r="102" spans="2:12" x14ac:dyDescent="0.3">
      <c r="B102" s="73"/>
      <c r="C102" s="17">
        <f t="shared" si="2"/>
        <v>46325</v>
      </c>
      <c r="D102" s="18" t="str">
        <f t="shared" si="4"/>
        <v>금</v>
      </c>
      <c r="E102" s="205"/>
      <c r="F102" s="32"/>
      <c r="G102" s="32"/>
      <c r="H102" s="32"/>
      <c r="I102" s="32"/>
      <c r="J102" s="32"/>
      <c r="K102" s="44"/>
    </row>
    <row r="103" spans="2:12" x14ac:dyDescent="0.3">
      <c r="B103" s="73"/>
      <c r="C103" s="17">
        <f t="shared" si="2"/>
        <v>46326</v>
      </c>
      <c r="D103" s="18" t="str">
        <f t="shared" si="4"/>
        <v>토</v>
      </c>
      <c r="E103" s="212"/>
      <c r="F103" s="59"/>
      <c r="G103" s="59"/>
      <c r="H103" s="59"/>
      <c r="I103" s="59"/>
      <c r="J103" s="59"/>
      <c r="K103" s="44"/>
    </row>
    <row r="104" spans="2:12" x14ac:dyDescent="0.3">
      <c r="B104" s="72">
        <f>B97+1</f>
        <v>3</v>
      </c>
      <c r="C104" s="17">
        <f t="shared" si="2"/>
        <v>46327</v>
      </c>
      <c r="D104" s="18" t="str">
        <f t="shared" si="4"/>
        <v>일</v>
      </c>
      <c r="E104" s="18"/>
      <c r="F104" s="32"/>
      <c r="G104" s="32"/>
      <c r="H104" s="32"/>
      <c r="I104" s="32"/>
      <c r="J104" s="32"/>
      <c r="K104" s="44"/>
    </row>
    <row r="105" spans="2:12" x14ac:dyDescent="0.3">
      <c r="B105" s="73"/>
      <c r="C105" s="17">
        <f t="shared" si="2"/>
        <v>46328</v>
      </c>
      <c r="D105" s="18" t="str">
        <f t="shared" si="4"/>
        <v>월</v>
      </c>
      <c r="E105" s="18"/>
      <c r="F105" s="32"/>
      <c r="G105" s="32"/>
      <c r="H105" s="32"/>
      <c r="I105" s="32"/>
      <c r="J105" s="32"/>
      <c r="K105" s="44"/>
    </row>
    <row r="106" spans="2:12" x14ac:dyDescent="0.3">
      <c r="B106" s="73"/>
      <c r="C106" s="17">
        <f t="shared" ref="C106:C171" si="5">C105+1</f>
        <v>46329</v>
      </c>
      <c r="D106" s="18" t="str">
        <f t="shared" si="4"/>
        <v>화</v>
      </c>
      <c r="E106" s="18"/>
      <c r="F106" s="32"/>
      <c r="G106" s="32"/>
      <c r="H106" s="32"/>
      <c r="I106" s="32"/>
      <c r="J106" s="32"/>
      <c r="K106" s="44"/>
    </row>
    <row r="107" spans="2:12" x14ac:dyDescent="0.3">
      <c r="B107" s="73"/>
      <c r="C107" s="17">
        <f t="shared" si="5"/>
        <v>46330</v>
      </c>
      <c r="D107" s="18" t="str">
        <f t="shared" si="4"/>
        <v>수</v>
      </c>
      <c r="E107" s="205"/>
      <c r="F107" s="32"/>
      <c r="G107" s="32"/>
      <c r="H107" s="32"/>
      <c r="I107" s="32"/>
      <c r="J107" s="32"/>
      <c r="K107" s="44"/>
    </row>
    <row r="108" spans="2:12" x14ac:dyDescent="0.3">
      <c r="B108" s="73"/>
      <c r="C108" s="17">
        <f t="shared" si="5"/>
        <v>46331</v>
      </c>
      <c r="D108" s="18" t="str">
        <f t="shared" si="4"/>
        <v>목</v>
      </c>
      <c r="E108" s="18"/>
      <c r="F108" s="81"/>
      <c r="G108" s="81"/>
      <c r="H108" s="81"/>
      <c r="I108" s="81"/>
      <c r="J108" s="81"/>
      <c r="K108" s="44"/>
    </row>
    <row r="109" spans="2:12" x14ac:dyDescent="0.3">
      <c r="B109" s="73"/>
      <c r="C109" s="17">
        <f t="shared" si="5"/>
        <v>46332</v>
      </c>
      <c r="D109" s="18" t="str">
        <f t="shared" si="4"/>
        <v>금</v>
      </c>
      <c r="E109" s="18"/>
      <c r="F109" s="32"/>
      <c r="G109" s="32"/>
      <c r="H109" s="32"/>
      <c r="I109" s="32"/>
      <c r="J109" s="32"/>
      <c r="K109" s="44"/>
    </row>
    <row r="110" spans="2:12" x14ac:dyDescent="0.3">
      <c r="B110" s="73"/>
      <c r="C110" s="17">
        <f t="shared" si="5"/>
        <v>46333</v>
      </c>
      <c r="D110" s="18" t="str">
        <f t="shared" si="4"/>
        <v>토</v>
      </c>
      <c r="E110" s="220"/>
      <c r="F110" s="32"/>
      <c r="G110" s="32"/>
      <c r="H110" s="32"/>
      <c r="I110" s="32"/>
      <c r="J110" s="32"/>
      <c r="K110" s="44"/>
    </row>
    <row r="111" spans="2:12" x14ac:dyDescent="0.3">
      <c r="B111" s="72">
        <f>B104+1</f>
        <v>4</v>
      </c>
      <c r="C111" s="17">
        <f t="shared" si="5"/>
        <v>46334</v>
      </c>
      <c r="D111" s="18" t="str">
        <f t="shared" si="4"/>
        <v>일</v>
      </c>
      <c r="E111" s="205"/>
      <c r="F111" s="32"/>
      <c r="G111" s="32"/>
      <c r="H111" s="32"/>
      <c r="I111" s="32"/>
      <c r="J111" s="32"/>
      <c r="K111" s="44"/>
    </row>
    <row r="112" spans="2:12" x14ac:dyDescent="0.3">
      <c r="B112" s="73"/>
      <c r="C112" s="17">
        <f t="shared" si="5"/>
        <v>46335</v>
      </c>
      <c r="D112" s="18" t="str">
        <f t="shared" si="4"/>
        <v>월</v>
      </c>
      <c r="E112" s="205"/>
      <c r="F112" s="32"/>
      <c r="G112" s="32"/>
      <c r="H112" s="32"/>
      <c r="I112" s="32"/>
      <c r="J112" s="32"/>
      <c r="K112" s="44"/>
    </row>
    <row r="113" spans="1:11" x14ac:dyDescent="0.3">
      <c r="A113" s="47">
        <f>C113</f>
        <v>46336</v>
      </c>
      <c r="B113" s="73"/>
      <c r="C113" s="17">
        <f t="shared" si="5"/>
        <v>46336</v>
      </c>
      <c r="D113" s="18" t="str">
        <f t="shared" si="4"/>
        <v>화</v>
      </c>
      <c r="E113" s="205"/>
      <c r="F113" s="32"/>
      <c r="G113" s="32"/>
      <c r="H113" s="32"/>
      <c r="I113" s="32"/>
      <c r="J113" s="32"/>
      <c r="K113" s="44"/>
    </row>
    <row r="114" spans="1:11" x14ac:dyDescent="0.3">
      <c r="B114" s="73"/>
      <c r="C114" s="17">
        <f t="shared" si="5"/>
        <v>46337</v>
      </c>
      <c r="D114" s="18" t="str">
        <f t="shared" si="4"/>
        <v>수</v>
      </c>
      <c r="E114" s="205"/>
      <c r="F114" s="32"/>
      <c r="G114" s="32"/>
      <c r="H114" s="32"/>
      <c r="I114" s="32"/>
      <c r="J114" s="32"/>
      <c r="K114" s="44"/>
    </row>
    <row r="115" spans="1:11" x14ac:dyDescent="0.3">
      <c r="B115" s="73"/>
      <c r="C115" s="17">
        <f t="shared" si="5"/>
        <v>46338</v>
      </c>
      <c r="D115" s="18" t="str">
        <f t="shared" si="4"/>
        <v>목</v>
      </c>
      <c r="E115" s="205"/>
      <c r="F115" s="32"/>
      <c r="G115" s="32"/>
      <c r="H115" s="32"/>
      <c r="I115" s="32"/>
      <c r="J115" s="32"/>
      <c r="K115" s="44"/>
    </row>
    <row r="116" spans="1:11" x14ac:dyDescent="0.3">
      <c r="B116" s="73"/>
      <c r="C116" s="17">
        <f t="shared" si="5"/>
        <v>46339</v>
      </c>
      <c r="D116" s="18" t="str">
        <f t="shared" si="4"/>
        <v>금</v>
      </c>
      <c r="E116" s="205"/>
      <c r="F116" s="32"/>
      <c r="G116" s="32"/>
      <c r="H116" s="32"/>
      <c r="I116" s="32"/>
      <c r="J116" s="32"/>
      <c r="K116" s="44"/>
    </row>
    <row r="117" spans="1:11" x14ac:dyDescent="0.3">
      <c r="B117" s="73"/>
      <c r="C117" s="17">
        <f t="shared" si="5"/>
        <v>46340</v>
      </c>
      <c r="D117" s="18" t="str">
        <f t="shared" ref="D117:D123" si="6">TEXT(C117,"aaa")</f>
        <v>토</v>
      </c>
      <c r="E117" s="205"/>
      <c r="F117" s="32"/>
      <c r="G117" s="32"/>
      <c r="H117" s="32"/>
      <c r="I117" s="32"/>
      <c r="J117" s="32"/>
      <c r="K117" s="44"/>
    </row>
    <row r="118" spans="1:11" x14ac:dyDescent="0.3">
      <c r="B118" s="72">
        <f>B111+1</f>
        <v>5</v>
      </c>
      <c r="C118" s="17">
        <f t="shared" si="5"/>
        <v>46341</v>
      </c>
      <c r="D118" s="18" t="str">
        <f t="shared" si="6"/>
        <v>일</v>
      </c>
      <c r="E118" s="205"/>
      <c r="F118" s="32"/>
      <c r="G118" s="32"/>
      <c r="H118" s="32"/>
      <c r="I118" s="32"/>
      <c r="J118" s="32"/>
      <c r="K118" s="44"/>
    </row>
    <row r="119" spans="1:11" x14ac:dyDescent="0.3">
      <c r="B119" s="73"/>
      <c r="C119" s="17">
        <f t="shared" si="5"/>
        <v>46342</v>
      </c>
      <c r="D119" s="18" t="str">
        <f t="shared" si="6"/>
        <v>월</v>
      </c>
      <c r="E119" s="205"/>
      <c r="F119" s="32"/>
      <c r="G119" s="32"/>
      <c r="H119" s="32"/>
      <c r="I119" s="32"/>
      <c r="J119" s="32"/>
      <c r="K119" s="44"/>
    </row>
    <row r="120" spans="1:11" ht="18.75" customHeight="1" x14ac:dyDescent="0.3">
      <c r="B120" s="73"/>
      <c r="C120" s="17">
        <f t="shared" si="5"/>
        <v>46343</v>
      </c>
      <c r="D120" s="18" t="str">
        <f t="shared" si="6"/>
        <v>화</v>
      </c>
      <c r="E120" s="18"/>
      <c r="F120" s="19"/>
      <c r="G120" s="19"/>
      <c r="H120" s="19"/>
      <c r="I120" s="19"/>
      <c r="J120" s="19"/>
      <c r="K120" s="44"/>
    </row>
    <row r="121" spans="1:11" ht="20.100000000000001" customHeight="1" x14ac:dyDescent="0.3">
      <c r="B121" s="73"/>
      <c r="C121" s="79">
        <f t="shared" si="5"/>
        <v>46344</v>
      </c>
      <c r="D121" s="18" t="str">
        <f t="shared" si="6"/>
        <v>수</v>
      </c>
      <c r="E121" s="205"/>
      <c r="F121" s="32"/>
      <c r="G121" s="32"/>
      <c r="H121" s="32"/>
      <c r="I121" s="32"/>
      <c r="J121" s="32"/>
      <c r="K121" s="44"/>
    </row>
    <row r="122" spans="1:11" x14ac:dyDescent="0.3">
      <c r="B122" s="73"/>
      <c r="C122" s="17">
        <f t="shared" si="5"/>
        <v>46345</v>
      </c>
      <c r="D122" s="18" t="str">
        <f t="shared" si="6"/>
        <v>목</v>
      </c>
      <c r="E122" s="18"/>
      <c r="F122" s="32"/>
      <c r="G122" s="32"/>
      <c r="H122" s="32"/>
      <c r="I122" s="32"/>
      <c r="J122" s="32"/>
      <c r="K122" s="44"/>
    </row>
    <row r="123" spans="1:11" x14ac:dyDescent="0.3">
      <c r="B123" s="73"/>
      <c r="C123" s="17">
        <f t="shared" si="5"/>
        <v>46346</v>
      </c>
      <c r="D123" s="18" t="str">
        <f t="shared" si="6"/>
        <v>금</v>
      </c>
      <c r="E123" s="205"/>
      <c r="F123" s="32"/>
      <c r="G123" s="32"/>
      <c r="H123" s="32"/>
      <c r="I123" s="32"/>
      <c r="J123" s="32"/>
      <c r="K123" s="44"/>
    </row>
    <row r="124" spans="1:11" x14ac:dyDescent="0.3">
      <c r="B124" s="73"/>
      <c r="C124" s="17">
        <f t="shared" si="5"/>
        <v>46347</v>
      </c>
      <c r="D124" s="18" t="str">
        <f t="shared" ref="D124:D140" si="7">TEXT(C124,"aaa")</f>
        <v>토</v>
      </c>
      <c r="E124" s="205"/>
      <c r="F124" s="32"/>
      <c r="G124" s="32"/>
      <c r="H124" s="32"/>
      <c r="I124" s="32"/>
      <c r="J124" s="32"/>
      <c r="K124" s="44"/>
    </row>
    <row r="125" spans="1:11" x14ac:dyDescent="0.3">
      <c r="B125" s="72">
        <f>B118+1</f>
        <v>6</v>
      </c>
      <c r="C125" s="17">
        <f t="shared" si="5"/>
        <v>46348</v>
      </c>
      <c r="D125" s="18" t="str">
        <f t="shared" si="7"/>
        <v>일</v>
      </c>
      <c r="E125" s="18"/>
      <c r="F125" s="32"/>
      <c r="G125" s="32"/>
      <c r="H125" s="32"/>
      <c r="I125" s="32"/>
      <c r="J125" s="32"/>
      <c r="K125" s="44"/>
    </row>
    <row r="126" spans="1:11" x14ac:dyDescent="0.3">
      <c r="B126" s="73"/>
      <c r="C126" s="17">
        <f t="shared" si="5"/>
        <v>46349</v>
      </c>
      <c r="D126" s="18" t="str">
        <f t="shared" si="7"/>
        <v>월</v>
      </c>
      <c r="E126" s="205"/>
      <c r="F126" s="32"/>
      <c r="G126" s="32"/>
      <c r="H126" s="32"/>
      <c r="I126" s="32"/>
      <c r="J126" s="32"/>
      <c r="K126" s="44"/>
    </row>
    <row r="127" spans="1:11" x14ac:dyDescent="0.3">
      <c r="B127" s="73"/>
      <c r="C127" s="17">
        <f t="shared" si="5"/>
        <v>46350</v>
      </c>
      <c r="D127" s="18" t="str">
        <f t="shared" si="7"/>
        <v>화</v>
      </c>
      <c r="E127" s="205"/>
      <c r="F127" s="32"/>
      <c r="G127" s="32"/>
      <c r="H127" s="32"/>
      <c r="I127" s="32"/>
      <c r="J127" s="32"/>
      <c r="K127" s="44"/>
    </row>
    <row r="128" spans="1:11" x14ac:dyDescent="0.3">
      <c r="B128" s="73"/>
      <c r="C128" s="17">
        <f t="shared" si="5"/>
        <v>46351</v>
      </c>
      <c r="D128" s="18" t="str">
        <f t="shared" si="7"/>
        <v>수</v>
      </c>
      <c r="E128" s="18"/>
      <c r="F128" s="32"/>
      <c r="G128" s="32"/>
      <c r="H128" s="32"/>
      <c r="I128" s="32"/>
      <c r="J128" s="32"/>
      <c r="K128" s="44"/>
    </row>
    <row r="129" spans="1:11" x14ac:dyDescent="0.3">
      <c r="B129" s="73"/>
      <c r="C129" s="17">
        <f t="shared" si="5"/>
        <v>46352</v>
      </c>
      <c r="D129" s="18" t="str">
        <f t="shared" si="7"/>
        <v>목</v>
      </c>
      <c r="E129" s="205"/>
      <c r="F129" s="32"/>
      <c r="G129" s="32"/>
      <c r="H129" s="32"/>
      <c r="I129" s="32"/>
      <c r="J129" s="32"/>
      <c r="K129" s="44"/>
    </row>
    <row r="130" spans="1:11" x14ac:dyDescent="0.3">
      <c r="B130" s="73"/>
      <c r="C130" s="17">
        <f t="shared" si="5"/>
        <v>46353</v>
      </c>
      <c r="D130" s="18" t="str">
        <f t="shared" si="7"/>
        <v>금</v>
      </c>
      <c r="E130" s="205"/>
      <c r="F130" s="32"/>
      <c r="G130" s="32"/>
      <c r="H130" s="32"/>
      <c r="I130" s="32"/>
      <c r="J130" s="32"/>
      <c r="K130" s="44"/>
    </row>
    <row r="131" spans="1:11" x14ac:dyDescent="0.3">
      <c r="B131" s="73"/>
      <c r="C131" s="17">
        <f t="shared" si="5"/>
        <v>46354</v>
      </c>
      <c r="D131" s="18" t="str">
        <f t="shared" si="7"/>
        <v>토</v>
      </c>
      <c r="E131" s="205"/>
      <c r="F131" s="32"/>
      <c r="G131" s="32"/>
      <c r="H131" s="32"/>
      <c r="I131" s="32"/>
      <c r="J131" s="32"/>
      <c r="K131" s="44"/>
    </row>
    <row r="132" spans="1:11" x14ac:dyDescent="0.3">
      <c r="B132" s="72">
        <f>B125+1</f>
        <v>7</v>
      </c>
      <c r="C132" s="17">
        <f t="shared" si="5"/>
        <v>46355</v>
      </c>
      <c r="D132" s="18" t="str">
        <f t="shared" si="7"/>
        <v>일</v>
      </c>
      <c r="E132" s="205"/>
      <c r="F132" s="32"/>
      <c r="G132" s="32"/>
      <c r="H132" s="32"/>
      <c r="I132" s="32"/>
      <c r="J132" s="32"/>
      <c r="K132" s="44"/>
    </row>
    <row r="133" spans="1:11" x14ac:dyDescent="0.3">
      <c r="B133" s="73"/>
      <c r="C133" s="17">
        <f t="shared" si="5"/>
        <v>46356</v>
      </c>
      <c r="D133" s="18" t="str">
        <f t="shared" si="7"/>
        <v>월</v>
      </c>
      <c r="E133" s="205"/>
      <c r="F133" s="32"/>
      <c r="G133" s="32"/>
      <c r="H133" s="32"/>
      <c r="I133" s="32"/>
      <c r="J133" s="32"/>
      <c r="K133" s="44"/>
    </row>
    <row r="134" spans="1:11" x14ac:dyDescent="0.3">
      <c r="B134" s="73"/>
      <c r="C134" s="17">
        <f t="shared" si="5"/>
        <v>46357</v>
      </c>
      <c r="D134" s="18" t="str">
        <f t="shared" si="7"/>
        <v>화</v>
      </c>
      <c r="E134" s="205"/>
      <c r="F134" s="32"/>
      <c r="G134" s="32"/>
      <c r="H134" s="32"/>
      <c r="I134" s="32"/>
      <c r="J134" s="32"/>
      <c r="K134" s="44"/>
    </row>
    <row r="135" spans="1:11" x14ac:dyDescent="0.3">
      <c r="B135" s="73"/>
      <c r="C135" s="17">
        <f t="shared" si="5"/>
        <v>46358</v>
      </c>
      <c r="D135" s="18" t="str">
        <f t="shared" si="7"/>
        <v>수</v>
      </c>
      <c r="E135" s="205"/>
      <c r="F135" s="32"/>
      <c r="G135" s="32"/>
      <c r="H135" s="32"/>
      <c r="I135" s="32"/>
      <c r="J135" s="32"/>
      <c r="K135" s="44"/>
    </row>
    <row r="136" spans="1:11" x14ac:dyDescent="0.3">
      <c r="B136" s="73"/>
      <c r="C136" s="17">
        <f t="shared" si="5"/>
        <v>46359</v>
      </c>
      <c r="D136" s="18" t="str">
        <f t="shared" si="7"/>
        <v>목</v>
      </c>
      <c r="E136" s="205"/>
      <c r="F136" s="32"/>
      <c r="G136" s="32"/>
      <c r="H136" s="32"/>
      <c r="I136" s="32"/>
      <c r="J136" s="32"/>
      <c r="K136" s="44"/>
    </row>
    <row r="137" spans="1:11" x14ac:dyDescent="0.3">
      <c r="B137" s="73"/>
      <c r="C137" s="17">
        <f t="shared" si="5"/>
        <v>46360</v>
      </c>
      <c r="D137" s="18" t="str">
        <f t="shared" si="7"/>
        <v>금</v>
      </c>
      <c r="E137" s="205"/>
      <c r="F137" s="32"/>
      <c r="G137" s="32"/>
      <c r="H137" s="32"/>
      <c r="I137" s="32"/>
      <c r="J137" s="32"/>
      <c r="K137" s="44"/>
    </row>
    <row r="138" spans="1:11" x14ac:dyDescent="0.3">
      <c r="B138" s="73"/>
      <c r="C138" s="17">
        <f t="shared" si="5"/>
        <v>46361</v>
      </c>
      <c r="D138" s="18" t="str">
        <f t="shared" si="7"/>
        <v>토</v>
      </c>
      <c r="E138" s="205"/>
      <c r="F138" s="32"/>
      <c r="G138" s="32"/>
      <c r="H138" s="32"/>
      <c r="I138" s="32"/>
      <c r="J138" s="32"/>
      <c r="K138" s="44"/>
    </row>
    <row r="139" spans="1:11" x14ac:dyDescent="0.3">
      <c r="B139" s="72">
        <f>B132+1</f>
        <v>8</v>
      </c>
      <c r="C139" s="17">
        <f t="shared" si="5"/>
        <v>46362</v>
      </c>
      <c r="D139" s="18" t="str">
        <f t="shared" si="7"/>
        <v>일</v>
      </c>
      <c r="E139" s="205"/>
      <c r="F139" s="32"/>
      <c r="G139" s="32"/>
      <c r="H139" s="32"/>
      <c r="I139" s="32"/>
      <c r="J139" s="32"/>
      <c r="K139" s="44"/>
    </row>
    <row r="140" spans="1:11" x14ac:dyDescent="0.3">
      <c r="B140" s="73"/>
      <c r="C140" s="25">
        <f t="shared" si="5"/>
        <v>46363</v>
      </c>
      <c r="D140" s="26" t="str">
        <f t="shared" si="7"/>
        <v>월</v>
      </c>
      <c r="E140" s="205"/>
      <c r="F140" s="32"/>
      <c r="G140" s="32"/>
      <c r="H140" s="32"/>
      <c r="I140" s="32"/>
      <c r="J140" s="32"/>
      <c r="K140" s="44"/>
    </row>
    <row r="141" spans="1:11" x14ac:dyDescent="0.3">
      <c r="B141" s="73"/>
      <c r="C141" s="17">
        <f t="shared" si="5"/>
        <v>46364</v>
      </c>
      <c r="D141" s="18" t="str">
        <f t="shared" ref="D141:D189" si="8">TEXT(C141,"aaa")</f>
        <v>화</v>
      </c>
      <c r="E141" s="205"/>
      <c r="F141" s="32"/>
      <c r="G141" s="32"/>
      <c r="H141" s="32"/>
      <c r="I141" s="32"/>
      <c r="J141" s="32"/>
      <c r="K141" s="44"/>
    </row>
    <row r="142" spans="1:11" x14ac:dyDescent="0.3">
      <c r="B142" s="73"/>
      <c r="C142" s="17">
        <f t="shared" si="5"/>
        <v>46365</v>
      </c>
      <c r="D142" s="18" t="str">
        <f t="shared" si="8"/>
        <v>수</v>
      </c>
      <c r="E142" s="205"/>
      <c r="F142" s="32"/>
      <c r="G142" s="32"/>
      <c r="H142" s="32"/>
      <c r="I142" s="32"/>
      <c r="J142" s="32"/>
      <c r="K142" s="44"/>
    </row>
    <row r="143" spans="1:11" x14ac:dyDescent="0.3">
      <c r="B143" s="73"/>
      <c r="C143" s="17">
        <f t="shared" si="5"/>
        <v>46366</v>
      </c>
      <c r="D143" s="18" t="str">
        <f t="shared" si="8"/>
        <v>목</v>
      </c>
      <c r="E143" s="205"/>
      <c r="F143" s="32"/>
      <c r="G143" s="32"/>
      <c r="H143" s="32"/>
      <c r="I143" s="32"/>
      <c r="J143" s="32"/>
      <c r="K143" s="55"/>
    </row>
    <row r="144" spans="1:11" x14ac:dyDescent="0.3">
      <c r="A144" s="47"/>
      <c r="B144" s="73"/>
      <c r="C144" s="17">
        <f t="shared" si="5"/>
        <v>46367</v>
      </c>
      <c r="D144" s="18" t="str">
        <f t="shared" si="8"/>
        <v>금</v>
      </c>
      <c r="E144" s="205"/>
      <c r="F144" s="32"/>
      <c r="G144" s="32"/>
      <c r="H144" s="32"/>
      <c r="I144" s="32"/>
      <c r="J144" s="32"/>
      <c r="K144" s="44"/>
    </row>
    <row r="145" spans="1:11" x14ac:dyDescent="0.3">
      <c r="B145" s="73"/>
      <c r="C145" s="17">
        <f t="shared" si="5"/>
        <v>46368</v>
      </c>
      <c r="D145" s="18" t="str">
        <f t="shared" si="8"/>
        <v>토</v>
      </c>
      <c r="E145" s="205"/>
      <c r="F145" s="32"/>
      <c r="G145" s="32"/>
      <c r="H145" s="32"/>
      <c r="I145" s="32"/>
      <c r="J145" s="32"/>
      <c r="K145" s="44"/>
    </row>
    <row r="146" spans="1:11" x14ac:dyDescent="0.3">
      <c r="B146" s="72">
        <f>B139+1</f>
        <v>9</v>
      </c>
      <c r="C146" s="17">
        <f t="shared" si="5"/>
        <v>46369</v>
      </c>
      <c r="D146" s="18" t="str">
        <f t="shared" si="8"/>
        <v>일</v>
      </c>
      <c r="E146" s="205"/>
      <c r="F146" s="32"/>
      <c r="G146" s="32"/>
      <c r="H146" s="32"/>
      <c r="I146" s="32"/>
      <c r="J146" s="32"/>
      <c r="K146" s="44"/>
    </row>
    <row r="147" spans="1:11" x14ac:dyDescent="0.3">
      <c r="B147" s="73"/>
      <c r="C147" s="25">
        <f t="shared" si="5"/>
        <v>46370</v>
      </c>
      <c r="D147" s="26" t="str">
        <f t="shared" si="8"/>
        <v>월</v>
      </c>
      <c r="E147" s="205"/>
      <c r="F147" s="32"/>
      <c r="G147" s="32"/>
      <c r="H147" s="32"/>
      <c r="I147" s="32"/>
      <c r="J147" s="32"/>
      <c r="K147" s="44"/>
    </row>
    <row r="148" spans="1:11" x14ac:dyDescent="0.3">
      <c r="A148" s="47">
        <f>C148</f>
        <v>46371</v>
      </c>
      <c r="B148" s="73"/>
      <c r="C148" s="17">
        <f t="shared" si="5"/>
        <v>46371</v>
      </c>
      <c r="D148" s="18" t="str">
        <f t="shared" si="8"/>
        <v>화</v>
      </c>
      <c r="E148" s="205"/>
      <c r="F148" s="32"/>
      <c r="G148" s="32"/>
      <c r="H148" s="32"/>
      <c r="I148" s="32"/>
      <c r="J148" s="32"/>
      <c r="K148" s="44"/>
    </row>
    <row r="149" spans="1:11" x14ac:dyDescent="0.3">
      <c r="B149" s="73"/>
      <c r="C149" s="17">
        <f t="shared" si="5"/>
        <v>46372</v>
      </c>
      <c r="D149" s="18" t="str">
        <f t="shared" si="8"/>
        <v>수</v>
      </c>
      <c r="E149" s="205"/>
      <c r="F149" s="32"/>
      <c r="G149" s="32"/>
      <c r="H149" s="32"/>
      <c r="I149" s="32"/>
      <c r="J149" s="32"/>
      <c r="K149" s="44"/>
    </row>
    <row r="150" spans="1:11" x14ac:dyDescent="0.3">
      <c r="B150" s="73"/>
      <c r="C150" s="17">
        <f t="shared" si="5"/>
        <v>46373</v>
      </c>
      <c r="D150" s="18" t="str">
        <f t="shared" si="8"/>
        <v>목</v>
      </c>
      <c r="E150" s="205"/>
      <c r="F150" s="32"/>
      <c r="G150" s="19"/>
      <c r="H150" s="19"/>
      <c r="I150" s="19"/>
      <c r="J150" s="19"/>
      <c r="K150" s="44"/>
    </row>
    <row r="151" spans="1:11" x14ac:dyDescent="0.3">
      <c r="B151" s="73"/>
      <c r="C151" s="17">
        <f t="shared" si="5"/>
        <v>46374</v>
      </c>
      <c r="D151" s="18" t="str">
        <f t="shared" si="8"/>
        <v>금</v>
      </c>
      <c r="E151" s="205"/>
      <c r="F151" s="32"/>
      <c r="G151" s="19"/>
      <c r="H151" s="19"/>
      <c r="I151" s="19"/>
      <c r="J151" s="19"/>
      <c r="K151" s="44"/>
    </row>
    <row r="152" spans="1:11" x14ac:dyDescent="0.3">
      <c r="B152" s="73"/>
      <c r="C152" s="17">
        <f t="shared" si="5"/>
        <v>46375</v>
      </c>
      <c r="D152" s="18" t="str">
        <f t="shared" si="8"/>
        <v>토</v>
      </c>
      <c r="E152" s="205"/>
      <c r="F152" s="32"/>
      <c r="G152" s="19"/>
      <c r="H152" s="19"/>
      <c r="I152" s="19"/>
      <c r="J152" s="19"/>
      <c r="K152" s="44"/>
    </row>
    <row r="153" spans="1:11" x14ac:dyDescent="0.3">
      <c r="B153" s="72">
        <f>B146+1</f>
        <v>10</v>
      </c>
      <c r="C153" s="17">
        <f t="shared" si="5"/>
        <v>46376</v>
      </c>
      <c r="D153" s="18" t="str">
        <f t="shared" si="8"/>
        <v>일</v>
      </c>
      <c r="E153" s="205"/>
      <c r="F153" s="32"/>
      <c r="G153" s="19"/>
      <c r="H153" s="19"/>
      <c r="I153" s="19"/>
      <c r="J153" s="19"/>
      <c r="K153" s="44"/>
    </row>
    <row r="154" spans="1:11" x14ac:dyDescent="0.3">
      <c r="B154" s="73"/>
      <c r="C154" s="25">
        <f t="shared" si="5"/>
        <v>46377</v>
      </c>
      <c r="D154" s="26" t="str">
        <f t="shared" si="8"/>
        <v>월</v>
      </c>
      <c r="E154" s="205"/>
      <c r="F154" s="32"/>
      <c r="G154" s="19"/>
      <c r="H154" s="19"/>
      <c r="I154" s="19"/>
      <c r="J154" s="19"/>
      <c r="K154" s="44"/>
    </row>
    <row r="155" spans="1:11" x14ac:dyDescent="0.3">
      <c r="B155" s="73"/>
      <c r="C155" s="17">
        <f t="shared" si="5"/>
        <v>46378</v>
      </c>
      <c r="D155" s="18" t="str">
        <f t="shared" si="8"/>
        <v>화</v>
      </c>
      <c r="E155" s="205"/>
      <c r="F155" s="32"/>
      <c r="G155" s="19"/>
      <c r="H155" s="19"/>
      <c r="I155" s="19"/>
      <c r="J155" s="19"/>
      <c r="K155" s="44"/>
    </row>
    <row r="156" spans="1:11" x14ac:dyDescent="0.3">
      <c r="B156" s="73"/>
      <c r="C156" s="17">
        <f t="shared" si="5"/>
        <v>46379</v>
      </c>
      <c r="D156" s="18" t="str">
        <f t="shared" si="8"/>
        <v>수</v>
      </c>
      <c r="E156" s="205"/>
      <c r="F156" s="32"/>
      <c r="G156" s="19"/>
      <c r="H156" s="19"/>
      <c r="I156" s="19"/>
      <c r="J156" s="19"/>
      <c r="K156" s="44"/>
    </row>
    <row r="157" spans="1:11" x14ac:dyDescent="0.3">
      <c r="B157" s="73"/>
      <c r="C157" s="17">
        <f t="shared" si="5"/>
        <v>46380</v>
      </c>
      <c r="D157" s="18" t="str">
        <f t="shared" si="8"/>
        <v>목</v>
      </c>
      <c r="E157" s="205"/>
      <c r="F157" s="32"/>
      <c r="G157" s="19"/>
      <c r="H157" s="19"/>
      <c r="I157" s="19"/>
      <c r="J157" s="19"/>
      <c r="K157" s="44"/>
    </row>
    <row r="158" spans="1:11" x14ac:dyDescent="0.3">
      <c r="B158" s="73"/>
      <c r="C158" s="50">
        <f t="shared" si="5"/>
        <v>46381</v>
      </c>
      <c r="D158" s="51" t="str">
        <f t="shared" si="8"/>
        <v>금</v>
      </c>
      <c r="E158" s="216"/>
      <c r="F158" s="52"/>
      <c r="G158" s="53"/>
      <c r="H158" s="53"/>
      <c r="I158" s="53"/>
      <c r="J158" s="53"/>
      <c r="K158" s="54"/>
    </row>
    <row r="159" spans="1:11" x14ac:dyDescent="0.3">
      <c r="B159" s="73"/>
      <c r="C159" s="17">
        <f t="shared" si="5"/>
        <v>46382</v>
      </c>
      <c r="D159" s="18" t="str">
        <f t="shared" si="8"/>
        <v>토</v>
      </c>
      <c r="E159" s="205"/>
      <c r="F159" s="32"/>
      <c r="G159" s="19"/>
      <c r="H159" s="19"/>
      <c r="I159" s="19"/>
      <c r="J159" s="19"/>
      <c r="K159" s="44"/>
    </row>
    <row r="160" spans="1:11" x14ac:dyDescent="0.3">
      <c r="B160" s="72">
        <f>B153+1</f>
        <v>11</v>
      </c>
      <c r="C160" s="17">
        <f t="shared" si="5"/>
        <v>46383</v>
      </c>
      <c r="D160" s="18" t="str">
        <f t="shared" si="8"/>
        <v>일</v>
      </c>
      <c r="E160" s="205"/>
      <c r="F160" s="32"/>
      <c r="G160" s="19"/>
      <c r="H160" s="19"/>
      <c r="I160" s="19"/>
      <c r="J160" s="19"/>
      <c r="K160" s="44"/>
    </row>
    <row r="161" spans="1:11" x14ac:dyDescent="0.3">
      <c r="B161" s="73"/>
      <c r="C161" s="25">
        <f t="shared" si="5"/>
        <v>46384</v>
      </c>
      <c r="D161" s="26" t="str">
        <f t="shared" si="8"/>
        <v>월</v>
      </c>
      <c r="E161" s="205"/>
      <c r="F161" s="32"/>
      <c r="G161" s="19"/>
      <c r="H161" s="19"/>
      <c r="I161" s="19"/>
      <c r="J161" s="19"/>
      <c r="K161" s="44"/>
    </row>
    <row r="162" spans="1:11" x14ac:dyDescent="0.3">
      <c r="B162" s="73"/>
      <c r="C162" s="36"/>
      <c r="D162" s="37"/>
      <c r="E162" s="221"/>
      <c r="F162" s="38"/>
      <c r="G162" s="39"/>
      <c r="H162" s="39"/>
      <c r="I162" s="39"/>
      <c r="J162" s="39"/>
      <c r="K162" s="56"/>
    </row>
    <row r="163" spans="1:11" x14ac:dyDescent="0.3">
      <c r="B163" s="73"/>
      <c r="C163" s="17">
        <f t="shared" si="5"/>
        <v>1</v>
      </c>
      <c r="D163" s="18" t="str">
        <f t="shared" si="8"/>
        <v>일</v>
      </c>
      <c r="E163" s="205"/>
      <c r="F163" s="32"/>
      <c r="G163" s="19"/>
      <c r="H163" s="19"/>
      <c r="I163" s="19"/>
      <c r="J163" s="19"/>
      <c r="K163" s="44"/>
    </row>
    <row r="164" spans="1:11" x14ac:dyDescent="0.3">
      <c r="B164" s="73"/>
      <c r="C164" s="17">
        <f t="shared" si="5"/>
        <v>2</v>
      </c>
      <c r="D164" s="18" t="str">
        <f t="shared" si="8"/>
        <v>월</v>
      </c>
      <c r="E164" s="205"/>
      <c r="F164" s="32"/>
      <c r="G164" s="19"/>
      <c r="H164" s="19"/>
      <c r="I164" s="19"/>
      <c r="J164" s="19"/>
      <c r="K164" s="44"/>
    </row>
    <row r="165" spans="1:11" x14ac:dyDescent="0.3">
      <c r="B165" s="73"/>
      <c r="C165" s="17">
        <f t="shared" si="5"/>
        <v>3</v>
      </c>
      <c r="D165" s="18" t="str">
        <f t="shared" si="8"/>
        <v>화</v>
      </c>
      <c r="E165" s="205"/>
      <c r="F165" s="32"/>
      <c r="G165" s="19"/>
      <c r="H165" s="19"/>
      <c r="I165" s="19"/>
      <c r="J165" s="19"/>
      <c r="K165" s="44"/>
    </row>
    <row r="166" spans="1:11" x14ac:dyDescent="0.3">
      <c r="B166" s="73"/>
      <c r="C166" s="17">
        <f t="shared" si="5"/>
        <v>4</v>
      </c>
      <c r="D166" s="18" t="str">
        <f t="shared" si="8"/>
        <v>수</v>
      </c>
      <c r="E166" s="205"/>
      <c r="F166" s="32"/>
      <c r="G166" s="19"/>
      <c r="H166" s="19"/>
      <c r="I166" s="19"/>
      <c r="J166" s="19"/>
      <c r="K166" s="44"/>
    </row>
    <row r="167" spans="1:11" x14ac:dyDescent="0.3">
      <c r="B167" s="72">
        <f>B160+1</f>
        <v>12</v>
      </c>
      <c r="C167" s="17">
        <f t="shared" si="5"/>
        <v>5</v>
      </c>
      <c r="D167" s="18" t="str">
        <f t="shared" si="8"/>
        <v>목</v>
      </c>
      <c r="E167" s="205"/>
      <c r="F167" s="32"/>
      <c r="G167" s="19"/>
      <c r="H167" s="19"/>
      <c r="I167" s="19"/>
      <c r="J167" s="19"/>
      <c r="K167" s="44"/>
    </row>
    <row r="168" spans="1:11" x14ac:dyDescent="0.3">
      <c r="C168" s="25">
        <f t="shared" si="5"/>
        <v>6</v>
      </c>
      <c r="D168" s="26" t="str">
        <f t="shared" si="8"/>
        <v>금</v>
      </c>
      <c r="E168" s="205"/>
      <c r="F168" s="32"/>
      <c r="G168" s="19"/>
      <c r="H168" s="19"/>
      <c r="I168" s="19"/>
      <c r="J168" s="19"/>
      <c r="K168" s="44"/>
    </row>
    <row r="169" spans="1:11" x14ac:dyDescent="0.3">
      <c r="B169" s="1"/>
      <c r="C169" s="17">
        <f t="shared" si="5"/>
        <v>7</v>
      </c>
      <c r="D169" s="18" t="str">
        <f t="shared" si="8"/>
        <v>토</v>
      </c>
      <c r="E169" s="205"/>
      <c r="F169" s="32"/>
      <c r="G169" s="19"/>
      <c r="H169" s="19"/>
      <c r="I169" s="19"/>
      <c r="J169" s="19"/>
      <c r="K169" s="44"/>
    </row>
    <row r="170" spans="1:11" x14ac:dyDescent="0.3">
      <c r="B170" s="73"/>
      <c r="C170" s="17">
        <f t="shared" si="5"/>
        <v>8</v>
      </c>
      <c r="D170" s="18" t="str">
        <f t="shared" si="8"/>
        <v>일</v>
      </c>
      <c r="E170" s="205"/>
      <c r="F170" s="32"/>
      <c r="G170" s="19"/>
      <c r="H170" s="19"/>
      <c r="I170" s="19"/>
      <c r="J170" s="19"/>
      <c r="K170" s="44"/>
    </row>
    <row r="171" spans="1:11" x14ac:dyDescent="0.3">
      <c r="B171" s="73"/>
      <c r="C171" s="17">
        <f t="shared" si="5"/>
        <v>9</v>
      </c>
      <c r="D171" s="18" t="str">
        <f t="shared" si="8"/>
        <v>월</v>
      </c>
      <c r="E171" s="205"/>
      <c r="F171" s="32"/>
      <c r="G171" s="19"/>
      <c r="H171" s="19"/>
      <c r="I171" s="19"/>
      <c r="J171" s="19"/>
      <c r="K171" s="44"/>
    </row>
    <row r="172" spans="1:11" x14ac:dyDescent="0.3">
      <c r="B172" s="73"/>
      <c r="C172" s="17">
        <f t="shared" ref="C172:C189" si="9">C171+1</f>
        <v>10</v>
      </c>
      <c r="D172" s="18" t="str">
        <f t="shared" si="8"/>
        <v>화</v>
      </c>
      <c r="E172" s="205"/>
      <c r="F172" s="32"/>
      <c r="G172" s="19"/>
      <c r="H172" s="19"/>
      <c r="I172" s="19"/>
      <c r="J172" s="19"/>
      <c r="K172" s="44"/>
    </row>
    <row r="173" spans="1:11" x14ac:dyDescent="0.3">
      <c r="B173" s="73"/>
      <c r="C173" s="17">
        <f t="shared" si="9"/>
        <v>11</v>
      </c>
      <c r="D173" s="18" t="str">
        <f t="shared" si="8"/>
        <v>수</v>
      </c>
      <c r="E173" s="205"/>
      <c r="F173" s="32"/>
      <c r="G173" s="19"/>
      <c r="H173" s="19"/>
      <c r="I173" s="19"/>
      <c r="J173" s="19"/>
      <c r="K173" s="44"/>
    </row>
    <row r="174" spans="1:11" x14ac:dyDescent="0.3">
      <c r="B174" s="73"/>
      <c r="C174" s="17">
        <f t="shared" si="9"/>
        <v>12</v>
      </c>
      <c r="D174" s="18" t="str">
        <f t="shared" si="8"/>
        <v>목</v>
      </c>
      <c r="E174" s="205"/>
      <c r="F174" s="32"/>
      <c r="G174" s="19"/>
      <c r="H174" s="19"/>
      <c r="I174" s="19"/>
      <c r="J174" s="19"/>
      <c r="K174" s="44"/>
    </row>
    <row r="175" spans="1:11" x14ac:dyDescent="0.3">
      <c r="A175" s="49"/>
      <c r="B175" s="75"/>
      <c r="C175" s="25">
        <f t="shared" si="9"/>
        <v>13</v>
      </c>
      <c r="D175" s="26" t="str">
        <f t="shared" si="8"/>
        <v>금</v>
      </c>
      <c r="E175" s="205"/>
      <c r="F175" s="32"/>
      <c r="G175" s="19"/>
      <c r="H175" s="19"/>
      <c r="I175" s="19"/>
      <c r="J175" s="19"/>
      <c r="K175" s="44"/>
    </row>
    <row r="176" spans="1:11" x14ac:dyDescent="0.3">
      <c r="A176" s="14">
        <f>C176</f>
        <v>14</v>
      </c>
      <c r="B176" s="60">
        <f>B167+1</f>
        <v>13</v>
      </c>
      <c r="C176" s="17">
        <f t="shared" si="9"/>
        <v>14</v>
      </c>
      <c r="D176" s="18" t="str">
        <f t="shared" si="8"/>
        <v>토</v>
      </c>
      <c r="E176" s="205"/>
      <c r="F176" s="32"/>
      <c r="G176" s="19"/>
      <c r="H176" s="19"/>
      <c r="I176" s="19"/>
      <c r="J176" s="19"/>
      <c r="K176" s="44"/>
    </row>
    <row r="177" spans="1:11" x14ac:dyDescent="0.3">
      <c r="B177" s="61"/>
      <c r="C177" s="17">
        <f t="shared" si="9"/>
        <v>15</v>
      </c>
      <c r="D177" s="18" t="str">
        <f t="shared" si="8"/>
        <v>일</v>
      </c>
      <c r="E177" s="205"/>
      <c r="F177" s="32"/>
      <c r="G177" s="19"/>
      <c r="H177" s="19"/>
      <c r="I177" s="19"/>
      <c r="J177" s="19"/>
      <c r="K177" s="44"/>
    </row>
    <row r="178" spans="1:11" x14ac:dyDescent="0.3">
      <c r="B178" s="61"/>
      <c r="C178" s="17">
        <f t="shared" si="9"/>
        <v>16</v>
      </c>
      <c r="D178" s="18" t="str">
        <f t="shared" si="8"/>
        <v>월</v>
      </c>
      <c r="E178" s="205"/>
      <c r="F178" s="32"/>
      <c r="G178" s="19"/>
      <c r="H178" s="19"/>
      <c r="I178" s="19"/>
      <c r="J178" s="19"/>
      <c r="K178" s="44"/>
    </row>
    <row r="179" spans="1:11" x14ac:dyDescent="0.3">
      <c r="B179" s="61"/>
      <c r="C179" s="17">
        <f t="shared" si="9"/>
        <v>17</v>
      </c>
      <c r="D179" s="18" t="str">
        <f t="shared" si="8"/>
        <v>화</v>
      </c>
      <c r="E179" s="205"/>
      <c r="F179" s="32"/>
      <c r="G179" s="19"/>
      <c r="H179" s="19"/>
      <c r="I179" s="19"/>
      <c r="J179" s="19"/>
      <c r="K179" s="44"/>
    </row>
    <row r="180" spans="1:11" x14ac:dyDescent="0.3">
      <c r="B180" s="61"/>
      <c r="C180" s="17">
        <f t="shared" si="9"/>
        <v>18</v>
      </c>
      <c r="D180" s="18" t="str">
        <f t="shared" si="8"/>
        <v>수</v>
      </c>
      <c r="E180" s="205"/>
      <c r="F180" s="32"/>
      <c r="G180" s="19"/>
      <c r="H180" s="19"/>
      <c r="I180" s="19"/>
      <c r="J180" s="19"/>
      <c r="K180" s="44"/>
    </row>
    <row r="181" spans="1:11" x14ac:dyDescent="0.3">
      <c r="B181" s="61"/>
      <c r="C181" s="17">
        <f t="shared" si="9"/>
        <v>19</v>
      </c>
      <c r="D181" s="18" t="str">
        <f t="shared" si="8"/>
        <v>목</v>
      </c>
      <c r="E181" s="205"/>
      <c r="F181" s="32"/>
      <c r="G181" s="19"/>
      <c r="H181" s="19"/>
      <c r="I181" s="19"/>
      <c r="J181" s="19"/>
      <c r="K181" s="44"/>
    </row>
    <row r="182" spans="1:11" x14ac:dyDescent="0.3">
      <c r="A182" s="49"/>
      <c r="B182" s="62"/>
      <c r="C182" s="25">
        <f t="shared" si="9"/>
        <v>20</v>
      </c>
      <c r="D182" s="26" t="str">
        <f t="shared" si="8"/>
        <v>금</v>
      </c>
      <c r="E182" s="205"/>
      <c r="F182" s="32"/>
      <c r="G182" s="19"/>
      <c r="H182" s="19"/>
      <c r="I182" s="19"/>
      <c r="J182" s="19"/>
      <c r="K182" s="44"/>
    </row>
    <row r="183" spans="1:11" x14ac:dyDescent="0.3">
      <c r="B183" s="60">
        <f>B176+1</f>
        <v>14</v>
      </c>
      <c r="C183" s="17">
        <f t="shared" si="9"/>
        <v>21</v>
      </c>
      <c r="D183" s="18" t="str">
        <f t="shared" si="8"/>
        <v>토</v>
      </c>
      <c r="E183" s="205"/>
      <c r="F183" s="32"/>
      <c r="G183" s="19"/>
      <c r="H183" s="19"/>
      <c r="I183" s="19"/>
      <c r="J183" s="19"/>
      <c r="K183" s="44"/>
    </row>
    <row r="184" spans="1:11" x14ac:dyDescent="0.3">
      <c r="B184" s="61"/>
      <c r="C184" s="17">
        <f t="shared" si="9"/>
        <v>22</v>
      </c>
      <c r="D184" s="18" t="str">
        <f t="shared" si="8"/>
        <v>일</v>
      </c>
      <c r="E184" s="205"/>
      <c r="F184" s="32"/>
      <c r="G184" s="19"/>
      <c r="H184" s="19"/>
      <c r="I184" s="19"/>
      <c r="J184" s="19"/>
      <c r="K184" s="44"/>
    </row>
    <row r="185" spans="1:11" x14ac:dyDescent="0.3">
      <c r="B185" s="61"/>
      <c r="C185" s="17">
        <f t="shared" si="9"/>
        <v>23</v>
      </c>
      <c r="D185" s="18" t="str">
        <f t="shared" si="8"/>
        <v>월</v>
      </c>
      <c r="E185" s="205"/>
      <c r="F185" s="32"/>
      <c r="G185" s="19"/>
      <c r="H185" s="19"/>
      <c r="I185" s="19"/>
      <c r="J185" s="19"/>
      <c r="K185" s="44"/>
    </row>
    <row r="186" spans="1:11" x14ac:dyDescent="0.3">
      <c r="B186" s="61"/>
      <c r="C186" s="17">
        <f t="shared" si="9"/>
        <v>24</v>
      </c>
      <c r="D186" s="18" t="str">
        <f t="shared" si="8"/>
        <v>화</v>
      </c>
      <c r="E186" s="205"/>
      <c r="F186" s="32"/>
      <c r="G186" s="19"/>
      <c r="H186" s="19"/>
      <c r="I186" s="19"/>
      <c r="J186" s="19"/>
      <c r="K186" s="44"/>
    </row>
    <row r="187" spans="1:11" x14ac:dyDescent="0.3">
      <c r="B187" s="61"/>
      <c r="C187" s="17">
        <f t="shared" si="9"/>
        <v>25</v>
      </c>
      <c r="D187" s="18" t="str">
        <f t="shared" si="8"/>
        <v>수</v>
      </c>
      <c r="E187" s="205"/>
      <c r="F187" s="32"/>
      <c r="G187" s="19"/>
      <c r="H187" s="19"/>
      <c r="I187" s="19"/>
      <c r="J187" s="19"/>
      <c r="K187" s="44"/>
    </row>
    <row r="188" spans="1:11" x14ac:dyDescent="0.3">
      <c r="B188" s="61"/>
      <c r="C188" s="17">
        <f t="shared" si="9"/>
        <v>26</v>
      </c>
      <c r="D188" s="18" t="str">
        <f t="shared" si="8"/>
        <v>목</v>
      </c>
      <c r="E188" s="205"/>
      <c r="F188" s="32"/>
      <c r="G188" s="19"/>
      <c r="H188" s="19"/>
      <c r="I188" s="19"/>
      <c r="J188" s="19"/>
      <c r="K188" s="44"/>
    </row>
    <row r="189" spans="1:11" x14ac:dyDescent="0.3">
      <c r="A189" s="49"/>
      <c r="B189" s="62"/>
      <c r="C189" s="25">
        <f t="shared" si="9"/>
        <v>27</v>
      </c>
      <c r="D189" s="26" t="str">
        <f t="shared" si="8"/>
        <v>금</v>
      </c>
      <c r="E189" s="205"/>
      <c r="F189" s="32"/>
      <c r="G189" s="19"/>
      <c r="H189" s="19"/>
      <c r="I189" s="19"/>
      <c r="J189" s="19"/>
      <c r="K189" s="44"/>
    </row>
  </sheetData>
  <mergeCells count="8">
    <mergeCell ref="C4:D5"/>
    <mergeCell ref="C6:D6"/>
    <mergeCell ref="O1:Q1"/>
    <mergeCell ref="O2:P2"/>
    <mergeCell ref="A1:C1"/>
    <mergeCell ref="A2:C2"/>
    <mergeCell ref="A4:B5"/>
    <mergeCell ref="A6:B6"/>
  </mergeCells>
  <phoneticPr fontId="3" type="noConversion"/>
  <conditionalFormatting sqref="L7:L98 C156:J161 C155:E155 H155:J155 C162:K189 C120:D120 C58:D59 C122:E122 K7:K161 C123:J154 C100:J119 C98:G99 I98:J99 C65:J97 C63:H63 J63:J64 I64 C54:J56 C53:H53 J53 C60:J62 C64:G64 I57:J57 C7:J52 C57:G57">
    <cfRule type="expression" dxfId="50" priority="194" stopIfTrue="1">
      <formula>$C7=$A$2</formula>
    </cfRule>
  </conditionalFormatting>
  <conditionalFormatting sqref="L7:L98 C156:J161 C155:E155 H155:J155 C162:K189 C120:D120 C58:D59 C122:E122 K7:K161 C123:J154 C100:J119 C98:G99 I98:J99 C65:J97 C63:H63 J63:J64 I64 C54:J56 C53:H53 J53 C60:J62 C64:G64 I57:J57 C7:J52 C57:G57">
    <cfRule type="expression" dxfId="49" priority="212" stopIfTrue="1">
      <formula>($C7=$A$2)</formula>
    </cfRule>
    <cfRule type="expression" dxfId="48" priority="213" stopIfTrue="1">
      <formula>OR($D7="토",$D7="일")</formula>
    </cfRule>
  </conditionalFormatting>
  <conditionalFormatting sqref="F155:G155">
    <cfRule type="expression" dxfId="47" priority="64" stopIfTrue="1">
      <formula>$C120=$A$2</formula>
    </cfRule>
  </conditionalFormatting>
  <conditionalFormatting sqref="F155:G155">
    <cfRule type="expression" dxfId="46" priority="65" stopIfTrue="1">
      <formula>($C120=$A$2)</formula>
    </cfRule>
    <cfRule type="expression" dxfId="45" priority="66" stopIfTrue="1">
      <formula>OR($D120="토",$D120="일")</formula>
    </cfRule>
  </conditionalFormatting>
  <conditionalFormatting sqref="E58:G58 J58 H98">
    <cfRule type="expression" dxfId="44" priority="231" stopIfTrue="1">
      <formula>$C59=$A$2</formula>
    </cfRule>
  </conditionalFormatting>
  <conditionalFormatting sqref="E58:G58 J58 H98">
    <cfRule type="expression" dxfId="43" priority="236" stopIfTrue="1">
      <formula>($C59=$A$2)</formula>
    </cfRule>
    <cfRule type="expression" dxfId="42" priority="237" stopIfTrue="1">
      <formula>OR($D59="토",$D59="일")</formula>
    </cfRule>
  </conditionalFormatting>
  <conditionalFormatting sqref="E59:F59 J59 H59">
    <cfRule type="expression" dxfId="41" priority="46" stopIfTrue="1">
      <formula>$C59=$A$2</formula>
    </cfRule>
  </conditionalFormatting>
  <conditionalFormatting sqref="E59:F59 J59 H59">
    <cfRule type="expression" dxfId="40" priority="47" stopIfTrue="1">
      <formula>($C59=$A$2)</formula>
    </cfRule>
    <cfRule type="expression" dxfId="39" priority="48" stopIfTrue="1">
      <formula>OR($D59="토",$D59="일")</formula>
    </cfRule>
  </conditionalFormatting>
  <conditionalFormatting sqref="E120">
    <cfRule type="expression" dxfId="38" priority="251" stopIfTrue="1">
      <formula>$C128=$A$2</formula>
    </cfRule>
  </conditionalFormatting>
  <conditionalFormatting sqref="E120">
    <cfRule type="expression" dxfId="37" priority="252" stopIfTrue="1">
      <formula>($C128=$A$2)</formula>
    </cfRule>
    <cfRule type="expression" dxfId="36" priority="253" stopIfTrue="1">
      <formula>OR($D128="토",$D128="일")</formula>
    </cfRule>
  </conditionalFormatting>
  <conditionalFormatting sqref="C121:E121">
    <cfRule type="expression" dxfId="35" priority="37" stopIfTrue="1">
      <formula>$C121=$A$2</formula>
    </cfRule>
  </conditionalFormatting>
  <conditionalFormatting sqref="C121:E121">
    <cfRule type="expression" dxfId="34" priority="38" stopIfTrue="1">
      <formula>($C121=$A$2)</formula>
    </cfRule>
    <cfRule type="expression" dxfId="33" priority="39" stopIfTrue="1">
      <formula>OR($D121="토",$D121="일")</formula>
    </cfRule>
  </conditionalFormatting>
  <conditionalFormatting sqref="F120:J120">
    <cfRule type="expression" dxfId="32" priority="34" stopIfTrue="1">
      <formula>$C128=$A$2</formula>
    </cfRule>
  </conditionalFormatting>
  <conditionalFormatting sqref="F120:J120">
    <cfRule type="expression" dxfId="31" priority="35" stopIfTrue="1">
      <formula>($C128=$A$2)</formula>
    </cfRule>
    <cfRule type="expression" dxfId="30" priority="36" stopIfTrue="1">
      <formula>OR($D128="토",$D128="일")</formula>
    </cfRule>
  </conditionalFormatting>
  <conditionalFormatting sqref="F121:J121">
    <cfRule type="expression" dxfId="29" priority="31" stopIfTrue="1">
      <formula>$C121=$A$2</formula>
    </cfRule>
  </conditionalFormatting>
  <conditionalFormatting sqref="F121:J121">
    <cfRule type="expression" dxfId="28" priority="32" stopIfTrue="1">
      <formula>($C121=$A$2)</formula>
    </cfRule>
    <cfRule type="expression" dxfId="27" priority="33" stopIfTrue="1">
      <formula>OR($D121="토",$D121="일")</formula>
    </cfRule>
  </conditionalFormatting>
  <conditionalFormatting sqref="F122:J122">
    <cfRule type="expression" dxfId="26" priority="28" stopIfTrue="1">
      <formula>$C122=$A$2</formula>
    </cfRule>
  </conditionalFormatting>
  <conditionalFormatting sqref="F122:J122">
    <cfRule type="expression" dxfId="25" priority="29" stopIfTrue="1">
      <formula>($C122=$A$2)</formula>
    </cfRule>
    <cfRule type="expression" dxfId="24" priority="30" stopIfTrue="1">
      <formula>OR($D122="토",$D122="일")</formula>
    </cfRule>
  </conditionalFormatting>
  <conditionalFormatting sqref="I58">
    <cfRule type="expression" dxfId="23" priority="22" stopIfTrue="1">
      <formula>$C58=$A$2</formula>
    </cfRule>
  </conditionalFormatting>
  <conditionalFormatting sqref="I58">
    <cfRule type="expression" dxfId="22" priority="23" stopIfTrue="1">
      <formula>($C58=$A$2)</formula>
    </cfRule>
    <cfRule type="expression" dxfId="21" priority="24" stopIfTrue="1">
      <formula>OR($D58="토",$D58="일")</formula>
    </cfRule>
  </conditionalFormatting>
  <conditionalFormatting sqref="I63">
    <cfRule type="expression" dxfId="17" priority="16" stopIfTrue="1">
      <formula>$C63=$A$2</formula>
    </cfRule>
  </conditionalFormatting>
  <conditionalFormatting sqref="I63">
    <cfRule type="expression" dxfId="16" priority="17" stopIfTrue="1">
      <formula>($C63=$A$2)</formula>
    </cfRule>
    <cfRule type="expression" dxfId="15" priority="18" stopIfTrue="1">
      <formula>OR($D63="토",$D63="일")</formula>
    </cfRule>
  </conditionalFormatting>
  <conditionalFormatting sqref="I53">
    <cfRule type="expression" dxfId="14" priority="13" stopIfTrue="1">
      <formula>$C53=$A$2</formula>
    </cfRule>
  </conditionalFormatting>
  <conditionalFormatting sqref="I53">
    <cfRule type="expression" dxfId="13" priority="14" stopIfTrue="1">
      <formula>($C53=$A$2)</formula>
    </cfRule>
    <cfRule type="expression" dxfId="12" priority="15" stopIfTrue="1">
      <formula>OR($D53="토",$D53="일")</formula>
    </cfRule>
  </conditionalFormatting>
  <conditionalFormatting sqref="I59">
    <cfRule type="expression" dxfId="11" priority="10" stopIfTrue="1">
      <formula>$C59=$A$2</formula>
    </cfRule>
  </conditionalFormatting>
  <conditionalFormatting sqref="I59">
    <cfRule type="expression" dxfId="10" priority="11" stopIfTrue="1">
      <formula>($C59=$A$2)</formula>
    </cfRule>
    <cfRule type="expression" dxfId="9" priority="12" stopIfTrue="1">
      <formula>OR($D59="토",$D59="일")</formula>
    </cfRule>
  </conditionalFormatting>
  <conditionalFormatting sqref="G59">
    <cfRule type="expression" dxfId="8" priority="7" stopIfTrue="1">
      <formula>$C59=$A$2</formula>
    </cfRule>
  </conditionalFormatting>
  <conditionalFormatting sqref="G59">
    <cfRule type="expression" dxfId="7" priority="8" stopIfTrue="1">
      <formula>($C59=$A$2)</formula>
    </cfRule>
    <cfRule type="expression" dxfId="6" priority="9" stopIfTrue="1">
      <formula>OR($D59="토",$D59="일")</formula>
    </cfRule>
  </conditionalFormatting>
  <conditionalFormatting sqref="H57:H58">
    <cfRule type="expression" dxfId="5" priority="4" stopIfTrue="1">
      <formula>$C57=$A$2</formula>
    </cfRule>
  </conditionalFormatting>
  <conditionalFormatting sqref="H57:H58">
    <cfRule type="expression" dxfId="4" priority="5" stopIfTrue="1">
      <formula>($C57=$A$2)</formula>
    </cfRule>
    <cfRule type="expression" dxfId="3" priority="6" stopIfTrue="1">
      <formula>OR($D57="토",$D57="일")</formula>
    </cfRule>
  </conditionalFormatting>
  <conditionalFormatting sqref="H64">
    <cfRule type="expression" dxfId="2" priority="1" stopIfTrue="1">
      <formula>$C64=$A$2</formula>
    </cfRule>
  </conditionalFormatting>
  <conditionalFormatting sqref="H64">
    <cfRule type="expression" dxfId="1" priority="2" stopIfTrue="1">
      <formula>($C64=$A$2)</formula>
    </cfRule>
    <cfRule type="expression" dxfId="0" priority="3" stopIfTrue="1">
      <formula>OR($D64="토",$D64="일")</formula>
    </cfRule>
  </conditionalFormatting>
  <printOptions horizontalCentered="1"/>
  <pageMargins left="0.31496062992125984" right="0.19685039370078741" top="0.19685039370078741" bottom="0" header="0.31496062992125984" footer="0.31496062992125984"/>
  <pageSetup paperSize="9" scale="47" fitToHeight="3" orientation="landscape" r:id="rId1"/>
  <headerFooter alignWithMargins="0"/>
  <rowBreaks count="1" manualBreakCount="1">
    <brk id="58" max="9" man="1"/>
  </rowBreaks>
  <colBreaks count="1" manualBreakCount="1">
    <brk id="11" max="104857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6</vt:i4>
      </vt:variant>
    </vt:vector>
  </HeadingPairs>
  <TitlesOfParts>
    <vt:vector size="10" baseType="lpstr">
      <vt:lpstr>일정 및 To-do List (주차별)</vt:lpstr>
      <vt:lpstr>일정 및 To-do List (주차별)_대안1-1</vt:lpstr>
      <vt:lpstr>Sheet1</vt:lpstr>
      <vt:lpstr>매입 일정 및 To-do List</vt:lpstr>
      <vt:lpstr>'매입 일정 및 To-do List'!Print_Area</vt:lpstr>
      <vt:lpstr>'일정 및 To-do List (주차별)'!Print_Area</vt:lpstr>
      <vt:lpstr>'일정 및 To-do List (주차별)_대안1-1'!Print_Area</vt:lpstr>
      <vt:lpstr>'매입 일정 및 To-do List'!Print_Titles</vt:lpstr>
      <vt:lpstr>'일정 및 To-do List (주차별)'!Print_Titles</vt:lpstr>
      <vt:lpstr>'일정 및 To-do List (주차별)_대안1-1'!Print_Titles</vt:lpstr>
    </vt:vector>
  </TitlesOfParts>
  <Company>Koramco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skjang</dc:creator>
  <cp:lastModifiedBy>임영규 부장(상장리츠팀)</cp:lastModifiedBy>
  <cp:lastPrinted>2026-08-06T06:27:16Z</cp:lastPrinted>
  <dcterms:created xsi:type="dcterms:W3CDTF">2010-07-16T05:41:24Z</dcterms:created>
  <dcterms:modified xsi:type="dcterms:W3CDTF">2026-08-11T05:41:56Z</dcterms:modified>
</cp:coreProperties>
</file>