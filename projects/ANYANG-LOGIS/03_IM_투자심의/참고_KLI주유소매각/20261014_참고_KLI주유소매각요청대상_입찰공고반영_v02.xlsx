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2026(예정)" sheetId="1" state="visible" r:id="rId1"/>
    <sheet xmlns:r="http://schemas.openxmlformats.org/officeDocument/2006/relationships" name="2026(완료)" sheetId="2" state="visible" r:id="rId2"/>
    <sheet xmlns:r="http://schemas.openxmlformats.org/officeDocument/2006/relationships" name="입찰공고(261014)" sheetId="3" state="visible" r:id="rId3"/>
    <sheet xmlns:r="http://schemas.openxmlformats.org/officeDocument/2006/relationships" name="매입장부가" sheetId="4" state="hidden" r:id="rId4"/>
    <sheet xmlns:r="http://schemas.openxmlformats.org/officeDocument/2006/relationships" name="상환비율" sheetId="5" state="hidden" r:id="rId5"/>
    <sheet xmlns:r="http://schemas.openxmlformats.org/officeDocument/2006/relationships" name="담보대출상환비율" sheetId="6" state="hidden" r:id="rId6"/>
    <sheet xmlns:r="http://schemas.openxmlformats.org/officeDocument/2006/relationships" name="주유소별가격(담보)" sheetId="7" state="hidden" r:id="rId7"/>
  </sheets>
  <externalReferences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  <externalReference xmlns:r="http://schemas.openxmlformats.org/officeDocument/2006/relationships" r:id="rId41"/>
    <externalReference xmlns:r="http://schemas.openxmlformats.org/officeDocument/2006/relationships" r:id="rId42"/>
    <externalReference xmlns:r="http://schemas.openxmlformats.org/officeDocument/2006/relationships" r:id="rId43"/>
    <externalReference xmlns:r="http://schemas.openxmlformats.org/officeDocument/2006/relationships" r:id="rId44"/>
    <externalReference xmlns:r="http://schemas.openxmlformats.org/officeDocument/2006/relationships" r:id="rId45"/>
    <externalReference xmlns:r="http://schemas.openxmlformats.org/officeDocument/2006/relationships" r:id="rId46"/>
    <externalReference xmlns:r="http://schemas.openxmlformats.org/officeDocument/2006/relationships" r:id="rId47"/>
    <externalReference xmlns:r="http://schemas.openxmlformats.org/officeDocument/2006/relationships" r:id="rId48"/>
    <externalReference xmlns:r="http://schemas.openxmlformats.org/officeDocument/2006/relationships" r:id="rId49"/>
    <externalReference xmlns:r="http://schemas.openxmlformats.org/officeDocument/2006/relationships" r:id="rId50"/>
    <externalReference xmlns:r="http://schemas.openxmlformats.org/officeDocument/2006/relationships" r:id="rId51"/>
    <externalReference xmlns:r="http://schemas.openxmlformats.org/officeDocument/2006/relationships" r:id="rId52"/>
    <externalReference xmlns:r="http://schemas.openxmlformats.org/officeDocument/2006/relationships" r:id="rId53"/>
    <externalReference xmlns:r="http://schemas.openxmlformats.org/officeDocument/2006/relationships" r:id="rId54"/>
    <externalReference xmlns:r="http://schemas.openxmlformats.org/officeDocument/2006/relationships" r:id="rId55"/>
    <externalReference xmlns:r="http://schemas.openxmlformats.org/officeDocument/2006/relationships" r:id="rId56"/>
    <externalReference xmlns:r="http://schemas.openxmlformats.org/officeDocument/2006/relationships" r:id="rId57"/>
    <externalReference xmlns:r="http://schemas.openxmlformats.org/officeDocument/2006/relationships" r:id="rId58"/>
    <externalReference xmlns:r="http://schemas.openxmlformats.org/officeDocument/2006/relationships" r:id="rId59"/>
    <externalReference xmlns:r="http://schemas.openxmlformats.org/officeDocument/2006/relationships" r:id="rId60"/>
    <externalReference xmlns:r="http://schemas.openxmlformats.org/officeDocument/2006/relationships" r:id="rId61"/>
    <externalReference xmlns:r="http://schemas.openxmlformats.org/officeDocument/2006/relationships" r:id="rId62"/>
  </externalReferences>
  <definedNames>
    <definedName name="__" hidden="1">#REF!</definedName>
    <definedName name="___" hidden="1">#REF!</definedName>
    <definedName name="____________________________________key1" hidden="1">#N/A</definedName>
    <definedName name="___________________________________key1" hidden="1">#N/A</definedName>
    <definedName name="__________________________________key1" hidden="1">#N/A</definedName>
    <definedName name="_________________________________key1" hidden="1">#N/A</definedName>
    <definedName name="________________________________key1" hidden="1">#N/A</definedName>
    <definedName name="_______________________________key1" hidden="1">#N/A</definedName>
    <definedName name="_______________________________PL7" hidden="1">{#N/A,#N/A,TRUE,"대 차 대 조 표"}</definedName>
    <definedName name="______________________________key1" hidden="1">#N/A</definedName>
    <definedName name="______________________________PL7" hidden="1">{#N/A,#N/A,TRUE,"대 차 대 조 표"}</definedName>
    <definedName name="_____________________________PL7" hidden="1">{#N/A,#N/A,TRUE,"대 차 대 조 표"}</definedName>
    <definedName name="_____________________________SSS1" hidden="1">#REF!</definedName>
    <definedName name="____________________________key1" hidden="1">#N/A</definedName>
    <definedName name="____________________________PL7" hidden="1">{#N/A,#N/A,TRUE,"대 차 대 조 표"}</definedName>
    <definedName name="____________________________SSS1" hidden="1">#REF!</definedName>
    <definedName name="___________________________key1" hidden="1">#N/A</definedName>
    <definedName name="___________________________PL7" hidden="1">{#N/A,#N/A,TRUE,"대 차 대 조 표"}</definedName>
    <definedName name="___________________________SSS1" hidden="1">#REF!</definedName>
    <definedName name="__________________________key1" hidden="1">#N/A</definedName>
    <definedName name="__________________________PL7" hidden="1">{#N/A,#N/A,TRUE,"대 차 대 조 표"}</definedName>
    <definedName name="__________________________SSS1" hidden="1">#REF!</definedName>
    <definedName name="_________________________key1" hidden="1">#N/A</definedName>
    <definedName name="_________________________PL7" hidden="1">{#N/A,#N/A,TRUE,"대 차 대 조 표"}</definedName>
    <definedName name="_________________________SSS1" hidden="1">#REF!</definedName>
    <definedName name="________________________key1" hidden="1">#N/A</definedName>
    <definedName name="________________________PL7" hidden="1">{#N/A,#N/A,TRUE,"대 차 대 조 표"}</definedName>
    <definedName name="________________________SSS1" hidden="1">#REF!</definedName>
    <definedName name="_______________________key1" hidden="1">#N/A</definedName>
    <definedName name="_______________________PL7" hidden="1">{#N/A,#N/A,TRUE,"대 차 대 조 표"}</definedName>
    <definedName name="_______________________SSS1" hidden="1">#REF!</definedName>
    <definedName name="______________________key1" hidden="1">#N/A</definedName>
    <definedName name="______________________PL7" hidden="1">{#N/A,#N/A,TRUE,"대 차 대 조 표"}</definedName>
    <definedName name="______________________SSS1" hidden="1">#REF!</definedName>
    <definedName name="_____________________key1" hidden="1">#N/A</definedName>
    <definedName name="_____________________PL7" hidden="1">{#N/A,#N/A,TRUE,"대 차 대 조 표"}</definedName>
    <definedName name="_____________________SSS1" hidden="1">#REF!</definedName>
    <definedName name="____________________key1" hidden="1">#N/A</definedName>
    <definedName name="____________________PL7" hidden="1">{#N/A,#N/A,TRUE,"대 차 대 조 표"}</definedName>
    <definedName name="____________________SSS1" hidden="1">#REF!</definedName>
    <definedName name="___________________PL7" hidden="1">{#N/A,#N/A,TRUE,"대 차 대 조 표"}</definedName>
    <definedName name="___________________SSS1" hidden="1">#REF!</definedName>
    <definedName name="__________________key1" hidden="1">#N/A</definedName>
    <definedName name="__________________PL7" hidden="1">{#N/A,#N/A,TRUE,"대 차 대 조 표"}</definedName>
    <definedName name="__________________SSS1" hidden="1">#REF!</definedName>
    <definedName name="_________________PL7" hidden="1">{#N/A,#N/A,TRUE,"대 차 대 조 표"}</definedName>
    <definedName name="_________________SSS1" hidden="1">#REF!</definedName>
    <definedName name="________________key1" hidden="1">#N/A</definedName>
    <definedName name="________________PL7" hidden="1">{#N/A,#N/A,TRUE,"대 차 대 조 표"}</definedName>
    <definedName name="________________SSS1" hidden="1">#REF!</definedName>
    <definedName name="_______________key1" hidden="1">#N/A</definedName>
    <definedName name="_______________PL7" hidden="1">{#N/A,#N/A,TRUE,"대 차 대 조 표"}</definedName>
    <definedName name="_______________SSS1" hidden="1">#REF!</definedName>
    <definedName name="______________key1" hidden="1">#N/A</definedName>
    <definedName name="______________PL7" hidden="1">{#N/A,#N/A,TRUE,"대 차 대 조 표"}</definedName>
    <definedName name="______________SSS1" hidden="1">#REF!</definedName>
    <definedName name="_____________key1" hidden="1">#N/A</definedName>
    <definedName name="_____________PL7" hidden="1">{#N/A,#N/A,TRUE,"대 차 대 조 표"}</definedName>
    <definedName name="_____________SSS1" hidden="1">#REF!</definedName>
    <definedName name="____________key1" hidden="1">#N/A</definedName>
    <definedName name="____________PL7" hidden="1">{#N/A,#N/A,TRUE,"대 차 대 조 표"}</definedName>
    <definedName name="____________SSS1" hidden="1">#REF!</definedName>
    <definedName name="___________key1" hidden="1">#N/A</definedName>
    <definedName name="___________PL7" hidden="1">{#N/A,#N/A,TRUE,"대 차 대 조 표"}</definedName>
    <definedName name="___________SSS1" hidden="1">#REF!</definedName>
    <definedName name="__________key1" hidden="1">#N/A</definedName>
    <definedName name="__________PL7" hidden="1">{#N/A,#N/A,TRUE,"대 차 대 조 표"}</definedName>
    <definedName name="__________SSS1" hidden="1">#REF!</definedName>
    <definedName name="_________IRR2" hidden="1">[2]공정!$AH$25:$AH$37</definedName>
    <definedName name="_________key1" hidden="1">#N/A</definedName>
    <definedName name="_________PL7" hidden="1">{#N/A,#N/A,TRUE,"대 차 대 조 표"}</definedName>
    <definedName name="_________SSS1" hidden="1">#REF!</definedName>
    <definedName name="________IRR2" hidden="1">[2]공정!$AH$25:$AH$37</definedName>
    <definedName name="________key1" hidden="1">#N/A</definedName>
    <definedName name="________PL7" hidden="1">{#N/A,#N/A,TRUE,"대 차 대 조 표"}</definedName>
    <definedName name="________s1" hidden="1">{#N/A,#N/A,FALSE,"UNIT";#N/A,#N/A,FALSE,"UNIT";#N/A,#N/A,FALSE,"계정"}</definedName>
    <definedName name="________s10" hidden="1">{#N/A,#N/A,FALSE,"UNIT";#N/A,#N/A,FALSE,"UNIT";#N/A,#N/A,FALSE,"계정"}</definedName>
    <definedName name="________s11" hidden="1">{#N/A,#N/A,FALSE,"UNIT";#N/A,#N/A,FALSE,"UNIT";#N/A,#N/A,FALSE,"계정"}</definedName>
    <definedName name="________s12" hidden="1">{#N/A,#N/A,FALSE,"UNIT";#N/A,#N/A,FALSE,"UNIT";#N/A,#N/A,FALSE,"계정"}</definedName>
    <definedName name="________s13" hidden="1">{#N/A,#N/A,FALSE,"UNIT";#N/A,#N/A,FALSE,"UNIT";#N/A,#N/A,FALSE,"계정"}</definedName>
    <definedName name="________s14" hidden="1">{#N/A,#N/A,FALSE,"UNIT";#N/A,#N/A,FALSE,"UNIT";#N/A,#N/A,FALSE,"계정"}</definedName>
    <definedName name="________s16" hidden="1">{#N/A,#N/A,FALSE,"UNIT";#N/A,#N/A,FALSE,"UNIT";#N/A,#N/A,FALSE,"계정"}</definedName>
    <definedName name="________s17" hidden="1">{#N/A,#N/A,FALSE,"UNIT";#N/A,#N/A,FALSE,"UNIT";#N/A,#N/A,FALSE,"계정"}</definedName>
    <definedName name="________s2" hidden="1">{#N/A,#N/A,FALSE,"UNIT";#N/A,#N/A,FALSE,"UNIT";#N/A,#N/A,FALSE,"계정"}</definedName>
    <definedName name="________s3" hidden="1">{#N/A,#N/A,FALSE,"UNIT";#N/A,#N/A,FALSE,"UNIT";#N/A,#N/A,FALSE,"계정"}</definedName>
    <definedName name="________s4" hidden="1">{#N/A,#N/A,FALSE,"UNIT";#N/A,#N/A,FALSE,"UNIT";#N/A,#N/A,FALSE,"계정"}</definedName>
    <definedName name="________s5" hidden="1">{#N/A,#N/A,FALSE,"UNIT";#N/A,#N/A,FALSE,"UNIT";#N/A,#N/A,FALSE,"계정"}</definedName>
    <definedName name="________s6" hidden="1">{#N/A,#N/A,FALSE,"UNIT";#N/A,#N/A,FALSE,"UNIT";#N/A,#N/A,FALSE,"계정"}</definedName>
    <definedName name="________s9" hidden="1">{#N/A,#N/A,FALSE,"UNIT";#N/A,#N/A,FALSE,"UNIT";#N/A,#N/A,FALSE,"계정"}</definedName>
    <definedName name="________SSS1" hidden="1">#REF!</definedName>
    <definedName name="_______IRR2" hidden="1">[2]공정!$AH$25:$AH$37</definedName>
    <definedName name="_______key1" hidden="1">#N/A</definedName>
    <definedName name="_______PL7" hidden="1">{#N/A,#N/A,TRUE,"대 차 대 조 표"}</definedName>
    <definedName name="_______SSS1" hidden="1">#REF!</definedName>
    <definedName name="______IRR2" hidden="1">[2]공정!$AH$25:$AH$37</definedName>
    <definedName name="______key1" hidden="1">#N/A</definedName>
    <definedName name="______PL7" hidden="1">{#N/A,#N/A,TRUE,"대 차 대 조 표"}</definedName>
    <definedName name="______s1" hidden="1">{#N/A,#N/A,FALSE,"UNIT";#N/A,#N/A,FALSE,"UNIT";#N/A,#N/A,FALSE,"계정"}</definedName>
    <definedName name="______s10" hidden="1">{#N/A,#N/A,FALSE,"UNIT";#N/A,#N/A,FALSE,"UNIT";#N/A,#N/A,FALSE,"계정"}</definedName>
    <definedName name="______s11" hidden="1">{#N/A,#N/A,FALSE,"UNIT";#N/A,#N/A,FALSE,"UNIT";#N/A,#N/A,FALSE,"계정"}</definedName>
    <definedName name="______s12" hidden="1">{#N/A,#N/A,FALSE,"UNIT";#N/A,#N/A,FALSE,"UNIT";#N/A,#N/A,FALSE,"계정"}</definedName>
    <definedName name="______s13" hidden="1">{#N/A,#N/A,FALSE,"UNIT";#N/A,#N/A,FALSE,"UNIT";#N/A,#N/A,FALSE,"계정"}</definedName>
    <definedName name="______s14" hidden="1">{#N/A,#N/A,FALSE,"UNIT";#N/A,#N/A,FALSE,"UNIT";#N/A,#N/A,FALSE,"계정"}</definedName>
    <definedName name="______s16" hidden="1">{#N/A,#N/A,FALSE,"UNIT";#N/A,#N/A,FALSE,"UNIT";#N/A,#N/A,FALSE,"계정"}</definedName>
    <definedName name="______s17" hidden="1">{#N/A,#N/A,FALSE,"UNIT";#N/A,#N/A,FALSE,"UNIT";#N/A,#N/A,FALSE,"계정"}</definedName>
    <definedName name="______s2" hidden="1">{#N/A,#N/A,FALSE,"UNIT";#N/A,#N/A,FALSE,"UNIT";#N/A,#N/A,FALSE,"계정"}</definedName>
    <definedName name="______s3" hidden="1">{#N/A,#N/A,FALSE,"UNIT";#N/A,#N/A,FALSE,"UNIT";#N/A,#N/A,FALSE,"계정"}</definedName>
    <definedName name="______s4" hidden="1">{#N/A,#N/A,FALSE,"UNIT";#N/A,#N/A,FALSE,"UNIT";#N/A,#N/A,FALSE,"계정"}</definedName>
    <definedName name="______s5" hidden="1">{#N/A,#N/A,FALSE,"UNIT";#N/A,#N/A,FALSE,"UNIT";#N/A,#N/A,FALSE,"계정"}</definedName>
    <definedName name="______s6" hidden="1">{#N/A,#N/A,FALSE,"UNIT";#N/A,#N/A,FALSE,"UNIT";#N/A,#N/A,FALSE,"계정"}</definedName>
    <definedName name="______s9" hidden="1">{#N/A,#N/A,FALSE,"UNIT";#N/A,#N/A,FALSE,"UNIT";#N/A,#N/A,FALSE,"계정"}</definedName>
    <definedName name="______SSS1" hidden="1">#REF!</definedName>
    <definedName name="_____IRR2" hidden="1">[2]공정!$AH$25:$AH$37</definedName>
    <definedName name="_____key1" hidden="1">#N/A</definedName>
    <definedName name="_____KTM10" hidden="1">{#N/A,#N/A,FALSE,"현장 NCR 분석";#N/A,#N/A,FALSE,"현장품질감사";#N/A,#N/A,FALSE,"현장품질감사"}</definedName>
    <definedName name="_____PL7" hidden="1">{#N/A,#N/A,TRUE,"대 차 대 조 표"}</definedName>
    <definedName name="_____s1" hidden="1">{#N/A,#N/A,FALSE,"UNIT";#N/A,#N/A,FALSE,"UNIT";#N/A,#N/A,FALSE,"계정"}</definedName>
    <definedName name="_____s10" hidden="1">{#N/A,#N/A,FALSE,"UNIT";#N/A,#N/A,FALSE,"UNIT";#N/A,#N/A,FALSE,"계정"}</definedName>
    <definedName name="_____s11" hidden="1">{#N/A,#N/A,FALSE,"UNIT";#N/A,#N/A,FALSE,"UNIT";#N/A,#N/A,FALSE,"계정"}</definedName>
    <definedName name="_____s12" hidden="1">{#N/A,#N/A,FALSE,"UNIT";#N/A,#N/A,FALSE,"UNIT";#N/A,#N/A,FALSE,"계정"}</definedName>
    <definedName name="_____s13" hidden="1">{#N/A,#N/A,FALSE,"UNIT";#N/A,#N/A,FALSE,"UNIT";#N/A,#N/A,FALSE,"계정"}</definedName>
    <definedName name="_____s14" hidden="1">{#N/A,#N/A,FALSE,"UNIT";#N/A,#N/A,FALSE,"UNIT";#N/A,#N/A,FALSE,"계정"}</definedName>
    <definedName name="_____s16" hidden="1">{#N/A,#N/A,FALSE,"UNIT";#N/A,#N/A,FALSE,"UNIT";#N/A,#N/A,FALSE,"계정"}</definedName>
    <definedName name="_____s17" hidden="1">{#N/A,#N/A,FALSE,"UNIT";#N/A,#N/A,FALSE,"UNIT";#N/A,#N/A,FALSE,"계정"}</definedName>
    <definedName name="_____s2" hidden="1">{#N/A,#N/A,FALSE,"UNIT";#N/A,#N/A,FALSE,"UNIT";#N/A,#N/A,FALSE,"계정"}</definedName>
    <definedName name="_____s3" hidden="1">{#N/A,#N/A,FALSE,"UNIT";#N/A,#N/A,FALSE,"UNIT";#N/A,#N/A,FALSE,"계정"}</definedName>
    <definedName name="_____s4" hidden="1">{#N/A,#N/A,FALSE,"UNIT";#N/A,#N/A,FALSE,"UNIT";#N/A,#N/A,FALSE,"계정"}</definedName>
    <definedName name="_____s5" hidden="1">{#N/A,#N/A,FALSE,"UNIT";#N/A,#N/A,FALSE,"UNIT";#N/A,#N/A,FALSE,"계정"}</definedName>
    <definedName name="_____s6" hidden="1">{#N/A,#N/A,FALSE,"UNIT";#N/A,#N/A,FALSE,"UNIT";#N/A,#N/A,FALSE,"계정"}</definedName>
    <definedName name="_____s9" hidden="1">{#N/A,#N/A,FALSE,"UNIT";#N/A,#N/A,FALSE,"UNIT";#N/A,#N/A,FALSE,"계정"}</definedName>
    <definedName name="_____SSS1" hidden="1">#REF!</definedName>
    <definedName name="____IRR2" hidden="1">[2]공정!$AH$25:$AH$37</definedName>
    <definedName name="____key1" hidden="1">#N/A</definedName>
    <definedName name="____key2" hidden="1">#REF!</definedName>
    <definedName name="____PL7" hidden="1">{#N/A,#N/A,TRUE,"대 차 대 조 표"}</definedName>
    <definedName name="____s1" hidden="1">{#N/A,#N/A,FALSE,"UNIT";#N/A,#N/A,FALSE,"UNIT";#N/A,#N/A,FALSE,"계정"}</definedName>
    <definedName name="____s10" hidden="1">{#N/A,#N/A,FALSE,"UNIT";#N/A,#N/A,FALSE,"UNIT";#N/A,#N/A,FALSE,"계정"}</definedName>
    <definedName name="____s11" hidden="1">{#N/A,#N/A,FALSE,"UNIT";#N/A,#N/A,FALSE,"UNIT";#N/A,#N/A,FALSE,"계정"}</definedName>
    <definedName name="____s12" hidden="1">{#N/A,#N/A,FALSE,"UNIT";#N/A,#N/A,FALSE,"UNIT";#N/A,#N/A,FALSE,"계정"}</definedName>
    <definedName name="____s13" hidden="1">{#N/A,#N/A,FALSE,"UNIT";#N/A,#N/A,FALSE,"UNIT";#N/A,#N/A,FALSE,"계정"}</definedName>
    <definedName name="____s14" hidden="1">{#N/A,#N/A,FALSE,"UNIT";#N/A,#N/A,FALSE,"UNIT";#N/A,#N/A,FALSE,"계정"}</definedName>
    <definedName name="____s16" hidden="1">{#N/A,#N/A,FALSE,"UNIT";#N/A,#N/A,FALSE,"UNIT";#N/A,#N/A,FALSE,"계정"}</definedName>
    <definedName name="____s17" hidden="1">{#N/A,#N/A,FALSE,"UNIT";#N/A,#N/A,FALSE,"UNIT";#N/A,#N/A,FALSE,"계정"}</definedName>
    <definedName name="____s2" hidden="1">{#N/A,#N/A,FALSE,"UNIT";#N/A,#N/A,FALSE,"UNIT";#N/A,#N/A,FALSE,"계정"}</definedName>
    <definedName name="____s3" hidden="1">{#N/A,#N/A,FALSE,"UNIT";#N/A,#N/A,FALSE,"UNIT";#N/A,#N/A,FALSE,"계정"}</definedName>
    <definedName name="____s4" hidden="1">{#N/A,#N/A,FALSE,"UNIT";#N/A,#N/A,FALSE,"UNIT";#N/A,#N/A,FALSE,"계정"}</definedName>
    <definedName name="____s5" hidden="1">{#N/A,#N/A,FALSE,"UNIT";#N/A,#N/A,FALSE,"UNIT";#N/A,#N/A,FALSE,"계정"}</definedName>
    <definedName name="____s6" hidden="1">{#N/A,#N/A,FALSE,"UNIT";#N/A,#N/A,FALSE,"UNIT";#N/A,#N/A,FALSE,"계정"}</definedName>
    <definedName name="____s9" hidden="1">{#N/A,#N/A,FALSE,"UNIT";#N/A,#N/A,FALSE,"UNIT";#N/A,#N/A,FALSE,"계정"}</definedName>
    <definedName name="____SSS1" hidden="1">#REF!</definedName>
    <definedName name="____wrn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___1__123Graph_Cｸﾞﾗﾌ_1" hidden="1">#REF!</definedName>
    <definedName name="___2__123Graph_Dｸﾞﾗﾌ_1" hidden="1">#REF!</definedName>
    <definedName name="___3__123Graph_Eｸﾞﾗﾌ_1" hidden="1">#REF!</definedName>
    <definedName name="___IRR2" hidden="1">[2]공정!$AH$25:$AH$37</definedName>
    <definedName name="___key1" hidden="1">#N/A</definedName>
    <definedName name="___key2" hidden="1">#REF!</definedName>
    <definedName name="___KTM10" hidden="1">{#N/A,#N/A,FALSE,"현장 NCR 분석";#N/A,#N/A,FALSE,"현장품질감사";#N/A,#N/A,FALSE,"현장품질감사"}</definedName>
    <definedName name="___PL7" hidden="1">{#N/A,#N/A,TRUE,"대 차 대 조 표"}</definedName>
    <definedName name="___PL8" hidden="1">{#N/A,#N/A,TRUE,"대 차 대 조 표"}</definedName>
    <definedName name="___s10" hidden="1">{#N/A,#N/A,FALSE,"UNIT";#N/A,#N/A,FALSE,"UNIT";#N/A,#N/A,FALSE,"계정"}</definedName>
    <definedName name="___s11" hidden="1">{#N/A,#N/A,FALSE,"UNIT";#N/A,#N/A,FALSE,"UNIT";#N/A,#N/A,FALSE,"계정"}</definedName>
    <definedName name="___s12" hidden="1">{#N/A,#N/A,FALSE,"UNIT";#N/A,#N/A,FALSE,"UNIT";#N/A,#N/A,FALSE,"계정"}</definedName>
    <definedName name="___s13" hidden="1">{#N/A,#N/A,FALSE,"UNIT";#N/A,#N/A,FALSE,"UNIT";#N/A,#N/A,FALSE,"계정"}</definedName>
    <definedName name="___s14" hidden="1">{#N/A,#N/A,FALSE,"UNIT";#N/A,#N/A,FALSE,"UNIT";#N/A,#N/A,FALSE,"계정"}</definedName>
    <definedName name="___s16" hidden="1">{#N/A,#N/A,FALSE,"UNIT";#N/A,#N/A,FALSE,"UNIT";#N/A,#N/A,FALSE,"계정"}</definedName>
    <definedName name="___s17" hidden="1">{#N/A,#N/A,FALSE,"UNIT";#N/A,#N/A,FALSE,"UNIT";#N/A,#N/A,FALSE,"계정"}</definedName>
    <definedName name="___s3" hidden="1">{#N/A,#N/A,FALSE,"UNIT";#N/A,#N/A,FALSE,"UNIT";#N/A,#N/A,FALSE,"계정"}</definedName>
    <definedName name="___s4" hidden="1">{#N/A,#N/A,FALSE,"UNIT";#N/A,#N/A,FALSE,"UNIT";#N/A,#N/A,FALSE,"계정"}</definedName>
    <definedName name="___s5" hidden="1">{#N/A,#N/A,FALSE,"UNIT";#N/A,#N/A,FALSE,"UNIT";#N/A,#N/A,FALSE,"계정"}</definedName>
    <definedName name="___s6" hidden="1">{#N/A,#N/A,FALSE,"UNIT";#N/A,#N/A,FALSE,"UNIT";#N/A,#N/A,FALSE,"계정"}</definedName>
    <definedName name="___s9" hidden="1">{#N/A,#N/A,FALSE,"UNIT";#N/A,#N/A,FALSE,"UNIT";#N/A,#N/A,FALSE,"계정"}</definedName>
    <definedName name="___SSS1" hidden="1">#REF!</definedName>
    <definedName name="___wrn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__1__123Graph_Cｸﾞﾗﾌ_1" hidden="1">#REF!</definedName>
    <definedName name="__123Graph_A" hidden="1">#N/A</definedName>
    <definedName name="__123Graph_B" hidden="1">#N/A</definedName>
    <definedName name="__123Graph_C" hidden="1">#REF!</definedName>
    <definedName name="__123Graph_D" hidden="1">#REF!</definedName>
    <definedName name="__123Graph_E" hidden="1">[7]Sheet4!#REF!</definedName>
    <definedName name="__123Graph_F" hidden="1">#REF!</definedName>
    <definedName name="__123Graph_LBL_A" hidden="1">#N/A</definedName>
    <definedName name="__123Graph_LBL_B" hidden="1">#N/A</definedName>
    <definedName name="__123Graph_X" hidden="1">#N/A</definedName>
    <definedName name="__2__123Graph_Dｸﾞﾗﾌ_1" hidden="1">#REF!</definedName>
    <definedName name="__3__123Graph_Eｸﾞﾗﾌ_1" hidden="1">#REF!</definedName>
    <definedName name="__IntlFixup" hidden="1">TRUE</definedName>
    <definedName name="__IRR2" hidden="1">[2]공정!$AH$25:$AH$37</definedName>
    <definedName name="__key1" hidden="1">#N/A</definedName>
    <definedName name="__key2" hidden="1">#REF!</definedName>
    <definedName name="__KTM10" hidden="1">{#N/A,#N/A,FALSE,"현장 NCR 분석";#N/A,#N/A,FALSE,"현장품질감사";#N/A,#N/A,FALSE,"현장품질감사"}</definedName>
    <definedName name="__LG2" hidden="1">{"'納状'!$B$375:$F$541"}</definedName>
    <definedName name="__LG3" hidden="1">{"'納状'!$B$375:$F$541"}</definedName>
    <definedName name="__PL7" hidden="1">{#N/A,#N/A,TRUE,"대 차 대 조 표"}</definedName>
    <definedName name="__s10" hidden="1">{#N/A,#N/A,FALSE,"UNIT";#N/A,#N/A,FALSE,"UNIT";#N/A,#N/A,FALSE,"계정"}</definedName>
    <definedName name="__s11" hidden="1">{#N/A,#N/A,FALSE,"UNIT";#N/A,#N/A,FALSE,"UNIT";#N/A,#N/A,FALSE,"계정"}</definedName>
    <definedName name="__s12" hidden="1">{#N/A,#N/A,FALSE,"UNIT";#N/A,#N/A,FALSE,"UNIT";#N/A,#N/A,FALSE,"계정"}</definedName>
    <definedName name="__s13" hidden="1">{#N/A,#N/A,FALSE,"UNIT";#N/A,#N/A,FALSE,"UNIT";#N/A,#N/A,FALSE,"계정"}</definedName>
    <definedName name="__s14" hidden="1">{#N/A,#N/A,FALSE,"UNIT";#N/A,#N/A,FALSE,"UNIT";#N/A,#N/A,FALSE,"계정"}</definedName>
    <definedName name="__s16" hidden="1">{#N/A,#N/A,FALSE,"UNIT";#N/A,#N/A,FALSE,"UNIT";#N/A,#N/A,FALSE,"계정"}</definedName>
    <definedName name="__s17" hidden="1">{#N/A,#N/A,FALSE,"UNIT";#N/A,#N/A,FALSE,"UNIT";#N/A,#N/A,FALSE,"계정"}</definedName>
    <definedName name="__s3" hidden="1">{#N/A,#N/A,FALSE,"UNIT";#N/A,#N/A,FALSE,"UNIT";#N/A,#N/A,FALSE,"계정"}</definedName>
    <definedName name="__s4" hidden="1">{#N/A,#N/A,FALSE,"UNIT";#N/A,#N/A,FALSE,"UNIT";#N/A,#N/A,FALSE,"계정"}</definedName>
    <definedName name="__s5" hidden="1">{#N/A,#N/A,FALSE,"UNIT";#N/A,#N/A,FALSE,"UNIT";#N/A,#N/A,FALSE,"계정"}</definedName>
    <definedName name="__s6" hidden="1">{#N/A,#N/A,FALSE,"UNIT";#N/A,#N/A,FALSE,"UNIT";#N/A,#N/A,FALSE,"계정"}</definedName>
    <definedName name="__s9" hidden="1">{#N/A,#N/A,FALSE,"UNIT";#N/A,#N/A,FALSE,"UNIT";#N/A,#N/A,FALSE,"계정"}</definedName>
    <definedName name="__SSS1" hidden="1">#REF!</definedName>
    <definedName name="__wrn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__xlfn.BAHTTEXT" hidden="1">#NAME?</definedName>
    <definedName name="_1__123Graph_Cｸﾞﾗﾌ_1" hidden="1">#REF!</definedName>
    <definedName name="_1_0__123Grap" hidden="1">'[8]TOWER 12TON'!#REF!</definedName>
    <definedName name="_10__123Graph_Dｸﾞﾗﾌ_1" hidden="1">#REF!</definedName>
    <definedName name="_12__123Graph_C차트_1" hidden="1">#REF!</definedName>
    <definedName name="_12__123Graph_Eｸﾞﾗﾌ_1" hidden="1">#REF!</definedName>
    <definedName name="_146s1_" hidden="1">{#N/A,#N/A,FALSE,"UNIT";#N/A,#N/A,FALSE,"UNIT";#N/A,#N/A,FALSE,"계정"}</definedName>
    <definedName name="_15__123Graph_Eｸﾞﾗﾌ_1" hidden="1">#REF!</definedName>
    <definedName name="_163s10_" hidden="1">{#N/A,#N/A,FALSE,"UNIT";#N/A,#N/A,FALSE,"UNIT";#N/A,#N/A,FALSE,"계정"}</definedName>
    <definedName name="_180s11_" hidden="1">{#N/A,#N/A,FALSE,"UNIT";#N/A,#N/A,FALSE,"UNIT";#N/A,#N/A,FALSE,"계정"}</definedName>
    <definedName name="_197s12_" hidden="1">{#N/A,#N/A,FALSE,"UNIT";#N/A,#N/A,FALSE,"UNIT";#N/A,#N/A,FALSE,"계정"}</definedName>
    <definedName name="_1bs1_" hidden="1">#REF!</definedName>
    <definedName name="_2__123Graph_Cｸﾞﾗﾌ_1" hidden="1">#REF!</definedName>
    <definedName name="_2__123Graph_Dｸﾞﾗﾌ_1" hidden="1">#REF!</definedName>
    <definedName name="_2_0_Dist_" hidden="1">'[8]TOWER 10TON'!#REF!</definedName>
    <definedName name="_214s13_" hidden="1">{#N/A,#N/A,FALSE,"UNIT";#N/A,#N/A,FALSE,"UNIT";#N/A,#N/A,FALSE,"계정"}</definedName>
    <definedName name="_222" hidden="1">#REF!</definedName>
    <definedName name="_223" hidden="1">#REF!</definedName>
    <definedName name="_231s14_" hidden="1">{#N/A,#N/A,FALSE,"UNIT";#N/A,#N/A,FALSE,"UNIT";#N/A,#N/A,FALSE,"계정"}</definedName>
    <definedName name="_248s16_" hidden="1">{#N/A,#N/A,FALSE,"UNIT";#N/A,#N/A,FALSE,"UNIT";#N/A,#N/A,FALSE,"계정"}</definedName>
    <definedName name="_265s17_" hidden="1">{#N/A,#N/A,FALSE,"UNIT";#N/A,#N/A,FALSE,"UNIT";#N/A,#N/A,FALSE,"계정"}</definedName>
    <definedName name="_282s2_" hidden="1">{#N/A,#N/A,FALSE,"UNIT";#N/A,#N/A,FALSE,"UNIT";#N/A,#N/A,FALSE,"계정"}</definedName>
    <definedName name="_299s3_" hidden="1">{#N/A,#N/A,FALSE,"UNIT";#N/A,#N/A,FALSE,"UNIT";#N/A,#N/A,FALSE,"계정"}</definedName>
    <definedName name="_3__123Graph_ACHART_1" hidden="1">'[9]Cash Flow'!$E$20:$X$20</definedName>
    <definedName name="_3__123Graph_Eｸﾞﾗﾌ_1" hidden="1">#REF!</definedName>
    <definedName name="_3_0_0_F" hidden="1">'[8]TOWER 10TON'!#REF!</definedName>
    <definedName name="_3_0_0_K" hidden="1">#REF!</definedName>
    <definedName name="_316s4_" hidden="1">{#N/A,#N/A,FALSE,"UNIT";#N/A,#N/A,FALSE,"UNIT";#N/A,#N/A,FALSE,"계정"}</definedName>
    <definedName name="_333s5_" hidden="1">{#N/A,#N/A,FALSE,"UNIT";#N/A,#N/A,FALSE,"UNIT";#N/A,#N/A,FALSE,"계정"}</definedName>
    <definedName name="_350s6_" hidden="1">{#N/A,#N/A,FALSE,"UNIT";#N/A,#N/A,FALSE,"UNIT";#N/A,#N/A,FALSE,"계정"}</definedName>
    <definedName name="_367s9_" hidden="1">{#N/A,#N/A,FALSE,"UNIT";#N/A,#N/A,FALSE,"UNIT";#N/A,#N/A,FALSE,"계정"}</definedName>
    <definedName name="_4__123Graph_A차트_1" hidden="1">#REF!</definedName>
    <definedName name="_4__123Graph_Cｸﾞﾗﾌ_1" hidden="1">#REF!</definedName>
    <definedName name="_4__123Graph_Dｸﾞﾗﾌ_1" hidden="1">#REF!</definedName>
    <definedName name="_5__123Graph_Cｸﾞﾗﾌ_1" hidden="1">#REF!</definedName>
    <definedName name="_6__123Graph_BCHART_1" hidden="1">'[9]Cash Flow'!$E$27:$X$27</definedName>
    <definedName name="_6__123Graph_Eｸﾞﾗﾌ_1" hidden="1">#REF!</definedName>
    <definedName name="_7aa1_" hidden="1">{#N/A,#N/A,FALSE,"Aging Summary";#N/A,#N/A,FALSE,"Ratio Analysis";#N/A,#N/A,FALSE,"Test 120 Day Accts";#N/A,#N/A,FALSE,"Tickmarks"}</definedName>
    <definedName name="_8__123Graph_B차트_1" hidden="1">#REF!</definedName>
    <definedName name="_8__123Graph_Dｸﾞﾗﾌ_1" hidden="1">#REF!</definedName>
    <definedName name="_aaa2" hidden="1">{#N/A,#N/A,FALSE,"Aging Summary";#N/A,#N/A,FALSE,"Ratio Analysis";#N/A,#N/A,FALSE,"Test 120 Day Accts";#N/A,#N/A,FALSE,"Tickmarks"}</definedName>
    <definedName name="_bdm.0A471CA6502D4518B1F48B80D66A1380.edm" hidden="1">                                        [10]Baa3!$1:$1048576</definedName>
    <definedName name="_bdm.1152040514B449DDBBE2DCB38D0E27E8.edm" hidden="1">                            [10]Ba1!$1:$1048576</definedName>
    <definedName name="_bdm.11f35a930cd64c7c865133fdcefe52a0.edm" hidden="1">#REF!</definedName>
    <definedName name="_bdm.232387f01583462d91eab1d0349a18e6.edm" hidden="1">#REF!</definedName>
    <definedName name="_bdm.2d1b400837ca428789824baeb65ef40a.edm" hidden="1">#REF!</definedName>
    <definedName name="_bdm.39955d7ca4f44357a83dc3a560c18d9e.edm" hidden="1">#REF!</definedName>
    <definedName name="_bdm.3e0c5041696a4a7d9f7d19f6becfe70c.edm" hidden="1">#REF!</definedName>
    <definedName name="_bdm.417a81602ef84ef2b830342d870df6ba.edm" hidden="1">#REF!</definedName>
    <definedName name="_bdm.43ad3a6dee1048ea984f93d18b915e37.edm" hidden="1">#REF!</definedName>
    <definedName name="_bdm.43f4f7cb2ab24c38a4d2c8d158dd4d47.edm" hidden="1">#REF!</definedName>
    <definedName name="_bdm.4676156b58b04220a0ea64b745d757e8.edm" hidden="1">#REF!</definedName>
    <definedName name="_bdm.47E82906B16F40719CD8D37B4012D215.edm" hidden="1">                                      [10]Ba1!$1:$1048576</definedName>
    <definedName name="_bdm.4b7fd9f70f954b759d85cc9afa38b972.edm" hidden="1">#REF!</definedName>
    <definedName name="_bdm.519f7392dddd47f19f37db9dd0b71e7a.edm" hidden="1">#REF!</definedName>
    <definedName name="_bdm.532c637cf7334d5e92967c64011c14b3.edm" hidden="1">#REF!</definedName>
    <definedName name="_bdm.599C15E3D55C41EEA02E452085FD2932.edm" hidden="1">                                                  [10]Ba1!$1:$1048576</definedName>
    <definedName name="_bdm.5bdbf8ead85545f8bc5c86dafcd3ec69.edm" hidden="1">#REF!</definedName>
    <definedName name="_bdm.5F8BFF5A93AD4ADCAE29716457E36ED0.edm" hidden="1">                                    [10]Baa3!$1:$1048576</definedName>
    <definedName name="_bdm.60db3192b933477da5a1bc7e674c4bd3.edm" hidden="1">#REF!</definedName>
    <definedName name="_bdm.6D27021705A34993A4B4CEFCFD9722C9.edm" hidden="1">                                            [10]Baa3!$1:$1048576</definedName>
    <definedName name="_bdm.71e4f8966f444960a8bfb1330c2fe236.edm" hidden="1">#REF!</definedName>
    <definedName name="_bdm.7352a06bb9c949f796c4037f333c71d7.edm" hidden="1">#REF!</definedName>
    <definedName name="_bdm.927253367E394F7E97D2A2E8E049EB5E.edm" hidden="1">                            [10]Ba1!$1:$1048576</definedName>
    <definedName name="_bdm.95b43c2d2a9c426c8d95382bc45e1e83.edm" hidden="1">#REF!</definedName>
    <definedName name="_bdm.981b90c4141645cabf62777f9b393a2d.edm" hidden="1">#REF!</definedName>
    <definedName name="_bdm.98b6c8b3ec51439e97f928d062e4ec9f.edm" hidden="1">#REF!</definedName>
    <definedName name="_bdm.a553ef66b1414185a6f1f1d5ff8b79f4.edm" hidden="1">#REF!</definedName>
    <definedName name="_bdm.a92ca85c272246a7a66cac795cb1020b.edm" hidden="1">#REF!</definedName>
    <definedName name="_bdm.b92328f807f14a67b1a09797eb0f7778.edm" hidden="1">#REF!</definedName>
    <definedName name="_bdm.BCD6BAECD65F416DB6774FB97B7A5D58.edm" hidden="1">                                          [10]Ba1!$1:$1048576</definedName>
    <definedName name="_bdm.bee912179297418b8987a25fdd9ce3ff.edm" hidden="1">#REF!</definedName>
    <definedName name="_bdm.c5883a813e08416fb476e66e75e82480.edm" hidden="1">#REF!</definedName>
    <definedName name="_bdm.C8C2BEC602A84A27B229234B27D194FA.edm" hidden="1">#REF!</definedName>
    <definedName name="_bdm.CF788DB897B04D76B551420C6773E2BC.edm" hidden="1">                                                [10]Baa3!$1:$1048576</definedName>
    <definedName name="_bdm.D84848639A7B4F708EB4F2A198515A17.edm" hidden="1">#REF!</definedName>
    <definedName name="_bdm.dfe3181aa57e438d98f30087a52474b7.edm" hidden="1">#REF!</definedName>
    <definedName name="_bdm.e5faec5100ec4b24a5b5675f322c66aa.edm" hidden="1">#REF!</definedName>
    <definedName name="_bdm.ede10370e7664597a05220d553b590b2.edm" hidden="1">#REF!</definedName>
    <definedName name="_bdm.f3c28b041c5b4d2ab961233f58bb4418.edm" hidden="1">#REF!</definedName>
    <definedName name="_bdm.f5921c3b8b1444b4a09de42f8e3b8174.edm" hidden="1">#REF!</definedName>
    <definedName name="_bdm.fac9698ac41e442588ae44723a731bd7.edm" hidden="1">#REF!</definedName>
    <definedName name="_D" hidden="1">#REF!</definedName>
    <definedName name="_Dist_Bin" hidden="1">#REF!</definedName>
    <definedName name="_Dist_Values" hidden="1">#REF!</definedName>
    <definedName name="_E" hidden="1">#REF!</definedName>
    <definedName name="_FAB6" hidden="1">#REF!</definedName>
    <definedName name="_FAB7" hidden="1">{"'Sheet1'!$A$1:$H$36"}</definedName>
    <definedName name="_Fill" hidden="1">#REF!</definedName>
    <definedName name="_FILL1" hidden="1">#REF!</definedName>
    <definedName name="_FILL2" hidden="1">#REF!</definedName>
    <definedName name="_IRR2" hidden="1">[3]공정!$AH$25:$AH$37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12345" hidden="1">#REF!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KTM10" hidden="1">{#N/A,#N/A,FALSE,"현장 NCR 분석";#N/A,#N/A,FALSE,"현장품질감사";#N/A,#N/A,FALSE,"현장품질감사"}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MatInverse_In" hidden="1">#N/A</definedName>
    <definedName name="_MatInverse_Out" hidden="1">#N/A</definedName>
    <definedName name="_Order1" hidden="1">255</definedName>
    <definedName name="_Order1_1" hidden="1">0</definedName>
    <definedName name="_Order2" hidden="1">255</definedName>
    <definedName name="_Order2_1" hidden="1">0</definedName>
    <definedName name="_Parse_In" hidden="1">#REF!</definedName>
    <definedName name="_Parse_Out" hidden="1">#REF!</definedName>
    <definedName name="_Pill" hidden="1">#REF!</definedName>
    <definedName name="_PL7" hidden="1">{#N/A,#N/A,TRUE,"대 차 대 조 표"}</definedName>
    <definedName name="_PL7_1" hidden="1">{#N/A,#N/A,TRUE,"대 차 대 조 표"}</definedName>
    <definedName name="_Regression_Int" hidden="1">1</definedName>
    <definedName name="_Regression_Out" hidden="1">[11]DATA!#REF!</definedName>
    <definedName name="_Regression_X" hidden="1">[11]DATA!$AE$4:$AN$4</definedName>
    <definedName name="_Regression_Y" hidden="1">[11]DATA!#REF!</definedName>
    <definedName name="_s10" hidden="1">{#N/A,#N/A,FALSE,"UNIT";#N/A,#N/A,FALSE,"UNIT";#N/A,#N/A,FALSE,"계정"}</definedName>
    <definedName name="_s11" hidden="1">{#N/A,#N/A,FALSE,"UNIT";#N/A,#N/A,FALSE,"UNIT";#N/A,#N/A,FALSE,"계정"}</definedName>
    <definedName name="_s12" hidden="1">{#N/A,#N/A,FALSE,"UNIT";#N/A,#N/A,FALSE,"UNIT";#N/A,#N/A,FALSE,"계정"}</definedName>
    <definedName name="_s13" hidden="1">{#N/A,#N/A,FALSE,"UNIT";#N/A,#N/A,FALSE,"UNIT";#N/A,#N/A,FALSE,"계정"}</definedName>
    <definedName name="_s14" hidden="1">{#N/A,#N/A,FALSE,"UNIT";#N/A,#N/A,FALSE,"UNIT";#N/A,#N/A,FALSE,"계정"}</definedName>
    <definedName name="_s16" hidden="1">{#N/A,#N/A,FALSE,"UNIT";#N/A,#N/A,FALSE,"UNIT";#N/A,#N/A,FALSE,"계정"}</definedName>
    <definedName name="_s17" hidden="1">{#N/A,#N/A,FALSE,"UNIT";#N/A,#N/A,FALSE,"UNIT";#N/A,#N/A,FALSE,"계정"}</definedName>
    <definedName name="_s3" hidden="1">{#N/A,#N/A,FALSE,"UNIT";#N/A,#N/A,FALSE,"UNIT";#N/A,#N/A,FALSE,"계정"}</definedName>
    <definedName name="_s4" hidden="1">{#N/A,#N/A,FALSE,"UNIT";#N/A,#N/A,FALSE,"UNIT";#N/A,#N/A,FALSE,"계정"}</definedName>
    <definedName name="_s5" hidden="1">{#N/A,#N/A,FALSE,"UNIT";#N/A,#N/A,FALSE,"UNIT";#N/A,#N/A,FALSE,"계정"}</definedName>
    <definedName name="_s6" hidden="1">{#N/A,#N/A,FALSE,"UNIT";#N/A,#N/A,FALSE,"UNIT";#N/A,#N/A,FALSE,"계정"}</definedName>
    <definedName name="_s9" hidden="1">{#N/A,#N/A,FALSE,"UNIT";#N/A,#N/A,FALSE,"UNIT";#N/A,#N/A,FALSE,"계정"}</definedName>
    <definedName name="_Sort" hidden="1">#REF!</definedName>
    <definedName name="_SORT1" hidden="1">#REF!</definedName>
    <definedName name="_SSS1" hidden="1">#REF!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wpl2" hidden="1">{#N/A,#N/A,FALSE,"Aging Summary";#N/A,#N/A,FALSE,"Ratio Analysis";#N/A,#N/A,FALSE,"Test 120 Day Accts";#N/A,#N/A,FALSE,"Tickmarks"}</definedName>
    <definedName name="_wrn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\" hidden="1">{"'Sheet1'!$A$1:$H$36"}</definedName>
    <definedName name="a" hidden="1">{"MonthlyRentRoll",#N/A,FALSE,"RentRoll"}</definedName>
    <definedName name="a_1" hidden="1">{"MonthlyRentRoll",#N/A,FALSE,"RentRoll"}</definedName>
    <definedName name="aaa" hidden="1">{#N/A,#N/A,FALSE,"동부"}</definedName>
    <definedName name="aaa_1" hidden="1">{"MonthlyRentRoll",#N/A,FALSE,"RentRoll"}</definedName>
    <definedName name="AAA_DOCTOPS" hidden="1">"AAA_SET"</definedName>
    <definedName name="AAA_duser" hidden="1">"OFF"</definedName>
    <definedName name="aaaa" hidden="1">#REF!</definedName>
    <definedName name="aaaaa" hidden="1">{"p",#N/A,FALSE,"Sheet1";"p 2",#N/A,FALSE,"Sheet1";"p 3",#N/A,FALSE,"Sheet1"}</definedName>
    <definedName name="aaaaa_1" hidden="1">{"p",#N/A,FALSE,"Sheet1";"p 2",#N/A,FALSE,"Sheet1";"p 3",#N/A,FALSE,"Sheet1"}</definedName>
    <definedName name="aaaaaaa" hidden="1">{"'先行ユーザＳＰＥＣ'!$B$2:$V$25"}</definedName>
    <definedName name="AAAAAAAAA" hidden="1">{"'Sheet1'!$A$1:$H$36"}</definedName>
    <definedName name="aaaaaaaaaa" hidden="1">{#N/A,#N/A,FALSE,"Aging Summary";#N/A,#N/A,FALSE,"Ratio Analysis";#N/A,#N/A,FALSE,"Test 120 Day Accts";#N/A,#N/A,FALSE,"Tickmarks"}</definedName>
    <definedName name="aaaaaaaaaaa" hidden="1">{#N/A,#N/A,FALSE,"Aging Summary";#N/A,#N/A,FALSE,"Ratio Analysis";#N/A,#N/A,FALSE,"Test 120 Day Accts";#N/A,#N/A,FALSE,"Tickmarks"}</definedName>
    <definedName name="aaaaaaaaaaaaa12" hidden="1">{#N/A,#N/A,FALSE,"Aging Summary";#N/A,#N/A,FALSE,"Ratio Analysis";#N/A,#N/A,FALSE,"Test 120 Day Accts";#N/A,#N/A,FALSE,"Tickmarks"}</definedName>
    <definedName name="aab" hidden="1">{#N/A,#N/A,FALSE,"동부"}</definedName>
    <definedName name="AAB_Addin5" hidden="1">"AAB_Description for addin 5,Description for addin 5,Description for addin 5,Description for addin 5,Description for addin 5,Description for addin 5"</definedName>
    <definedName name="ab" hidden="1">1</definedName>
    <definedName name="abcc" hidden="1">{#N/A,#N/A,FALSE,"1.CRITERIA";#N/A,#N/A,FALSE,"2.IS";#N/A,#N/A,FALSE,"3.BS";#N/A,#N/A,FALSE,"4.PER PL";#N/A,#N/A,FALSE,"5.INVESTMENT";#N/A,#N/A,FALSE,"6.공문";#N/A,#N/A,FALSE,"7.netinvest"}</definedName>
    <definedName name="abcd" hidden="1">[13]노임이!#REF!</definedName>
    <definedName name="ac" hidden="1">{#N/A,#N/A,FALSE,"Aging Summary";#N/A,#N/A,FALSE,"Ratio Analysis";#N/A,#N/A,FALSE,"Test 120 Day Accts";#N/A,#N/A,FALSE,"Tickmarks"}</definedName>
    <definedName name="Access_Button" hidden="1">"종합사번1999년_99년02월_퇴사__List"</definedName>
    <definedName name="AccessDatabase" hidden="1">"C:\My Documents\사번\종합사번1999년.mdb"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_1" hidden="1">{"MonthlyRentRoll",#N/A,FALSE,"RentRoll"}</definedName>
    <definedName name="adfasdfa" hidden="1">#REF!</definedName>
    <definedName name="ad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sas" hidden="1">{#N/A,#N/A,FALSE,"Aging Summary";#N/A,#N/A,FALSE,"Ratio Analysis";#N/A,#N/A,FALSE,"Test 120 Day Accts";#N/A,#N/A,FALSE,"Tickmarks"}</definedName>
    <definedName name="ADSDF" hidden="1">{#N/A,#N/A,TRUE,"Y생산";#N/A,#N/A,TRUE,"Y판매";#N/A,#N/A,TRUE,"Y총물량";#N/A,#N/A,TRUE,"Y능력";#N/A,#N/A,TRUE,"YKD"}</definedName>
    <definedName name="ADSDF_1" hidden="1">{#N/A,#N/A,TRUE,"Y생산";#N/A,#N/A,TRUE,"Y판매";#N/A,#N/A,TRUE,"Y총물량";#N/A,#N/A,TRUE,"Y능력";#N/A,#N/A,TRUE,"YKD"}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l" hidden="1">{#N/A,#N/A,FALSE,"5YRASSPl - consol'd";#N/A,#N/A,FALSE,"5YRASSPl - hotel";#N/A,#N/A,FALSE,"5YRASSPl - excl htl";#N/A,#N/A,FALSE,"VarReport";#N/A,#N/A,FALSE,"Sensitivity";#N/A,#N/A,FALSE,"House View ";#N/A,#N/A,FALSE,"KPI"}</definedName>
    <definedName name="am" hidden="1">#N/A</definedName>
    <definedName name="anscount" hidden="1">2</definedName>
    <definedName name="app.3.2.2" hidden="1">{#N/A,#N/A,FALSE,"동부"}</definedName>
    <definedName name="App3.2.2" hidden="1">{#N/A,#N/A,TRUE,"대 차 대 조 표"}</definedName>
    <definedName name="aq" hidden="1">{"'Sheet1'!$A$1:$H$36"}</definedName>
    <definedName name="AS2DocOpenMode" hidden="1">"AS2DocumentEdit"</definedName>
    <definedName name="AS2HasNoAutoHeaderFooter" hidden="1">" 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a" hidden="1">#REF!</definedName>
    <definedName name="ascxf" hidden="1">{#N/A,#N/A,FALSE,"Aging Summary";#N/A,#N/A,FALSE,"Ratio Analysis";#N/A,#N/A,FALSE,"Test 120 Day Accts";#N/A,#N/A,FALSE,"Tickmarks"}</definedName>
    <definedName name="asd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dd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d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sumptions" hidden="1">{"Current Draw",#N/A,FALSE,"Sheet1"}</definedName>
    <definedName name="asw" hidden="1">{"'Sheet1'!$A$1:$H$36"}</definedName>
    <definedName name="aza" hidden="1">{"'Sheet1'!$A$1:$H$36"}</definedName>
    <definedName name="B" hidden="1">{#N/A,#N/A,FALSE,"이태원철근"}</definedName>
    <definedName name="ba" hidden="1">{#N/A,#N/A,FALSE,"Aging Summary";#N/A,#N/A,FALSE,"Ratio Analysis";#N/A,#N/A,FALSE,"Test 120 Day Accts";#N/A,#N/A,FALSE,"Tickmarks"}</definedName>
    <definedName name="BadLink" hidden="1">#REF!</definedName>
    <definedName name="ban" hidden="1">{#N/A,#N/A,FALSE,"5YRASSPl - consol'd";#N/A,#N/A,FALSE,"5YRASSPl - hotel";#N/A,#N/A,FALSE,"5YRASSPl - excl htl";#N/A,#N/A,FALSE,"VarReport";#N/A,#N/A,FALSE,"Sensitivity";#N/A,#N/A,FALSE,"House View ";#N/A,#N/A,FALSE,"KPI"}</definedName>
    <definedName name="BB" hidden="1">{#N/A,#N/A,FALSE,"이태원철근"}</definedName>
    <definedName name="bbb" hidden="1">#REF!</definedName>
    <definedName name="bbbb" hidden="1">[14]A!$K$75:$K$98</definedName>
    <definedName name="bbbbb" hidden="1">[14]A!$D$715:$D$726</definedName>
    <definedName name="bbbbbbbbbbbbbbb" hidden="1">{#N/A,#N/A,FALSE,"Aging Summary";#N/A,#N/A,FALSE,"Ratio Analysis";#N/A,#N/A,FALSE,"Test 120 Day Accts";#N/A,#N/A,FALSE,"Tickmarks"}</definedName>
    <definedName name="BC" hidden="1">{#N/A,#N/A,FALSE,"이태원철근"}</definedName>
    <definedName name="Beachwood" hidden="1">{"p",#N/A,FALSE,"Sheet1";"p 2",#N/A,FALSE,"Sheet1";"p 3",#N/A,FALSE,"Sheet1"}</definedName>
    <definedName name="Beachwood_1" hidden="1">{"p",#N/A,FALSE,"Sheet1";"p 2",#N/A,FALSE,"Sheet1";"p 3",#N/A,FALSE,"Sheet1"}</definedName>
    <definedName name="BEx0017DGUEDPCFJUPUZOOLJCS2B" hidden="1">#REF!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C31DY11L45SEU4B10BIN6W" hidden="1">#REF!</definedName>
    <definedName name="BEx00KZHZBHP3TDV1YMX4B19B95O" hidden="1">#REF!</definedName>
    <definedName name="BEx00MBY8XXUOHIZ4LHXHPD7WYD5" hidden="1">#REF!</definedName>
    <definedName name="BEx01HY6E3GJ66ABU5ABN26V6Q13" hidden="1">#REF!</definedName>
    <definedName name="BEx01PW5YQKEGAR8JDDI5OARYXDF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59AY8195JTUM6P18VXUFJ3E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J0CSSHDJGBJUHVOEMCF2P4DL" hidden="1">#REF!</definedName>
    <definedName name="BEx1J61RRF9LJ3V3R5OY3WJ6VBWR" hidden="1">#REF!</definedName>
    <definedName name="BEx1J7E8VCGLPYU82QXVUG5N3ZAI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L2OG1SDFK2TPXELJ77YP4NI2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3CUJ3UX61X38ZAJVPEN4KMC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QA54J2A4I7IBQR19BTY28ZMR" hidden="1">#REF!</definedName>
    <definedName name="BEx1QMQAHG3KQUK59DVM68SWKZIZ" hidden="1">#REF!</definedName>
    <definedName name="BEx1R9YFKJCMSEST8OVCAO5E47FO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5VFNKIXHTTCWSV60UC50EZ8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15M7LVVFZENH830B2BGWC04" hidden="1">#REF!</definedName>
    <definedName name="BEx1U7WFO8OZKB1EBF4H386JW91L" hidden="1">#REF!</definedName>
    <definedName name="BEx1U87938YR9N6HYI24KVBKLOS3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67SEV778NVW68J8W5SND1J7" hidden="1">#REF!</definedName>
    <definedName name="BEx1VIY9SQLRESD11CC4PHYT0XSG" hidden="1">#REF!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3LHU9DPG01VWX2IF65TRATF" hidden="1">#REF!</definedName>
    <definedName name="BEx1XK8AAMO0AH0Z1OUKW30CA7EQ" hidden="1">#REF!</definedName>
    <definedName name="BEx1XL4MZ7C80495GHQRWOBS16PQ" hidden="1">#REF!</definedName>
    <definedName name="BEx1Y2IGS2K95E1M51PEF9KJZ0KB" hidden="1">#REF!</definedName>
    <definedName name="BEx1Y3PKK83X2FN9SAALFHOWKMRQ" hidden="1">#REF!</definedName>
    <definedName name="BEx1YL3DJ7Y4AZ01ERCOGW0FJ26T" hidden="1">#REF!</definedName>
    <definedName name="BEx1Z2RYHSVD1H37817SN93VMURZ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CS3VNR1KW2R7DKSQFZ17QW0" hidden="1">#REF!</definedName>
    <definedName name="BEx3CKFCCPZZ6ROLAT5C1DZNIC1U" hidden="1">#REF!</definedName>
    <definedName name="BEx3CO0SVO4WLH0DO43DCHYDTH1P" hidden="1">#REF!</definedName>
    <definedName name="BEx3D9G6QTSPF9UYI4X0XY0VE896" hidden="1">#REF!</definedName>
    <definedName name="BEx3DCQU9PBRXIMLO62KS5RLH447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UAX947Q5N6MY6W0KSNY78Y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MSEFOP6DBM4R97XA6B7NFG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REOFWJQEYMCMBL7ZE06NBN6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JZSCGFRW7SVGBFI0X9DNVMM" hidden="1">#REF!</definedName>
    <definedName name="BEx3ORSBUXAF21MKEY90YJV9AY9A" hidden="1">#REF!</definedName>
    <definedName name="BEx3OV8BH6PYNZT7C246LOAU9SVX" hidden="1">#REF!</definedName>
    <definedName name="BEx3OXRYJZUEY6E72UJU0PHLMYAR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EDFOYFY5NBTININ5W4RLD4Q" hidden="1">#REF!</definedName>
    <definedName name="BEx3QIKJ3U962US1Q564NZDLU8LD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6MJ1QDJ929WMUDVZ0O3UW0Y" hidden="1">#REF!</definedName>
    <definedName name="BEx3TPCSI16OAB2L9M9IULQMQ9J9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ML7CG70HPISMVYIUEN3711Q" hidden="1">#REF!</definedName>
    <definedName name="BEx56ZID5H04P9AIYLP1OASFGV56" hidden="1">#REF!</definedName>
    <definedName name="BEx586DAV4BC4NL6FWXGK23GKX1A" hidden="1">#REF!</definedName>
    <definedName name="BEx587EYSS57E3PI8DT973HLJM9E" hidden="1">#REF!</definedName>
    <definedName name="BEx587KFQ3VKCOCY1SA5F24PQGUI" hidden="1">#REF!</definedName>
    <definedName name="BEx58O780PQ05NF0Z1SKKRB3N099" hidden="1">#REF!</definedName>
    <definedName name="BEx58XHO7ZULLF2EUD7YIS0MGQJ5" hidden="1">#REF!</definedName>
    <definedName name="BEx58ZW0HAIGIPEX9CVA1PQQTR6X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FFTN3IXIBHDKM0FYC4OFL1S" hidden="1">#REF!</definedName>
    <definedName name="BEx5AOFIO8KVRHIZ1RII337AA8ML" hidden="1">#REF!</definedName>
    <definedName name="BEx5APRZ66L5BWHFE8E4YYNEDTI4" hidden="1">#REF!</definedName>
    <definedName name="BEx5AUVDSQ35VO4BD9AKKGBM5S7D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NLUIOYU8EODGA03Z3547I9T" hidden="1">#REF!</definedName>
    <definedName name="BEx5CPEKNSJORIPFQC2E1LTRYY8L" hidden="1">#REF!</definedName>
    <definedName name="BEx5CSUOL05D8PAM2TRDA9VRJT1O" hidden="1">#REF!</definedName>
    <definedName name="BEx5CUNFOO4YDFJ22HCMI2QKIGKM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LQL9B0VR6UT18KP11DHOTFX" hidden="1">#REF!</definedName>
    <definedName name="BEx5ER4TJTFPN7IB1MNEB1ZFR5M6" hidden="1">#REF!</definedName>
    <definedName name="BEx5F6V72QTCK7O39Y59R0EVM6CW" hidden="1">#REF!</definedName>
    <definedName name="BEx5FGLQVACD5F5YZG4DGSCHCGO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Z9JMKHNLFWLVUB1WP5B39BL" hidden="1">#REF!</definedName>
    <definedName name="BEx5I244LQHZTF3XI66J8705R9XX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NCT8Z7XSSPD5EMNAJELCU2V" hidden="1">#REF!</definedName>
    <definedName name="BEx5JQCNT9Y4RM306CHC8IPY3HBZ" hidden="1">#REF!</definedName>
    <definedName name="BEx5K08PYKE6JOKBYIB006TX619P" hidden="1">#REF!</definedName>
    <definedName name="BEx5K51DSERT1TR7B4A29R41W4NX" hidden="1">#REF!</definedName>
    <definedName name="BEx5KTWXPT0ZECLO1VODEPHUO4VS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B9BR71LZDG7XXQ2EO58JC5F" hidden="1">#REF!</definedName>
    <definedName name="BEx5MLQZM68YQSKARVWTTPINFQ2C" hidden="1">#REF!</definedName>
    <definedName name="BEx5MVXTKNBXHNWTL43C670E4KXC" hidden="1">#REF!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9Y9RDXNUAJ6CZ2LHMM8IM7T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ESIB9Y8KGETIERMKU5PLCQR" hidden="1">#REF!</definedName>
    <definedName name="BEx74Q6H3O7133AWQXWC21MI2UFT" hidden="1">#REF!</definedName>
    <definedName name="BEx74W6BJ8ENO3J25WNM5H5APKA3" hidden="1">#REF!</definedName>
    <definedName name="BEx755GRRD9BL27YHLH5QWIYLWB7" hidden="1">#REF!</definedName>
    <definedName name="BEx759D1D5SXS5ELLZVBI0SXYUNF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6S22AJU0ZMGB2AFB3OYC1ZYA" hidden="1">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HHRIWDLHQX2LG0HWFRYEL1T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SD1I654MEDCO6GGWA95PXSC" hidden="1">#REF!</definedName>
    <definedName name="BEx7AVCX9S5RJP3NSZ4QM4E6ERDT" hidden="1">#REF!</definedName>
    <definedName name="BEx7AVYIGP0930MV5JEBWRYCJN68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GF13H2074LRWFZQ45PZ6JPX" hidden="1">#REF!</definedName>
    <definedName name="BEx7DKWUXEDIISSX4GDD4YYT887F" hidden="1">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EYYLHMBYQTH6I377FCQS7CSX" hidden="1">#REF!</definedName>
    <definedName name="BEx7FCLG1RYI2SNOU1Y2GQZNZSWA" hidden="1">#REF!</definedName>
    <definedName name="BEx7FN32ZGWOAA4TTH79KINTDWR9" hidden="1">#REF!</definedName>
    <definedName name="BEx7G82CKM3NIY1PHNFK28M09PCH" hidden="1">#REF!</definedName>
    <definedName name="BEx7GR3ENYWRXXS5IT0UMEGOLGUH" hidden="1">#REF!</definedName>
    <definedName name="BEx7GSAL6P7TASL8MB63RFST1LJL" hidden="1">#REF!</definedName>
    <definedName name="BEx7H0JD6I5I8WQLLWOYWY5YWPQE" hidden="1">#REF!</definedName>
    <definedName name="BEx7H14XCXH7WEXEY1HVO53A6AGH" hidden="1">#REF!</definedName>
    <definedName name="BEx7HFTIA8AC8BR8HKIN81VE1SGW" hidden="1">#REF!</definedName>
    <definedName name="BEx7HGVBEF4LEIF6RC14N3PSU461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8FZ96C5JAHXS18ZV0912LZP" hidden="1">#REF!</definedName>
    <definedName name="BEx7IBVYN47SFZIA0K4MDKQZNN9V" hidden="1">#REF!</definedName>
    <definedName name="BEx7IV2IJ5WT7UC0UG7WP0WF2JZI" hidden="1">#REF!</definedName>
    <definedName name="BEx7IXGU74GE5E4S6W4Z13AR092Y" hidden="1">#REF!</definedName>
    <definedName name="BEx7J4YL8Q3BI1MLH16YYQ18IJRD" hidden="1">#REF!</definedName>
    <definedName name="BEx7JH3HGBPI07OHZ5LFYK0UFZQR" hidden="1">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21IQVP1N1TTQLRMANSSLSLE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JVFQACL9F4DRS9YZQ9R2N30" hidden="1">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0VGH5H09ON2QXYC9WIIEU98T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21PNZ46VORG2VRMWREWIC0SE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B9OULL2YGC896XXYAAJSTRK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#REF!</definedName>
    <definedName name="BEx94N7W5T3U7UOE97D6OVIBUCXS" hidden="1">#REF!</definedName>
    <definedName name="BEx953PB6S6ECMD8N0JSW0CBG0DA" hidden="1">#REF!</definedName>
    <definedName name="BEx955NIAWX5OLAHMTV6QFUZPR30" hidden="1">#REF!</definedName>
    <definedName name="BEx9581TYVI2M5TT4ISDAJV4W7Z6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0MYCPJ6DQ44TKLOIGZO5LHH" hidden="1">#REF!</definedName>
    <definedName name="BEx978KSD61YJH3S9DGO050R2EHA" hidden="1">#REF!</definedName>
    <definedName name="BEx97H9O1NAKAPK4MX4PKO34ICL5" hidden="1">#REF!</definedName>
    <definedName name="BEx97HVA5F2I0D6ID81KCUDEQOIH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WBYT2D6UUC1PT7A40ENYID4" hidden="1">#REF!</definedName>
    <definedName name="BEx99XOGHOM28CNCYKQWYGL56W2S" hidden="1">#REF!</definedName>
    <definedName name="BEx99ZRZ4I7FHDPGRAT5VW7NVBPU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YSYW7QCPXS2NAVLFAU5Y2Z2" hidden="1">#REF!</definedName>
    <definedName name="BEx9C590HJ2O31IWJB73C1HR74AI" hidden="1">#REF!</definedName>
    <definedName name="BEx9CCQRMYYOGIOYTOM73VKDIPS1" hidden="1">#REF!</definedName>
    <definedName name="BEx9D1BC9FT19KY0INAABNDBAMR1" hidden="1">#REF!</definedName>
    <definedName name="BEx9DN6ZMF18Q39MPMXSDJTZQNJ3" hidden="1">#REF!</definedName>
    <definedName name="BEx9DUU8DALPSCW66GTMQRPXZ6GL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F16LOQP5QIR4UHW5EIFGQB8" hidden="1">#REF!</definedName>
    <definedName name="BEx9FJTSRCZ3ZXT3QVBJT5NF8T7V" hidden="1">#REF!</definedName>
    <definedName name="BEx9FRBEEYPS5HLS3XT34AKZN94G" hidden="1">#REF!</definedName>
    <definedName name="BEx9GDY4D8ZPQJCYFIMYM0V0C51Y" hidden="1">#REF!</definedName>
    <definedName name="BEx9GGY04V0ZWI6O9KZH4KSBB389" hidden="1">#REF!</definedName>
    <definedName name="BEx9GNOPB6OZ2RH3FCDNJR38RJOS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410NB4F2XOB84OR2197H8M5" hidden="1">#REF!</definedName>
    <definedName name="BExAX8TNG8LQ5Q4904SAYQIPGBSV" hidden="1">#REF!</definedName>
    <definedName name="BExAY0EAT2LXR5MFGM0DLIB45PLO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Y9H9COOT46HJLPVDLTO12UL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FRDEYDEUEAB1W8KD6D965XA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FKNY2UO4W5FUGFHJOA2WFGG" hidden="1">#REF!</definedName>
    <definedName name="BExB1GMD0PIDGTFBGQOPRWQSP9I4" hidden="1">#REF!</definedName>
    <definedName name="BExB1Q29OO6LNFNT1EQLA3KYE7MX" hidden="1">#REF!</definedName>
    <definedName name="BExB1TNRV5EBWZEHYLHI76T0FVA7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30IP1DNKNQ6PZ5ERUGR5MK4Z" hidden="1">#REF!</definedName>
    <definedName name="BExB442RX0T3L6HUL6X5T21CENW6" hidden="1">#REF!</definedName>
    <definedName name="BExB4ADD0L7417CII901XTFKXD1J" hidden="1">#REF!</definedName>
    <definedName name="BExB4DO1V1NL2AVK5YE1RSL5RYHL" hidden="1">#REF!</definedName>
    <definedName name="BExB4DYU06HCGRIPBSWRCXK804UM" hidden="1">#REF!</definedName>
    <definedName name="BExB4Z3EZBGYYI33U0KQ8NEIH8PY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6IZMHCZ3LB7N73KD90YB1HBZ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TG649R9I0CT042JLL8LXV18" hidden="1">#REF!</definedName>
    <definedName name="BExBBUCJQRR74Q7GPWDEZXYK2KJL" hidden="1">#REF!</definedName>
    <definedName name="BExBBV8XVMD9CKZY711T0BN7H3PM" hidden="1">#REF!</definedName>
    <definedName name="BExBC78HXWXHO3XAB6E8NVTBGLJS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E5YPUY1T7N7DHMMIGGXK8TMP" hidden="1">#REF!</definedName>
    <definedName name="BExBEC9ATLQZF86W1M3APSM4HEOH" hidden="1">#REF!</definedName>
    <definedName name="BExBEYFQJE9YK12A6JBMRFKEC7RN" hidden="1">#REF!</definedName>
    <definedName name="BExBG1ED81J2O4A2S5F5Y3BPHMCR" hidden="1">#REF!</definedName>
    <definedName name="BExCRLIHS7466WFJ3RPIUGGXYESZ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8O54I3P3WRYWY1CRP3S78QY" hidden="1">#REF!</definedName>
    <definedName name="BExCUDRJO23YOKT8GPWOVQ4XEHF5" hidden="1">#REF!</definedName>
    <definedName name="BExCUPAXFR16YMWL30ME3F3BSRDZ" hidden="1">#REF!</definedName>
    <definedName name="BExCUR94DHCE47PUUWEMT5QZOYR2" hidden="1">#REF!</definedName>
    <definedName name="BExCV634L7SVHGB0UDDTRRQ2Q72H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ILMURGYMAH6N5LF5DV6K3GM" hidden="1">#REF!</definedName>
    <definedName name="BExCXQUFBMXQ1650735H48B1AZT3" hidden="1">#REF!</definedName>
    <definedName name="BExCY2DQO9VLA77Q7EG3T0XNXX4F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PRC5HJE6N2XQTHCT6NXGP8N" hidden="1">#REF!</definedName>
    <definedName name="BExCYUK0I3UEXZNFDW71G6Z6D8XR" hidden="1">#REF!</definedName>
    <definedName name="BExCZFZCXMLY5DWESYJ9NGTJYQ8M" hidden="1">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D0508DAALLU00PHFPBC8SRRKT" hidden="1">#REF!</definedName>
    <definedName name="BExD0HALIN0JR4JTPGDEVAEE5EX5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71LTOE015TV5RSAHM8NT8GVW" hidden="1">#REF!</definedName>
    <definedName name="BExD72SYX8USY8O07JT0A8QRPSQ3" hidden="1">#REF!</definedName>
    <definedName name="BExD73USXVADC7EHGHVTQNCT06ZA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8H5O087KQVWIVPUUID5VMGMS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A6LD9061UULVKUUI4QP8SK13" hidden="1">#REF!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OBX3WECDMYCV9RLN49APTXMM" hidden="1">#REF!</definedName>
    <definedName name="BExEP4E4F36662JDI0TOD85OP7X9" hidden="1">#REF!</definedName>
    <definedName name="BExEPN9VIYI0FVL0HLZQXJFO6TT0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TZAP8R69U31W4LKGTKKGKQE" hidden="1">#REF!</definedName>
    <definedName name="BExER1BK56YT6SUUC4NFZ7114Z7E" hidden="1">#REF!</definedName>
    <definedName name="BExER2O72H1F9WV6S1J04C15PXX7" hidden="1">#REF!</definedName>
    <definedName name="BExERRUIKIOATPZ9U4HQ0V52RJAU" hidden="1">#REF!</definedName>
    <definedName name="BExERSANFNM1O7T65PC5MJ301YET" hidden="1">#REF!</definedName>
    <definedName name="BExERWCEBKQRYWRQLYJ4UCMMKTHG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NE4T242Y59C6MS28MXEUGCP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8HFKH6F47KIHYBDRUEFZ2ZZ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RBZ0DI9E2UFLLKYWGN66B61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F02Y3V3QEPO2XLDSK47APK9XJ" hidden="1">#REF!</definedName>
    <definedName name="BExF09OS91RT7N7IW8JLMZ121ZP3" hidden="1">#REF!</definedName>
    <definedName name="BExF0LOEHV42P2DV7QL8O7HOQ3N9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LU2NV3A47BCWPM3EZXUEH37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52GTGP8MHGII4KJ8TJGR8W8U" hidden="1">#REF!</definedName>
    <definedName name="BExF57K7L3UC1I2FSAWURR4SN0UN" hidden="1">#REF!</definedName>
    <definedName name="BExF5D96JEPDW6LV89G2REZJ1ES7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RR76KNVIXGJOVFO8GDILKGZ" hidden="1">#REF!</definedName>
    <definedName name="BExF6ZE8D5CMPJPRWT6S4HM56LPF" hidden="1">#REF!</definedName>
    <definedName name="BExF76FV8SF7AJK7B35AL7VTZF6D" hidden="1">#REF!</definedName>
    <definedName name="BExF7EOIMC1OYL1N7835KGOI0FIZ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ASMQ33YKGIMF3J89WMBUJD1" hidden="1">#REF!</definedName>
    <definedName name="BExGNDSIMTHOCXXG6QOGR6DA8SGG" hidden="1">#REF!</definedName>
    <definedName name="BExGNN2YQ9BDAZXT2GLCSAPXKIM7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T6UXUX5FVTAYL9SOBZ1D0II" hidden="1">#REF!</definedName>
    <definedName name="BExGOXJDHUDPDT8I8IVGVW9J0R5Q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PO7ENFEQC0NC6MC9OZR2LHY" hidden="1">#REF!</definedName>
    <definedName name="BExGQX0H4EZMXBJTKJJE4ICJWN5O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UKVVKDL8483WI70VN2QZDGD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R6BA03XPBK60SQUW197GJ5X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V6OOLDQ3TXZK51TTF3YX0WN" hidden="1">#REF!</definedName>
    <definedName name="BExGW0KVS7U0C87XFZ78QW991IEV" hidden="1">#REF!</definedName>
    <definedName name="BExGW2Z7AMPG6H9EXA9ML6EZVGGA" hidden="1">#REF!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OS6TV2C72PLRFU8RP1I58GY" hidden="1">#REF!</definedName>
    <definedName name="BExGZ7NXZ0IBS44C2NZ9VMD6T6K2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ZR49T7644JFVE7B3N7RZM9" hidden="1">#REF!</definedName>
    <definedName name="BExH2UHF0QTJG107MULYB16WBJM9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E9HZ3QJCDZW7WI7YACFQCHE" hidden="1">#REF!</definedName>
    <definedName name="BExH3IRB6764RQ5HBYRLH6XCT29X" hidden="1">#REF!</definedName>
    <definedName name="BExIG2U8V6RSB47SXLCQG3Q68YRO" hidden="1">#REF!</definedName>
    <definedName name="BExIGJBO8R13LV7CZ7C1YCP974NN" hidden="1">#REF!</definedName>
    <definedName name="BExIGWT86FPOEYTI8GXCGU5Y3KGK" hidden="1">#REF!</definedName>
    <definedName name="BExIHBHXA7E7VUTBVHXXXCH3A5CL" hidden="1">#REF!</definedName>
    <definedName name="BExIHPQCQTGEW8QOJVIQ4VX0P6DX" hidden="1">#REF!</definedName>
    <definedName name="BExII1KN91Q7DLW0UB7W2TJ5ACT9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M9DBUB7ZGF4B20FVUO9QGOX2" hidden="1">#REF!</definedName>
    <definedName name="BExIMGK9Z94TFPWWZFMD10HV0IF6" hidden="1">#REF!</definedName>
    <definedName name="BExIMPEGKG18TELVC33T4OQTNBWC" hidden="1">#REF!</definedName>
    <definedName name="BExIN4OR435DL1US13JQPOQK8GD5" hidden="1">#REF!</definedName>
    <definedName name="BExINADRFOELEB40GKQ9BXRQYGYO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CQUQHKUU1KONGSDOLQTQEIC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NFUDPDKOSH5GHDVNA8D66S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QX1XBB31HZTYEEVOBSE3C5A6" hidden="1">#REF!</definedName>
    <definedName name="BExIQYP5T1TPAQYW7QU1Q98BKX7W" hidden="1">#REF!</definedName>
    <definedName name="BExIR2ALYRP9FW99DK2084J7IIDC" hidden="1">#REF!</definedName>
    <definedName name="BExIR8FQETPTQYW37DBVDWG3J4JW" hidden="1">#REF!</definedName>
    <definedName name="BExIRRBGTY01OQOI3U5SW59RFDFI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BNYANV2S8KD56GOGCKW393R" hidden="1">#REF!</definedName>
    <definedName name="BExIUD4OJGH65NFNQ4VMCE3R4J1X" hidden="1">#REF!</definedName>
    <definedName name="BExIUTB5OAAXYW0OFMP0PS40SPOB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YTFI35KNR2XSA6N8OJYUTU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X34PM5DBTRHRQWP6PL6WIX88" hidden="1">#REF!</definedName>
    <definedName name="BExIX5OAP9KSUE5SIZCW9P39Q4WE" hidden="1">#REF!</definedName>
    <definedName name="BExIXGRJPVJMUDGSG7IHPXPNO69B" hidden="1">#REF!</definedName>
    <definedName name="BExIXM5R87ZL3FHALWZXYCPHGX3E" hidden="1">#REF!</definedName>
    <definedName name="BExIXS036ZCKT2Z8XZKLZ8PFWQGL" hidden="1">#REF!</definedName>
    <definedName name="BExIXY5CF9PFM0P40AZ4U51TMWV0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P9Q6FV9T0R9G3UDKLS4TTYX" hidden="1">#REF!</definedName>
    <definedName name="BExIYZGLDQ1TN7BIIN4RLDP31GIM" hidden="1">#REF!</definedName>
    <definedName name="BExIZ4K0EZJK6PW3L8SVKTJFSWW9" hidden="1">#REF!</definedName>
    <definedName name="BExIZAECOEZGBAO29QMV14E6XDIV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KCDYKAEV45AFXHVHZZ62E5BM3" hidden="1">#REF!</definedName>
    <definedName name="BExKDKO0W4AGQO1V7K6Q4VM750FT" hidden="1">#REF!</definedName>
    <definedName name="BExKDLF10G7W77J87QWH3ZGLUCLW" hidden="1">#REF!</definedName>
    <definedName name="BExKEFE0I3MT6ZLC4T1L9465HKTN" hidden="1">#REF!</definedName>
    <definedName name="BExKEK6O5BVJP4VY02FY7JNAZ6BT" hidden="1">#REF!</definedName>
    <definedName name="BExKEKXK6E6QX339ELPXDIRZSJE0" hidden="1">#REF!</definedName>
    <definedName name="BExKEOOIBMP7N8033EY2CJYCBX6H" hidden="1">#REF!</definedName>
    <definedName name="BExKEW0RR5LA3VC46A2BEOOMQE56" hidden="1">#REF!</definedName>
    <definedName name="BExKFA3VI1CZK21SM0N3LZWT9LA1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KDK2PRBCUJS8TEDP8K3VODQ" hidden="1">#REF!</definedName>
    <definedName name="BExKHPM9XA0ADDK7TUR0N38EXWEP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U87ZKSOC2DYZWFK6SAK9I8E" hidden="1">#REF!</definedName>
    <definedName name="BExKJ449HLYX2DJ9UF0H9GTPSQ73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D6S9L66QYREYHBE5J44OK7X" hidden="1">#REF!</definedName>
    <definedName name="BExKLEZK32L28GYJWVO63BZ5E1JD" hidden="1">#REF!</definedName>
    <definedName name="BExKLLKVVHT06LA55JB2FC871DC5" hidden="1">#REF!</definedName>
    <definedName name="BExKMWBX4EH3EYJ07UFEM08NB40Z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DIZGWW2EQD0FEYW6WK6XLCM" hidden="1">#REF!</definedName>
    <definedName name="BExKOPO2HPWVQGAKW8LOZMPIDEFG" hidden="1">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X9VZ1J5021Q98K60HMPJU58" hidden="1">#REF!</definedName>
    <definedName name="BExKQC9EF1LVEEP83KLDUTR6ZZH4" hidden="1">#REF!</definedName>
    <definedName name="BExKQJGAAWNM3NT19E9I0CQDBTU0" hidden="1">#REF!</definedName>
    <definedName name="BExKQM5GJ1ZN5REKFE7YVBQ0KXWF" hidden="1">#REF!</definedName>
    <definedName name="BExKQOEA7HV9U5DH9C8JXFD62EKH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R32XG1WY77WDT8KW9FJPGQTU" hidden="1">#REF!</definedName>
    <definedName name="BExKR8RZSEHW184G0Z56B4EGNU72" hidden="1">#REF!</definedName>
    <definedName name="BExKRVUSQ6PA7ZYQSTEQL3X7PB9P" hidden="1">#REF!</definedName>
    <definedName name="BExKRY3KZ7F7RB2KH8HXSQ85IEQO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QZGN8GI3XGSEXMPCCA3S19H" hidden="1">#REF!</definedName>
    <definedName name="BExKTUKYYU0F6TUW1RXV24LRAZFE" hidden="1">#REF!</definedName>
    <definedName name="BExKU3FBLHQBIUTN6XEZW5GC9OG1" hidden="1">#REF!</definedName>
    <definedName name="BExKU82I99FEUIZLODXJDOJC96CQ" hidden="1">#REF!</definedName>
    <definedName name="BExKUDM0DFSCM3D91SH0XLXJSL18" hidden="1">#REF!</definedName>
    <definedName name="BExKULEKJLA77AUQPDUHSM94Y76Z" hidden="1">#REF!</definedName>
    <definedName name="BExKV08R85MKI3MAX9E2HERNQUNL" hidden="1">#REF!</definedName>
    <definedName name="BExKV4AAUNNJL5JWD7PX6BFKVS6O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LEWFUEM8Y686IT03ECURUBR" hidden="1">#REF!</definedName>
    <definedName name="BExMAR3XSK6RSFLHP7ZX1EWGHASI" hidden="1">#REF!</definedName>
    <definedName name="BExMAXJS82ZJ8RS22VLE0V0LDUII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US7GSOM96J0HJ7EH0FFM2AC" hidden="1">#REF!</definedName>
    <definedName name="BExMCYTT6TVDWMJXO1NZANRTVNAN" hidden="1">#REF!</definedName>
    <definedName name="BExMD5F6IAV108XYJLXUO9HD0IT6" hidden="1">#REF!</definedName>
    <definedName name="BExMDANV66W9T3XAXID40XFJ0J93" hidden="1">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UWB7VWHFFR266QXO46BNV2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G9NSK30KD01QX0UBN2VNRTG4" hidden="1">#REF!</definedName>
    <definedName name="BExMGG3PFIHPHX7NXB7HDFI3N12L" hidden="1">#REF!</definedName>
    <definedName name="BExMH3H9TW5TJCNU5Z1EWXP3BAEP" hidden="1">#REF!</definedName>
    <definedName name="BExMHOWPB34KPZ76M2KIX2C9R2VB" hidden="1">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NC8ZFB9DRFOJ961ZAJ8U3A8" hidden="1">#REF!</definedName>
    <definedName name="BExMJTBV8A3D31W2IQHP9RDFPPHQ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NDR4V2VG5RFZDGTAGD3Q9PPG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38HMPLWAJRQ9MMS3ZAZ9IU" hidden="1">#REF!</definedName>
    <definedName name="BExMNRDZULKJMVY2VKIIRM2M5A1M" hidden="1">#REF!</definedName>
    <definedName name="BExMO9IOWKTWHO8LQJJQI5P3INWY" hidden="1">#REF!</definedName>
    <definedName name="BExMOI29DOEK5R1A5QZPUDKF7N6T" hidden="1">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QHUEHGF2FS4LCB0THFELGDI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4J9LR712G00TVA82VNTG8O7H" hidden="1">#REF!</definedName>
    <definedName name="BExO55G2KVZ7MIJ30N827CLH0I2A" hidden="1">#REF!</definedName>
    <definedName name="BExO5A8PZD9EUHC5CMPU6N3SQ15L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7OUQS3XTUQ2LDKGQ8AAQ3OJJ" hidden="1">#REF!</definedName>
    <definedName name="BExO7RUSODZC2NQZMT2AFSMV2ONF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UTAGQWDBQZEEF4HUNMLQCVU" hidden="1">#REF!</definedName>
    <definedName name="BExO937E20IHMGQOZMECL3VZC7OX" hidden="1">#REF!</definedName>
    <definedName name="BExO94UTJKQQ7TJTTJRTSR70YVJC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AQ3GKCT7YZW1EMVU3EILSZL2" hidden="1">#REF!</definedName>
    <definedName name="BExOB9KT2THGV4SPLDVFTFXS4B14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C3UEHB1CZNINSQHZANWJYKR8" hidden="1">#REF!</definedName>
    <definedName name="BExOCBSF3XGO9YJ23LX2H78VOUR7" hidden="1">#REF!</definedName>
    <definedName name="BExOCKXFMOW6WPFEVX1I7R7FNDSS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NLAA1L7WQ9ZQX6A1ZOXK9VR" hidden="1">#REF!</definedName>
    <definedName name="BExODZFEIWV26E8RFU7XQYX1J458" hidden="1">#REF!</definedName>
    <definedName name="BExOEBKG55EROA2VL360A06LKASE" hidden="1">#REF!</definedName>
    <definedName name="BExOERG5LWXYYEN1DY1H2FWRJS9T" hidden="1">#REF!</definedName>
    <definedName name="BExOEV1S6JJVO5PP4BZ20SNGZR7D" hidden="1">#REF!</definedName>
    <definedName name="BExOFEDNCYI2TPTMQ8SJN3AW4YMF" hidden="1">#REF!</definedName>
    <definedName name="BExOFVLXVD6RVHSQO8KZOOACSV24" hidden="1">#REF!</definedName>
    <definedName name="BExOG2SW3XOGP9VAPQ3THV3VWV12" hidden="1">#REF!</definedName>
    <definedName name="BExOG45J81K4OPA40KW5VQU54KY3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H9ICZ13C1LAW8OTYTR9S7ZP3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M0W6XGSW5MXPTTX0GNF6SFT" hidden="1">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KHOPWUVRJGQJ5ONR2U40JX8" hidden="1">#REF!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OI0WJS3QC12I3ISL0D9AWOF" hidden="1">#REF!</definedName>
    <definedName name="BExOLYZNG5RBD0BTS1OEZJNU92Q5" hidden="1">#REF!</definedName>
    <definedName name="BExOM3HIJ3UZPOKJI68KPBJAHPDC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O1WWIZSGB0YTGKESB45TSVMZ" hidden="1">#REF!</definedName>
    <definedName name="BExOO40FFUETZYWSLV41VAZ1G9A9" hidden="1">#REF!</definedName>
    <definedName name="BExOO4B8FPAFYPHCTYTX37P1TQM5" hidden="1">#REF!</definedName>
    <definedName name="BExOOIULUDOJRMYABWV5CCL906X6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1FD6KISGYU1JWEQ4G243ZPVD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TBSHPHVEDRCXC2ROW8PLFC" hidden="1">#REF!</definedName>
    <definedName name="BExQ4DGKF54SRKQUTUT4B1CZSS62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5VEQEIJO7YY80OJTA3XRQYJ9" hidden="1">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99VFSKCAROFBQACUDVOJAIY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5TWT21CGBKD0IHAXTIN2QB8" hidden="1">#REF!</definedName>
    <definedName name="BExQC94JL9F5GW4S8DQCAF4WB2DA" hidden="1">#REF!</definedName>
    <definedName name="BExQCKTD8AT0824LGWREXM1B5D1X" hidden="1">#REF!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C7BRIJ30PTU3UPFOIP2HPE3" hidden="1">#REF!</definedName>
    <definedName name="BExQEMUA4HEFM4OVO8M8MA8PIAW1" hidden="1">#REF!</definedName>
    <definedName name="BExQEQ4XZQFIKUXNU9H7WE7AMZ1U" hidden="1">#REF!</definedName>
    <definedName name="BExQF1OEB07CRAP6ALNNMJNJ3P2D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GSBB6MJWDW7AYWA0MSFTXKRR" hidden="1">#REF!</definedName>
    <definedName name="BExQH0UURAJ13AVO5UI04HSRGVYW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VF9KD06AG2RXUQJ9X4PVGX4" hidden="1">#REF!</definedName>
    <definedName name="BExQHZBHVN2L4HC7ACTR73T5OCV0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S8O6R36CI01XRY9ISM99TW9" hidden="1">#REF!</definedName>
    <definedName name="BExQIVJB9MJ25NDUHTCVMSODJY2C" hidden="1">#REF!</definedName>
    <definedName name="BExQJBF7LAX128WR7VTMJC88ZLPG" hidden="1">#REF!</definedName>
    <definedName name="BExQJEVCKX6KZHNCLYXY7D0MX5KN" hidden="1">#REF!</definedName>
    <definedName name="BExQJJYSDX8B0J1QGF2HL071KKA3" hidden="1">#REF!</definedName>
    <definedName name="BExQK1HV6SQQ7CP8H8IUKI9TYXTD" hidden="1">#REF!</definedName>
    <definedName name="BExQK3LE5CSBW1E4H4KHW548FL2R" hidden="1">#REF!</definedName>
    <definedName name="BExQKG6LD6PLNDGNGO9DJXY865BR" hidden="1">#REF!</definedName>
    <definedName name="BExQLE1TOW3A287TQB0AVWENT8O1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RRIXRUMZ5GOO95S7460BMP" hidden="1">#REF!</definedName>
    <definedName name="BExRZK9RAHMM0ZLTNSK7A4LDC42D" hidden="1">#REF!</definedName>
    <definedName name="BExRZOGSR69INI6GAEPHDWSNK5Q4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152B2LFCRAUHSLI5T6QRNII0" hidden="1">#REF!</definedName>
    <definedName name="BExS15IJV0WW662NXQUVT3FGP4ST" hidden="1">#REF!</definedName>
    <definedName name="BExS194110MR25BYJI3CJ2EGZ8XT" hidden="1">#REF!</definedName>
    <definedName name="BExS1BNVGNSGD4EP90QL8WXYWZ66" hidden="1">#REF!</definedName>
    <definedName name="BExS1UE39N6NCND7MAARSBWXS6HU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QB5FS5LYTFYO4BROTWG3OV5" hidden="1">#REF!</definedName>
    <definedName name="BExS2TLU1HONYV6S3ZD9T12D7CIG" hidden="1">#REF!</definedName>
    <definedName name="BExS318UV9I2FXPQQWUKKX00QLPJ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3SDERJ27OER67TIGOVZU13A2" hidden="1">#REF!</definedName>
    <definedName name="BExS46R5WDNU5KL04FKY5LHJUCB8" hidden="1">#REF!</definedName>
    <definedName name="BExS4ASWKM93XA275AXHYP8AG6SU" hidden="1">#REF!</definedName>
    <definedName name="BExS4JN3Y6SVBKILQK0R9HS45Y52" hidden="1">#REF!</definedName>
    <definedName name="BExS4P6S41O6Z6BED77U3GD9PNH1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DRER9US6NXY9ATYT41KZII3" hidden="1">#REF!</definedName>
    <definedName name="BExS5L3TGB8JVW9ROYWTKYTUPW27" hidden="1">#REF!</definedName>
    <definedName name="BExS6GKQ96EHVLYWNJDWXZXUZW90" hidden="1">#REF!</definedName>
    <definedName name="BExS6ITKSZFRR01YD5B0F676SYN7" hidden="1">#REF!</definedName>
    <definedName name="BExS6N0LI574IAC89EFW6CLTCQ33" hidden="1">#REF!</definedName>
    <definedName name="BExS6WRDBF3ST86ZOBBUL3GTCR11" hidden="1">#REF!</definedName>
    <definedName name="BExS6XNRKR0C3MTA0LV5B60UB908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WI0A6PSEB8N9GPXF2Z7MWHM" hidden="1">#REF!</definedName>
    <definedName name="BExSA5HP306TN9XJS0TU619DLRR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P5Y04WWMX2WWRITWOX8R5I9" hidden="1">#REF!</definedName>
    <definedName name="BExSDRV0OOT4D90R6OJ24C64MBQX" hidden="1">#REF!</definedName>
    <definedName name="BExSDSGM203BJTNS9MKCBX453HMD" hidden="1">#REF!</definedName>
    <definedName name="BExSDT20XUFXTDM37M148AXAP7HN" hidden="1">#REF!</definedName>
    <definedName name="BExSEEHK1VLWD7JBV9SVVVIKQZ3I" hidden="1">#REF!</definedName>
    <definedName name="BExSEJKZLX37P3V33TRTFJ30BFRK" hidden="1">#REF!</definedName>
    <definedName name="BExSEP9UVOAI6TMXKNK587PQ3328" hidden="1">#REF!</definedName>
    <definedName name="BExSERZ34ETZF8OI93MYIVZX4RDV" hidden="1">#REF!</definedName>
    <definedName name="BExSF07QFLZCO4P6K6QF05XG7PH1" hidden="1">#REF!</definedName>
    <definedName name="BExSFELNPJYUZX393PKWKNNZYV1N" hidden="1">#REF!</definedName>
    <definedName name="BExSFJ8ZAGQ63A4MVMZRQWLVRGQ5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AHFHS7MMNJR8JPVABRGBVIT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WD2PGX3Y9FR5F2MRNLY1DIY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VZQLP9VFLEYQ9280W13X7E8K" hidden="1">#REF!</definedName>
    <definedName name="BExTWB4LA1PODQOH4LDTHQKBN16K" hidden="1">#REF!</definedName>
    <definedName name="BExTWF0UM0XSY2878LVA07SDBVBL" hidden="1">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Y5T62H651VC86QM4X7E28JVA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Y8TDV4U7FQL7O10G6VKWKP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XB6XCXI4SZ92YEUFMW4TAXF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B66MCKJFSKT3HL8B5EJGVX0" hidden="1">#REF!</definedName>
    <definedName name="BExU3UNI9NR1RNZR07NSLSZMDOQQ" hidden="1">#REF!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NA00RRRBGRT6TOB0MXZRCRZ" hidden="1">#REF!</definedName>
    <definedName name="BExU51IFNZXPBDES28457LR8X60M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6KMFBAP8JCVG9VM1RD1TNFF" hidden="1">#REF!</definedName>
    <definedName name="BExU68IOM3CB3TACNAE9565TW7SH" hidden="1">#REF!</definedName>
    <definedName name="BExU6AM82KN21E82HMWVP3LWP9IL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80I6AE5OU7P7F5V7HWIZBJ4P" hidden="1">#REF!</definedName>
    <definedName name="BExU86NB26MCPYIISZ36HADONGT2" hidden="1">#REF!</definedName>
    <definedName name="BExU885EZZNSZV3GP298UJ8LB7OL" hidden="1">#REF!</definedName>
    <definedName name="BExU8FSAUP9TUZ1NO9WXK80QPHWV" hidden="1">#REF!</definedName>
    <definedName name="BExU8KFLAN778MBN93NYZB0FV30G" hidden="1">#REF!</definedName>
    <definedName name="BExU8UX9JX3XLB47YZ8GFXE0V7R2" hidden="1">#REF!</definedName>
    <definedName name="BExU91DC3DGKPZD6LTER2IRTF89C" hidden="1">#REF!</definedName>
    <definedName name="BExU96M1J7P9DZQ3S9H0C12KGYTW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X8WS5OPVLCDXRGKTU2QMTFO" hidden="1">#REF!</definedName>
    <definedName name="BExUB8HLEXSBVPZ5AXNQEK96F1N4" hidden="1">#REF!</definedName>
    <definedName name="BExUBCDVZIEA7YT0LPSMHL5ZSERQ" hidden="1">#REF!</definedName>
    <definedName name="BExUBJVM2RBCZWA887ZK5TPXLB6N" hidden="1">#REF!</definedName>
    <definedName name="BExUBKXBUCN760QYU7Q8GESBWOQH" hidden="1">#REF!</definedName>
    <definedName name="BExUBL83ED0P076RN9RJ8P1MZ299" hidden="1">#REF!</definedName>
    <definedName name="BExUC623BDYEODBN0N4DO6PJQ7NU" hidden="1">#REF!</definedName>
    <definedName name="BExUC8WH8TCKBB5313JGYYQ1WFLT" hidden="1">#REF!</definedName>
    <definedName name="BExUCFCDK6SPH86I6STXX8X3WMC4" hidden="1">#REF!</definedName>
    <definedName name="BExUCLC6AQ5KR6LXSAXV4QQ8ASVG" hidden="1">#REF!</definedName>
    <definedName name="BExUD4IOJ12X3PJG5WXNNGDRCKAP" hidden="1">#REF!</definedName>
    <definedName name="BExUD4IQBW72IRUV3EG6L38ATPGI" hidden="1">#REF!</definedName>
    <definedName name="BExUD9WX9BWK72UWVSLYZJLAY5VY" hidden="1">#REF!</definedName>
    <definedName name="BExUDBEUJH9IACZDBL1VAUWPG0QW" hidden="1">#REF!</definedName>
    <definedName name="BExUDEV0CYVO7Y5IQQBEJ6FUY9S6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R0URK2DHXB3KB9IHWDDGM6Y9" hidden="1">#REF!</definedName>
    <definedName name="BExVSL787C8E4HFQZ2NVLT35I2XV" hidden="1">#REF!</definedName>
    <definedName name="BExVSTFTVV14SFGHQUOJL5SQ5TX9" hidden="1">#REF!</definedName>
    <definedName name="BExVT3MPE8LQ5JFN3HQIFKSQ80U4" hidden="1">#REF!</definedName>
    <definedName name="BExVT7TRK3NZHPME2TFBXOF1WBR9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XLMYR87BC04D1ERALPUFVPG" hidden="1">#REF!</definedName>
    <definedName name="BExVUL9V3H8ZF6Y72LQBBN639YAA" hidden="1">#REF!</definedName>
    <definedName name="BExVV5T14N2HZIK7HQ4P2KG09U0J" hidden="1">#REF!</definedName>
    <definedName name="BExVV7R410VYLADLX9LNG63ID6H1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YU8EK669NP172GEIGCTVPPA" hidden="1">#REF!</definedName>
    <definedName name="BExVX3MVJ0GHWPP1EL59ZQNKMX0B" hidden="1">#REF!</definedName>
    <definedName name="BExVX3XN2DRJKL8EDBIG58RYQ36R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JQVO5LQ0BJH5JEN5NOBIAF6" hidden="1">#REF!</definedName>
    <definedName name="BExVZNXWS91RD7NXV5NE2R3C8WW7" hidden="1">#REF!</definedName>
    <definedName name="BExW0386REQRCQCVT9BCX80UPTRY" hidden="1">#REF!</definedName>
    <definedName name="BExW0FYP4WXY71CYUG40SUBG9UWU" hidden="1">#REF!</definedName>
    <definedName name="BExW0RI61B4VV0ARXTFVBAWRA1C5" hidden="1">#REF!</definedName>
    <definedName name="BExW1BVUYQTKMOR56MW7RVRX4L1L" hidden="1">#REF!</definedName>
    <definedName name="BExW1F1220628FOMTW5UAATHRJHK" hidden="1">#REF!</definedName>
    <definedName name="BExW1IH2OYSPUPZ9A59T9X04O4IT" hidden="1">#REF!</definedName>
    <definedName name="BExW1TKA0Z9OP2DTG50GZR5EG8C7" hidden="1">#REF!</definedName>
    <definedName name="BExW1U0JLKQ094DW5MMOI8UHO09V" hidden="1">#REF!</definedName>
    <definedName name="BExW283NP9D366XFPXLGSCI5UB0L" hidden="1">#REF!</definedName>
    <definedName name="BExW2H3C8WJSBW5FGTFKVDVJC4CL" hidden="1">#REF!</definedName>
    <definedName name="BExW2MSCKPGF5K3I7TL4KF5ISUOL" hidden="1">#REF!</definedName>
    <definedName name="BExW2SMO90FU9W8DVVES6Q4E6BZR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4217ZHL9VO39POSTJOD090WU" hidden="1">#REF!</definedName>
    <definedName name="BExW4GPW71EBF8XPS2QGVQHBCDX3" hidden="1">#REF!</definedName>
    <definedName name="BExW4JKC5837JBPCOJV337ZVYYY3" hidden="1">#REF!</definedName>
    <definedName name="BExW4QR9FV9MP5K610THBSM51RYO" hidden="1">#REF!</definedName>
    <definedName name="BExW4Z029R9E19ZENN3WEA3VDAD1" hidden="1">#REF!</definedName>
    <definedName name="BExW5AZNT6IAZGNF2C879ODHY1B8" hidden="1">#REF!</definedName>
    <definedName name="BExW5WPU27WD4NWZOT0ZEJIDLX5J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75DHU6XMKF8RH2P9Z4T0G1Q9" hidden="1">#REF!</definedName>
    <definedName name="BExW794A74Z5F2K8LVQLD6VSKXUE" hidden="1">#REF!</definedName>
    <definedName name="BExW8K0SSIPSKBVP06IJ71600HJZ" hidden="1">#REF!</definedName>
    <definedName name="BExW8NM8DJJESE7GF7VGTO2XO6P1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POK1KIOI0ALS5MZIKTDIYMA" hidden="1">#REF!</definedName>
    <definedName name="BExW9TVLB7OIHTG98I7I4EXBL61S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4C031W9DK73MJHKL8YT1QA8" hidden="1">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BHOP0WGFHI2Y9AO4L440UVQ" hidden="1">#REF!</definedName>
    <definedName name="BExXOHSAD2NSHOLLMZ2JWA4I3I1R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IRBLQSLAJTFL7224FCFUTKH" hidden="1">#REF!</definedName>
    <definedName name="BExXQJIEF5R3QQ6D8HO3NGPU0IQC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K87BMMO6LHKV0CFDNIQVIBS" hidden="1">#REF!</definedName>
    <definedName name="BExXVKZ9WXPGL6IVY6T61IDD771I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FP5AYE7EHYTJWBZSQ8PQ0YX" hidden="1">#REF!</definedName>
    <definedName name="BExXWVFIBQT8OY1O41FRFPFGXQHK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VUDA98IZTQ6MANKU4MTTDVR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NJ2X1TK2LRK5ZY3MX49H5T7" hidden="1">#REF!</definedName>
    <definedName name="BExXZOVPCEP495TQSON6PSRQ8XCY" hidden="1">#REF!</definedName>
    <definedName name="BExXZXKH7NBARQQAZM69Z57IH1MM" hidden="1">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GK9ELBEKDD7O6HR6DUO8YGO" hidden="1">#REF!</definedName>
    <definedName name="BExY1NWOXXFV9GGZ3PX444LZ8TVX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3HOSK7YI364K15OX70AVR6F1" hidden="1">#REF!</definedName>
    <definedName name="BExY3T89AUR83SOAZZ3OMDEJDQ39" hidden="1">#REF!</definedName>
    <definedName name="BExY4MG771JQ84EMIVB6HQGGHZY7" hidden="1">#REF!</definedName>
    <definedName name="BExY4PWCSFB8P3J3TBQB2MD67263" hidden="1">#REF!</definedName>
    <definedName name="BExY4RZW3KK11JLYBA4DWZ92M6LQ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S3XD1NJT109CV54IFOHVLQ6" hidden="1">#REF!</definedName>
    <definedName name="BExY5TB2VAI3GHKCPXMCVIOM8B8W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GVLMKTPFXG42QYT0PO81G7F" hidden="1">#REF!</definedName>
    <definedName name="BExZLKMK7LRK14S09WLMH7MXSQXM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847WUWKRYTZWG9TCQZJS3OL" hidden="1">#REF!</definedName>
    <definedName name="BExZNH3VISFF4NQI11BZDP5IQ7VG" hidden="1">#REF!</definedName>
    <definedName name="BExZNJYCFYVMAOI62GB2BABK1ELE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ETNB1CJ3Y2RKLI1ZK0S8Z6H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Q0XY507N8FJMVPKCTK8HC9H" hidden="1">#REF!</definedName>
    <definedName name="BExZQ37OVBR25U32CO2YYVPZOMR5" hidden="1">#REF!</definedName>
    <definedName name="BExZQ3IHNAFF2HI20IH754T349LH" hidden="1">#REF!</definedName>
    <definedName name="BExZQ3NT7H06VO0AR48WHZULZB93" hidden="1">#REF!</definedName>
    <definedName name="BExZQ7PJU07SEJMDX18U9YVDC2GU" hidden="1">#REF!</definedName>
    <definedName name="BExZQIHTGHK7OOI2Y2PN3JYBY82I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RW8W514W8OZ72YBONYJ64GXF" hidden="1">#REF!</definedName>
    <definedName name="BExZRWJP2BUVFJPO8U8ATQEP0LZU" hidden="1">#REF!</definedName>
    <definedName name="BExZS2OY9JTSSP01ZQ6V2T2LO5R9" hidden="1">#REF!</definedName>
    <definedName name="BExZSI9USDLZAN8LI8M4YYQL24GZ" hidden="1">#REF!</definedName>
    <definedName name="BExZSS0LA2JY4ZLJ1Z5YCMLJJZCH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EPYS6HYXG8RN9GMWZTHDEMK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KZ5N3RDXU8MZ8HQVYYD8O0F" hidden="1">#REF!</definedName>
    <definedName name="BExZWSMC9T48W74GFGQCIUJ8ZPP3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Z2FQA9A8C7CJKMEFQ9VPSLCE" hidden="1">#REF!</definedName>
    <definedName name="BExZZCHAVHW8C2H649KRGVQ0WVRT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G_Del" hidden="1">15</definedName>
    <definedName name="BG_Ins" hidden="1">4</definedName>
    <definedName name="BG_Mod" hidden="1">6</definedName>
    <definedName name="BI" hidden="1">{#N/A,#N/A,FALSE,"이태원철근"}</definedName>
    <definedName name="BLPH8" hidden="1">#REF!</definedName>
    <definedName name="book1" hidden="1">{#N/A,#N/A,FALSE,"UNIT";#N/A,#N/A,FALSE,"UNIT";#N/A,#N/A,FALSE,"계정"}</definedName>
    <definedName name="BS추정" hidden="1">{"'보고양식'!$A$58:$K$111"}</definedName>
    <definedName name="B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U별" hidden="1">{#N/A,#N/A,FALSE,"동부"}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case2" hidden="1">{#N/A,#N/A,FALSE,"UNIT";#N/A,#N/A,FALSE,"UNIT";#N/A,#N/A,FALSE,"계정"}</definedName>
    <definedName name="cas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ccc" hidden="1">[14]A!$E$715:$E$726</definedName>
    <definedName name="cf" hidden="1">#REF!</definedName>
    <definedName name="cf1fc1s4" hidden="1">{#N/A,#N/A,FALSE,"Aging Summary";#N/A,#N/A,FALSE,"Ratio Analysis";#N/A,#N/A,FALSE,"Test 120 Day Accts";#N/A,#N/A,FALSE,"Tickmarks"}</definedName>
    <definedName name="CFAB7" hidden="1">{"'Sheet1'!$A$1:$H$36"}</definedName>
    <definedName name="cfdf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CF요인" hidden="1">#REF!</definedName>
    <definedName name="charlee" hidden="1">{#N/A,#N/A,FALSE,"1Executive Summary";#N/A,#N/A,FALSE,"2Assumptions (Input)";#N/A,#N/A,FALSE,"3Cash Flow Analysis";#N/A,#N/A,FALSE,"4Year One Financial Summary";#N/A,#N/A,FALSE,"5Value Matrix";#N/A,#N/A,FALSE,"Greenline Form Page 1";#N/A,#N/A,FALSE,"Greenline Form Page 2"}</definedName>
    <definedName name="chuck" hidden="1">{#N/A,#N/A,FALSE,"1Executive Summary";#N/A,#N/A,FALSE,"2Assumptions (Input)";#N/A,#N/A,FALSE,"3Cash Flow Analysis";#N/A,#N/A,FALSE,"4Year One Financial Summary";#N/A,#N/A,FALSE,"5Value Matrix";#N/A,#N/A,FALSE,"Greenline Form Page 1";#N/A,#N/A,FALSE,"Greenline Form Page 2"}</definedName>
    <definedName name="CIQWBGuid" hidden="1">"228b0ab1-7d23-4c5b-a2f0-dcbe8df5736e"</definedName>
    <definedName name="ckd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osts" hidden="1">{"Current Draw",#N/A,FALSE,"Sheet1"}</definedName>
    <definedName name="COSTT" hidden="1">#REF!</definedName>
    <definedName name="countsheets">get.work(1)&amp;T(NOW())</definedName>
    <definedName name="countshhets">get,workbook(1)&amp;T(NOW())</definedName>
    <definedName name="CPA감사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CUCK" hidden="1">{"'분석(dept)'!$B$23:$K$32"}</definedName>
    <definedName name="cv" hidden="1">{"'Sheet1'!$A$1:$H$36"}</definedName>
    <definedName name="cvc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Y2007년" hidden="1">{#N/A,#N/A,FALSE,"97년 투자계획 세부내역 "}</definedName>
    <definedName name="D" hidden="1">{#N/A,#N/A,FALSE,"이태원철근"}</definedName>
    <definedName name="DD" hidden="1">'[15]Initial Input Variable'!#REF!</definedName>
    <definedName name="dd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dd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d" hidden="1">#REF!</definedName>
    <definedName name="dddddd" hidden="1">{#N/A,#N/A,FALSE,"CAPREIT"}</definedName>
    <definedName name="ddddddd" hidden="1">{#N/A,#N/A,FALSE,"CAPREIT"}</definedName>
    <definedName name="DDDDDDDDDD" hidden="1">{#N/A,#N/A,TRUE,"Y생산";#N/A,#N/A,TRUE,"Y판매";#N/A,#N/A,TRUE,"Y총물량";#N/A,#N/A,TRUE,"Y능력";#N/A,#N/A,TRUE,"YKD"}</definedName>
    <definedName name="DDDDDDDDDD_1" hidden="1">{#N/A,#N/A,TRUE,"Y생산";#N/A,#N/A,TRUE,"Y판매";#N/A,#N/A,TRUE,"Y총물량";#N/A,#N/A,TRUE,"Y능력";#N/A,#N/A,TRUE,"YKD"}</definedName>
    <definedName name="ddddddddddddddddd" hidden="1">{"'Sheet1'!$A$1:$H$36"}</definedName>
    <definedName name="ddffkhj" hidden="1">#N/A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waterfall" hidden="1">{"CF",#N/A,FALSE,"Cash Flow";"RET",#N/A,FALSE,"Returns";"NPV",#N/A,FALSE,"Values";"ASMPT",#N/A,FALSE,"Assumptions"}</definedName>
    <definedName name="DEPT" hidden="1">{"'분석(dept)'!$B$23:$K$32"}</definedName>
    <definedName name="DF" hidden="1">{#N/A,#N/A,FALSE,"Aging Summary";#N/A,#N/A,FALSE,"Ratio Analysis";#N/A,#N/A,FALSE,"Test 120 Day Accts";#N/A,#N/A,FALSE,"Tickmarks"}</definedName>
    <definedName name="dfakdf" hidden="1">#REF!</definedName>
    <definedName name="DFDF" hidden="1">{#N/A,#N/A,FALSE,"Aging Summary";#N/A,#N/A,FALSE,"Ratio Analysis";#N/A,#N/A,FALSE,"Test 120 Day Accts";#N/A,#N/A,FALSE,"Tickmarks"}</definedName>
    <definedName name="df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gs" hidden="1">{"'Sheet1'!$A$1:$H$36"}</definedName>
    <definedName name="DFL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sd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isplay시가총액" hidden="1">{"'4월수지'!$A$1:$AE$45"}</definedName>
    <definedName name="DIV" hidden="1">{#N/A,#N/A,FALSE,"97년 투자계획 세부내역 "}</definedName>
    <definedName name="DJQAN" hidden="1">{#N/A,#N/A,TRUE,"대 차 대 조 표"}</definedName>
    <definedName name="DJQAN_1" hidden="1">{#N/A,#N/A,TRUE,"대 차 대 조 표"}</definedName>
    <definedName name="dk" hidden="1">{"'BS'!$C$10"}</definedName>
    <definedName name="dkd" hidden="1">{#N/A,#N/A,FALSE,"1.CRITERIA";#N/A,#N/A,FALSE,"2.IS";#N/A,#N/A,FALSE,"3.BS";#N/A,#N/A,FALSE,"4.PER PL";#N/A,#N/A,FALSE,"5.INVESTMENT";#N/A,#N/A,FALSE,"6.공문";#N/A,#N/A,FALSE,"7.netinvest"}</definedName>
    <definedName name="dkskslfjklsd" hidden="1">{#N/A,#N/A,FALSE,"1.CRITERIA";#N/A,#N/A,FALSE,"2.IS";#N/A,#N/A,FALSE,"3.BS";#N/A,#N/A,FALSE,"4.PER PL";#N/A,#N/A,FALSE,"5.INVESTMENT";#N/A,#N/A,FALSE,"6.공문";#N/A,#N/A,FALSE,"7.netinvest"}</definedName>
    <definedName name="DL" hidden="1">#REF!</definedName>
    <definedName name="dlfm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lkfajldjf" hidden="1">{#N/A,#N/A,FALSE,"지침";#N/A,#N/A,FALSE,"환경분석";#N/A,#N/A,FALSE,"Sheet16"}</definedName>
    <definedName name="DN" hidden="1">{"'Sheet1'!$A$1:$H$36"}</definedName>
    <definedName name="DNFL" hidden="1">{#N/A,#N/A,FALSE,"동부"}</definedName>
    <definedName name="DpFKDL" hidden="1">{#N/A,#N/A,FALSE,"이태원철근"}</definedName>
    <definedName name="DPFLSDPFL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ruk" hidden="1">{"YTD/Forecast",#N/A,TRUE,"Fcst_TPLN";"Monthly Averages",#N/A,TRUE,"Fcst_TPLN"}</definedName>
    <definedName name="dsa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asdf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gdsg" hidden="1">{"'Sheet1'!$A$1:$H$36"}</definedName>
    <definedName name="dsfgdsgdf" hidden="1">{"'Sheet1'!$A$1:$H$36"}</definedName>
    <definedName name="dsfkljsd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gdgwe" hidden="1">{"'Sheet1'!$A$1:$H$36"}</definedName>
    <definedName name="dsgdsfg" hidden="1">{"'Sheet1'!$A$1:$H$36"}</definedName>
    <definedName name="dsgsdgsd" hidden="1">{#N/A,#N/A,FALSE,"5YRASSPl - consol'd";#N/A,#N/A,FALSE,"5YRASSPl - hotel";#N/A,#N/A,FALSE,"5YRASSPl - excl htl";#N/A,#N/A,FALSE,"VarReport";#N/A,#N/A,FALSE,"Sensitivity";#N/A,#N/A,FALSE,"House View ";#N/A,#N/A,FALSE,"KPI"}</definedName>
    <definedName name="ea" hidden="1">{#N/A,#N/A,FALSE,"Aging Summary";#N/A,#N/A,FALSE,"Ratio Analysis";#N/A,#N/A,FALSE,"Test 120 Day Accts";#N/A,#N/A,FALSE,"Tickmarks"}</definedName>
    <definedName name="earnings" hidden="1">{"'7-2지역별'!$A$1:$R$44"}</definedName>
    <definedName name="ed" hidden="1">{"'보고양식'!$A$58:$K$111"}</definedName>
    <definedName name="EDEEEE" hidden="1">#REF!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fzd4" hidden="1">#REF!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q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wet" hidden="1">{"'Sheet1'!$A$1:$H$36"}</definedName>
    <definedName name="EV__LASTREFTIME__" hidden="1">41179.6348611111</definedName>
    <definedName name="ew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rtqw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E마트청주" hidden="1">{"YTD/Forecast",#N/A,TRUE,"Fcst_TPLN";"Monthly Averages",#N/A,TRUE,"Fcst_TPLN"}</definedName>
    <definedName name="fa" hidden="1">{#N/A,#N/A,FALSE,"Aging Summary";#N/A,#N/A,FALSE,"Ratio Analysis";#N/A,#N/A,FALSE,"Test 120 Day Accts";#N/A,#N/A,FALSE,"Tickmarks"}</definedName>
    <definedName name="fasdfd" hidden="1">#REF!</definedName>
    <definedName name="fchynd" hidden="1">{#N/A,#N/A,FALSE,"Aging Summary";#N/A,#N/A,FALSE,"Ratio Analysis";#N/A,#N/A,FALSE,"Test 120 Day Accts";#N/A,#N/A,FALSE,"Tickmarks"}</definedName>
    <definedName name="FD" hidden="1">{#N/A,#N/A,FALSE,"Aging Summary";#N/A,#N/A,FALSE,"Ratio Analysis";#N/A,#N/A,FALSE,"Test 120 Day Accts";#N/A,#N/A,FALSE,"Tickmarks"}</definedName>
    <definedName name="fdadsfas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dfd" hidden="1">{#N/A,#N/A,FALSE,"CAPREIT"}</definedName>
    <definedName name="fdfdfdf" hidden="1">{#N/A,#N/A,FALSE,"CAPREIT"}</definedName>
    <definedName name="FDP_0_1_aSrv" hidden="1">#REF!</definedName>
    <definedName name="FDP_100_1_aSrv" hidden="1">#REF!</definedName>
    <definedName name="FDP_101_1_aSrv" hidden="1">#REF!</definedName>
    <definedName name="FDP_102_1_aSrv" hidden="1">#REF!</definedName>
    <definedName name="FDP_103_1_aSrv" hidden="1">#REF!</definedName>
    <definedName name="FDP_104_1_aSrv" hidden="1">#REF!</definedName>
    <definedName name="FDP_12_1_aDrv" hidden="1">#REF!</definedName>
    <definedName name="FDP_13_1_aDrv" hidden="1">#REF!</definedName>
    <definedName name="FDP_14_1_aDrv" hidden="1">#REF!</definedName>
    <definedName name="FDP_15_1_aUrv" hidden="1">#REF!</definedName>
    <definedName name="FDP_17_1_aSrv" hidden="1">#REF!</definedName>
    <definedName name="FDP_19_1_aDrv" hidden="1">#REF!</definedName>
    <definedName name="FDP_2_1_aSrv" hidden="1">#REF!</definedName>
    <definedName name="FDP_20_1_aDrv" hidden="1">#REF!</definedName>
    <definedName name="FDP_21_1_aDrv" hidden="1">#REF!</definedName>
    <definedName name="FDP_22_1_aDrv" hidden="1">#REF!</definedName>
    <definedName name="FDP_23_1_aDrv" hidden="1">#REF!</definedName>
    <definedName name="FDP_24_1_aDrv" hidden="1">#REF!</definedName>
    <definedName name="FDP_25_1_aUrv" hidden="1">#REF!</definedName>
    <definedName name="FDP_26_1_aSrv" hidden="1">#REF!</definedName>
    <definedName name="FDP_27_1_aUrv" hidden="1">#REF!</definedName>
    <definedName name="FDP_28_1_aUrv" hidden="1">#REF!</definedName>
    <definedName name="FDP_29_1_aUrv" hidden="1">#REF!</definedName>
    <definedName name="FDP_30_1_aUrv" hidden="1">#REF!</definedName>
    <definedName name="FDP_31_1_aUrv" hidden="1">#REF!</definedName>
    <definedName name="FDP_32_1_aUrv" hidden="1">#REF!</definedName>
    <definedName name="FDP_33_1_aUrv" hidden="1">#REF!</definedName>
    <definedName name="FDP_34_1_aUrv" hidden="1">#REF!</definedName>
    <definedName name="FDP_35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Srv" hidden="1">#REF!</definedName>
    <definedName name="FDP_40_1_aUrv" hidden="1">#REF!</definedName>
    <definedName name="FDP_50_1_aDrv" hidden="1">#REF!</definedName>
    <definedName name="FDP_51_1_aDrv" hidden="1">#REF!</definedName>
    <definedName name="FDP_52_1_aDrv" hidden="1">#REF!</definedName>
    <definedName name="FDP_53_1_aUrv" hidden="1">#REF!</definedName>
    <definedName name="FDP_54_1_aUrv" hidden="1">#REF!</definedName>
    <definedName name="FDP_57_1_aSrv" hidden="1">#REF!</definedName>
    <definedName name="FDP_59_1_aUrv" hidden="1">#REF!</definedName>
    <definedName name="FDP_60_1_aUrv" hidden="1">#REF!</definedName>
    <definedName name="FDP_61_1_aSrv" hidden="1">#REF!</definedName>
    <definedName name="FDP_62_1_aDrv" hidden="1">#REF!</definedName>
    <definedName name="FDP_63_1_aUrv" hidden="1">#REF!</definedName>
    <definedName name="FDP_64_1_aUrv" hidden="1">#REF!</definedName>
    <definedName name="FDP_65_1_aUrv" hidden="1">#REF!</definedName>
    <definedName name="FDP_66_1_aUrv" hidden="1">#REF!</definedName>
    <definedName name="FDP_67_1_aDrv" hidden="1">#REF!</definedName>
    <definedName name="FDP_68_1_aUrv" hidden="1">#REF!</definedName>
    <definedName name="FDP_69_1_aUrv" hidden="1">#REF!</definedName>
    <definedName name="FDP_70_1_aUrv" hidden="1">#REF!</definedName>
    <definedName name="FDP_71_1_aDrv" hidden="1">#REF!</definedName>
    <definedName name="FDP_72_1_aDrv" hidden="1">#REF!</definedName>
    <definedName name="FDP_73_1_aDrv" hidden="1">#REF!</definedName>
    <definedName name="FDP_74_1_aDrv" hidden="1">#REF!</definedName>
    <definedName name="FDP_75_1_aUrv" hidden="1">#REF!</definedName>
    <definedName name="FDP_76_1_aUrv" hidden="1">#REF!</definedName>
    <definedName name="FDP_77_1_aDrv" hidden="1">#REF!</definedName>
    <definedName name="FDP_78_1_aUrv" hidden="1">#REF!</definedName>
    <definedName name="FDP_79_1_aUrv" hidden="1">#REF!</definedName>
    <definedName name="FDP_80_1_aDrv" hidden="1">#REF!</definedName>
    <definedName name="FDP_81_1_aSrv" hidden="1">#REF!</definedName>
    <definedName name="FDP_82_1_aUrv" hidden="1">#REF!</definedName>
    <definedName name="FDP_83_1_aDrv" hidden="1">#REF!</definedName>
    <definedName name="FDP_84_1_aDrv" hidden="1">#REF!</definedName>
    <definedName name="FDP_85_1_aDrv" hidden="1">#REF!</definedName>
    <definedName name="FDP_86_1_aDrv" hidden="1">#REF!</definedName>
    <definedName name="FDP_87_1_aDrv" hidden="1">#REF!</definedName>
    <definedName name="FDP_88_1_aDrv" hidden="1">#REF!</definedName>
    <definedName name="FDP_89_1_aDrv" hidden="1">#REF!</definedName>
    <definedName name="FDP_90_1_aDrv" hidden="1">#REF!</definedName>
    <definedName name="FDP_91_1_aDrv" hidden="1">#REF!</definedName>
    <definedName name="FDP_92_1_aDrv" hidden="1">#REF!</definedName>
    <definedName name="FDP_93_1_aSrv" hidden="1">#REF!</definedName>
    <definedName name="FDP_94_1_aSrv" hidden="1">#REF!</definedName>
    <definedName name="FDP_95_1_aSrv" hidden="1">#REF!</definedName>
    <definedName name="FDP_96_1_aSrv" hidden="1">#REF!</definedName>
    <definedName name="FDP_97_1_aUrv" hidden="1">#REF!</definedName>
    <definedName name="FDP_98_1_aSrv" hidden="1">#REF!</definedName>
    <definedName name="FDP_99_1_aSrv" hidden="1">#REF!</definedName>
    <definedName name="ff" hidden="1">{#N/A,#N/A,FALSE,"Aging Summary";#N/A,#N/A,FALSE,"Ratio Analysis";#N/A,#N/A,FALSE,"Test 120 Day Accts";#N/A,#N/A,FALSE,"Tickmarks"}</definedName>
    <definedName name="fffffff" hidden="1">{"'Sheet1'!$A$1:$H$36"}</definedName>
    <definedName name="ffhsfgh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h" hidden="1">#REF!</definedName>
    <definedName name="fill" hidden="1">#N/A</definedName>
    <definedName name="FM계약일할" hidden="1">{#N/A,#N/A,TRUE,"대 차 대 조 표"}</definedName>
    <definedName name="FM계약일할_1" hidden="1">{#N/A,#N/A,TRUE,"대 차 대 조 표"}</definedName>
    <definedName name="fs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ulmer" hidden="1">{#N/A,#N/A,FALSE,"1Executive Summary";#N/A,#N/A,FALSE,"2Assumptions (Input)";#N/A,#N/A,FALSE,"3Cash Flow Analysis";#N/A,#N/A,FALSE,"4Year One Financial Summary";#N/A,#N/A,FALSE,"5Value Matrix";#N/A,#N/A,FALSE,"Greenline Form Page 1";#N/A,#N/A,FALSE,"Greenline Form Page 2"}</definedName>
    <definedName name="fwewe" hidden="1">#REF!</definedName>
    <definedName name="ga" hidden="1">{#N/A,#N/A,FALSE,"Aging Summary";#N/A,#N/A,FALSE,"Ratio Analysis";#N/A,#N/A,FALSE,"Test 120 Day Accts";#N/A,#N/A,FALSE,"Tickmarks"}</definedName>
    <definedName name="gdfsg" hidden="1">{"'Sheet1'!$A$1:$H$36"}</definedName>
    <definedName name="geadagd344" hidden="1">#REF!</definedName>
    <definedName name="GEMCO" hidden="1">#N/A</definedName>
    <definedName name="gf" hidden="1">{"'Sheet1'!$A$1:$H$36"}</definedName>
    <definedName name="gfgdfg" hidden="1">'[18]점수계산1-2'!#REF!</definedName>
    <definedName name="gft" hidden="1">{"'Sheet1'!$A$1:$H$36"}</definedName>
    <definedName name="gg" hidden="1">{#N/A,#N/A,FALSE,"Aging Summary";#N/A,#N/A,FALSE,"Ratio Analysis";#N/A,#N/A,FALSE,"Test 120 Day Accts";#N/A,#N/A,FALSE,"Tickmarks"}</definedName>
    <definedName name="gg_1" hidden="1">{#N/A,#N/A,FALSE,"Aging Summary";#N/A,#N/A,FALSE,"Ratio Analysis";#N/A,#N/A,FALSE,"Test 120 Day Accts";#N/A,#N/A,FALSE,"Tickmarks"}</definedName>
    <definedName name="ggg" hidden="1">#REF!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dg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hj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gsdg" hidden="1">{"'Sheet1'!$A$1:$H$36"}</definedName>
    <definedName name="gy" hidden="1">{#N/A,#N/A,TRUE,"근태일보"}</definedName>
    <definedName name="haha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rdwar" hidden="1">#N/A</definedName>
    <definedName name="hg" hidden="1">#REF!</definedName>
    <definedName name="hgc" hidden="1">{#N/A,#N/A,TRUE,"대 차 대 조 표"}</definedName>
    <definedName name="hgc_1" hidden="1">{#N/A,#N/A,TRUE,"대 차 대 조 표"}</definedName>
    <definedName name="hgfh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kdj" hidden="1">{"AnnualRentRoll",#N/A,FALSE,"RentRoll"}</definedName>
    <definedName name="hgkdj_1" hidden="1">{"AnnualRentRoll",#N/A,FALSE,"RentRoll"}</definedName>
    <definedName name="hhh" hidden="1">{#N/A,#N/A,FALSE,"BS";#N/A,#N/A,FALSE,"PL";#N/A,#N/A,FALSE,"처분";#N/A,#N/A,FALSE,"현금";#N/A,#N/A,FALSE,"매출";#N/A,#N/A,FALSE,"원가";#N/A,#N/A,FALSE,"경영"}</definedName>
    <definedName name="HIGE" hidden="1">#N/A</definedName>
    <definedName name="HJ" hidden="1">#REF!</definedName>
    <definedName name="hjdg" hidden="1">{#N/A,#N/A,FALSE,"PropertyInfo"}</definedName>
    <definedName name="hjdg_1" hidden="1">{#N/A,#N/A,FALSE,"PropertyInfo"}</definedName>
    <definedName name="hjjk" hidden="1">{"'Sheet1'!$A$1:$H$36"}</definedName>
    <definedName name="HJK" hidden="1">{#N/A,#N/A,FALSE,"이태원철근"}</definedName>
    <definedName name="hk" hidden="1">{"'Sheet1'!$A$1:$H$36"}</definedName>
    <definedName name="hsdhfsd" hidden="1">#REF!</definedName>
    <definedName name="h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" hidden="1">"C:\My Documents\산업단지.htm"</definedName>
    <definedName name="HTML_PathFileMac" hidden="1">"Macintosh HD:HomePageStuff:New_Home_Page:datafile:histret.html"</definedName>
    <definedName name="HTML_PathTemplate" hidden="1">"C:\My Documents\网.htm"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2</definedName>
    <definedName name="HTR" hidden="1">{#N/A,#N/A,FALSE,"이태원철근"}</definedName>
    <definedName name="hugugguugu" hidden="1">#REF!</definedName>
    <definedName name="ia" hidden="1">{#N/A,#N/A,FALSE,"Aging Summary";#N/A,#N/A,FALSE,"Ratio Analysis";#N/A,#N/A,FALSE,"Test 120 Day Accts";#N/A,#N/A,FALSE,"Tickmarks"}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"10/12/2017 13:32:50"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ShowHideColumns" hidden="1">"iQShowAnnual"</definedName>
    <definedName name="IT" hidden="1">{"'Sheet1'!$A$1:$H$36"}</definedName>
    <definedName name="IT수정" hidden="1">{"'Sheet1'!$A$1:$H$36"}</definedName>
    <definedName name="jd" hidden="1">{#N/A,#N/A,FALSE,"LoanAssumptions"}</definedName>
    <definedName name="jd_1" hidden="1">{#N/A,#N/A,FALSE,"LoanAssumptions"}</definedName>
    <definedName name="JDHFK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jh" hidden="1">{"'Sheet1'!$A$1:$H$36"}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\" hidden="1">#REF!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ljk" hidden="1">{#N/A,#N/A,FALSE,"이력서&amp;자기소개서"}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u" hidden="1">"C:\DOC\일정관리\20년\4월\이익\ju.htm"</definedName>
    <definedName name="k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KAKAKA" hidden="1">#REF!</definedName>
    <definedName name="KHN" hidden="1">{"'보고양식'!$A$58:$K$111"}</definedName>
    <definedName name="kjk" hidden="1">{"'Sheet1'!$A$1:$H$36"}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hidden="1">{#N/A,#N/A,FALSE,"BS";#N/A,#N/A,FALSE,"PL";#N/A,#N/A,FALSE,"처분";#N/A,#N/A,FALSE,"현금";#N/A,#N/A,FALSE,"매출";#N/A,#N/A,FALSE,"원가";#N/A,#N/A,FALSE,"경영"}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" hidden="1">{#N/A,#N/A,FALSE,"BS";#N/A,#N/A,FALSE,"PL";#N/A,#N/A,FALSE,"처분";#N/A,#N/A,FALSE,"현금";#N/A,#N/A,FALSE,"매출";#N/A,#N/A,FALSE,"원가";#N/A,#N/A,FALSE,"경영"}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jk" hidden="1">{"'7-2지역별'!$A$1:$R$44"}</definedName>
    <definedName name="km" hidden="1">{"'7-2지역별'!$A$1:$R$44"}</definedName>
    <definedName name="KSJ_25" hidden="1">{#N/A,#N/A,FALSE,"동부"}</definedName>
    <definedName name="KSJ_25_1" hidden="1">{#N/A,#N/A,FALSE,"동부"}</definedName>
    <definedName name="ktft" hidden="1">3</definedName>
    <definedName name="KTM10B" hidden="1">{#N/A,#N/A,FALSE,"현장 NCR 분석";#N/A,#N/A,FALSE,"현장품질감사";#N/A,#N/A,FALSE,"현장품질감사"}</definedName>
    <definedName name="kyd.ChngCell.01." hidden="1">[19]Control!#REF!</definedName>
    <definedName name="kyd.CounterLimitCell.01." hidden="1">"x"</definedName>
    <definedName name="kyd.Dim.01." hidden="1">"local:Company"</definedName>
    <definedName name="kyd.ElementList.01." hidden="1">#REF!</definedName>
    <definedName name="kyd.ElementType.01." hidden="1">3</definedName>
    <definedName name="kyd.ItemType.01." hidden="1">2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"FormatReport"</definedName>
    <definedName name="kyd.MacroEndOfEachCycle." hidden="1">""</definedName>
    <definedName name="kyd.MacroStartOfProc." hidden="1">""</definedName>
    <definedName name="kyd.MemoCtrlNum." hidden="1">0</definedName>
    <definedName name="kyd.MemoSortHide." hidden="1">FALSE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Memo." hidden="1">FALSE</definedName>
    <definedName name="kyd.PrintParent.01." hidden="1">TRUE</definedName>
    <definedName name="kyd.PrintStdAlertCell." hidden="1">[19]Control!#REF!</definedName>
    <definedName name="kyd.PrintStdWhen." hidden="1">3</definedName>
    <definedName name="kyd.PrintToWbk." hidden="1">FALSE</definedName>
    <definedName name="kyd.ProcessInCycle." hidden="1">FALSE</definedName>
    <definedName name="kyd.SaveAsFile." hidden="1">FALSE</definedName>
    <definedName name="kyd.SaveMemo." hidden="1">FALSE</definedName>
    <definedName name="kyd.SelectString.01." hidden="1">"*"</definedName>
    <definedName name="kyd.ServerCell." hidden="1">[19]Control!#REF!</definedName>
    <definedName name="kyd.Shortcut." hidden="1">FALSE</definedName>
    <definedName name="kyd.StdSortHide." hidden="1">FALSE</definedName>
    <definedName name="kyd.StopRow." hidden="1">65536</definedName>
    <definedName name="kyd.WriteMemWhenOptn." hidden="1">3</definedName>
    <definedName name="l" hidden="1">{#N/A,#N/A,FALSE,"동부"}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gde" hidden="1">#REF!</definedName>
    <definedName name="limcount" hidden="1">1</definedName>
    <definedName name="ljk" hidden="1">{"'Sheet1'!$A$1:$H$36"}</definedName>
    <definedName name="LKJ" hidden="1">#REF!</definedName>
    <definedName name="lkjjkhhhh" hidden="1">#REF!</definedName>
    <definedName name="lkk" hidden="1">{"'Sheet1'!$A$1:$H$36"}</definedName>
    <definedName name="lkkl" hidden="1">{"'Sheet1'!$A$1:$H$36"}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Y" hidden="1">#REF!</definedName>
    <definedName name="m" hidden="1">[20]INMD1198!$B$30</definedName>
    <definedName name="MAN" hidden="1">#N/A</definedName>
    <definedName name="mkl" hidden="1">{#N/A,#N/A,TRUE,"Y생산";#N/A,#N/A,TRUE,"Y판매";#N/A,#N/A,TRUE,"Y총물량";#N/A,#N/A,TRUE,"Y능력";#N/A,#N/A,TRUE,"YKD"}</definedName>
    <definedName name="mkl_1" hidden="1">{#N/A,#N/A,TRUE,"Y생산";#N/A,#N/A,TRUE,"Y판매";#N/A,#N/A,TRUE,"Y총물량";#N/A,#N/A,TRUE,"Y능력";#N/A,#N/A,TRUE,"YKD"}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odify" hidden="1">{"'Sheet1'!$A$1:$H$36"}</definedName>
    <definedName name="MP" hidden="1">{#N/A,#N/A,FALSE,"BS";#N/A,#N/A,FALSE,"PL";#N/A,#N/A,FALSE,"처분";#N/A,#N/A,FALSE,"현금";#N/A,#N/A,FALSE,"매출";#N/A,#N/A,FALSE,"원가";#N/A,#N/A,FALSE,"경영"}</definedName>
    <definedName name="nam" hidden="1">{"'분석(dept)'!$B$23:$K$32"}</definedName>
    <definedName name="nego" hidden="1">{"'4월수지'!$A$1:$AE$45"}</definedName>
    <definedName name="new" hidden="1">{"YTD/Forecast",#N/A,TRUE,"Fcst_TPLN";"Monthly Averages",#N/A,TRUE,"Fcst_TPLN"}</definedName>
    <definedName name="NEWNAME" hidden="1">{#N/A,#N/A,FALSE,"CCTV"}</definedName>
    <definedName name="Nitin" hidden="1">#N/A</definedName>
    <definedName name="njk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n" hidden="1">{"CF",#N/A,FALSE,"Cash Flow";"RET",#N/A,FALSE,"Returns";"NPV",#N/A,FALSE,"Values";"ASMPT",#N/A,FALSE,"Assumptions"}</definedName>
    <definedName name="nnn" hidden="1">{#N/A,#N/A,FALSE,"동부"}</definedName>
    <definedName name="November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pc" hidden="1">{"'4월수지'!$A$1:$AE$45"}</definedName>
    <definedName name="ocf" hidden="1">#REF!</definedName>
    <definedName name="Office10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Office11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Office12" hidden="1">{#N/A,#N/A,FALSE,"5YRASSPl - consol'd";#N/A,#N/A,FALSE,"5YRASSPl - hotel";#N/A,#N/A,FALSE,"5YRASSPl - excl htl";#N/A,#N/A,FALSE,"VarReport";#N/A,#N/A,FALSE,"Sensitivity";#N/A,#N/A,FALSE,"House View ";#N/A,#N/A,FALSE,"KPI"}</definedName>
    <definedName name="Office2" hidden="1">{#N/A,#N/A,FALSE,"5YRASSPl - consol'd";#N/A,#N/A,FALSE,"5YRASSPl - hotel";#N/A,#N/A,FALSE,"5YRASSPl - excl htl";#N/A,#N/A,FALSE,"VarReport";#N/A,#N/A,FALSE,"Sensitivity";#N/A,#N/A,FALSE,"House View ";#N/A,#N/A,FALSE,"KPI"}</definedName>
    <definedName name="Office3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Office4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Office5" hidden="1">{#N/A,#N/A,FALSE,"5YRASSPl - consol'd";#N/A,#N/A,FALSE,"5YRASSPl - hotel";#N/A,#N/A,FALSE,"5YRASSPl - excl htl";#N/A,#N/A,FALSE,"VarReport";#N/A,#N/A,FALSE,"Sensitivity";#N/A,#N/A,FALSE,"House View ";#N/A,#N/A,FALSE,"KPI"}</definedName>
    <definedName name="Office6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Office7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Office8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Office9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olp" hidden="1">{"AJD",#N/A,TRUE,"Summary";"AJD",#N/A,TRUE,"CFCONC-outputs";"AJD",#N/A,TRUE,"P&amp;LCONC-outputs";"AJD",#N/A,TRUE,"BSCONC-outputs";"AJD",#N/A,TRUE,"FSCONC-outputs"}</definedName>
    <definedName name="ONP" hidden="1">#REF!</definedName>
    <definedName name="OO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op" hidden="1">{"'Sheet1'!$A$1:$H$36"}</definedName>
    <definedName name="opo" hidden="1">{#N/A,#N/A,FALSE,"지침";#N/A,#N/A,FALSE,"환경분석";#N/A,#N/A,FALSE,"Sheet16"}</definedName>
    <definedName name="parse" hidden="1">#REF!</definedName>
    <definedName name="payable2" hidden="1">#REF!</definedName>
    <definedName name="pkg" hidden="1">{"'Sheet1'!$A$1:$H$36"}</definedName>
    <definedName name="ppp" hidden="1">#REF!</definedName>
    <definedName name="print" hidden="1">{"YTD/Forecast",#N/A,TRUE,"Fcst_TPLN";"Monthly Averages",#N/A,TRUE,"Fcst_TPLN"}</definedName>
    <definedName name="q" hidden="1">#REF!</definedName>
    <definedName name="q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hr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ldy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hidden="1">{#N/A,#N/A,FALSE,"동부"}</definedName>
    <definedName name="QQQ" hidden="1">{#N/A,#N/A,FALSE,"동부"}</definedName>
    <definedName name="QQQAAASSS" hidden="1">{#N/A,#N/A,TRUE,"Y생산";#N/A,#N/A,TRUE,"Y판매";#N/A,#N/A,TRUE,"Y총물량";#N/A,#N/A,TRUE,"Y능력";#N/A,#N/A,TRUE,"YKD"}</definedName>
    <definedName name="QQQAAASSS_1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QQQQQQ_1" hidden="1">{#N/A,#N/A,TRUE,"Y생산";#N/A,#N/A,TRUE,"Y판매";#N/A,#N/A,TRUE,"Y총물량";#N/A,#N/A,TRUE,"Y능력";#N/A,#N/A,TRUE,"YKD"}</definedName>
    <definedName name="qrewq" hidden="1">{"'Sheet1'!$A$1:$H$36"}</definedName>
    <definedName name="qw" hidden="1">{#N/A,#N/A,FALSE,"단가표지"}</definedName>
    <definedName name="qwdqdfe" hidden="1">{"'Sheet1'!$A$1:$H$36"}</definedName>
    <definedName name="QWE" hidden="1">{#N/A,#N/A,FALSE,"이태원철근"}</definedName>
    <definedName name="qweq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R" hidden="1">{#N/A,#N/A,FALSE,"이태원철근"}</definedName>
    <definedName name="qwrtqw" hidden="1">{"'Sheet1'!$A$1:$H$36"}</definedName>
    <definedName name="rdd" hidden="1">{#N/A,#N/A,FALSE,"지침";#N/A,#N/A,FALSE,"환경분석";#N/A,#N/A,FALSE,"Sheet16"}</definedName>
    <definedName name="rent" hidden="1">{#N/A,#N/A,FALSE,"동부"}</definedName>
    <definedName name="r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twwe" hidden="1">{"'Sheet1'!$A$1:$H$36"}</definedName>
    <definedName name="rewqrw" hidden="1">{"'Sheet1'!$A$1:$H$36"}</definedName>
    <definedName name="rewr" hidden="1">{#N/A,#N/A,FALSE,"이력서&amp;자기소개서"}</definedName>
    <definedName name="rewr_1" hidden="1">{#N/A,#N/A,FALSE,"이력서&amp;자기소개서"}</definedName>
    <definedName name="rewrs" hidden="1">{#N/A,#N/A,FALSE,"이력서&amp;자기소개서"}</definedName>
    <definedName name="r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HDK" hidden="1">{#N/A,#N/A,FALSE,"이태원철근"}</definedName>
    <definedName name="rhshrhr" hidden="1">#REF!</definedName>
    <definedName name="rlawpdnr" hidden="1">{#N/A,#N/A,FALSE,"지침";#N/A,#N/A,FALSE,"환경분석";#N/A,#N/A,FALSE,"Sheet16"}</definedName>
    <definedName name="Rolling" hidden="1">{"'Sheet1'!$A$1:$H$36"}</definedName>
    <definedName name="ropponngi" hidden="1">{"AnnualRentRoll",#N/A,FALSE,"RentRoll"}</definedName>
    <definedName name="ropponngi_1" hidden="1">{"AnnualRentRoll",#N/A,FALSE,"RentRoll"}</definedName>
    <definedName name="rrr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rrrrrrrr" hidden="1">#N/A</definedName>
    <definedName name="RT" hidden="1">{#N/A,#N/A,FALSE,"이태원철근"}</definedName>
    <definedName name="rtwqrtw" hidden="1">{"'Sheet1'!$A$1:$H$36"}</definedName>
    <definedName name="ru" hidden="1">{"'納状'!$B$375:$F$541"}</definedName>
    <definedName name="s" hidden="1">#REF!</definedName>
    <definedName name="sa" hidden="1">{"'納状'!$B$375:$F$541"}</definedName>
    <definedName name="sadd" hidden="1">{"MonthlyRentRoll",#N/A,FALSE,"RentRoll"}</definedName>
    <definedName name="sadd_1" hidden="1">{"MonthlyRentRoll",#N/A,FALSE,"RentRoll"}</definedName>
    <definedName name="saddd" hidden="1">{"AnnualRentRoll",#N/A,FALSE,"RentRoll"}</definedName>
    <definedName name="saddd_1" hidden="1">{"AnnualRentRoll",#N/A,FALSE,"RentRoll"}</definedName>
    <definedName name="saddddd" hidden="1">{"AnnualRentRoll",#N/A,FALSE,"RentRoll"}</definedName>
    <definedName name="saddddd_1" hidden="1">{"AnnualRentRoll",#N/A,FALSE,"RentRoll"}</definedName>
    <definedName name="sadddddddd" hidden="1">{#N/A,#N/A,FALSE,"ExitStratigy"}</definedName>
    <definedName name="sadddddddd_1" hidden="1">{#N/A,#N/A,FALSE,"ExitStratigy"}</definedName>
    <definedName name="sadddddddddd" hidden="1">{#N/A,#N/A,FALSE,"LoanAssumptions"}</definedName>
    <definedName name="sadddddddddd_1" hidden="1">{#N/A,#N/A,FALSE,"LoanAssumptions"}</definedName>
    <definedName name="saddddddddddddd" hidden="1">{#N/A,#N/A,FALSE,"OperatingAssumptions"}</definedName>
    <definedName name="saddddddddddddd_1" hidden="1">{#N/A,#N/A,FALSE,"OperatingAssumptions"}</definedName>
    <definedName name="sample" hidden="1">#REF!</definedName>
    <definedName name="SAPBEXdnldView" hidden="1">"3TQJ5PWZQ85MUZZ9HFMZG8QFM"</definedName>
    <definedName name="SAPBEXhrIndnt" hidden="1">"Wide"</definedName>
    <definedName name="SAPBEXrevision" hidden="1">1</definedName>
    <definedName name="SAPBEXsysID" hidden="1">"PBW"</definedName>
    <definedName name="SAPBEXwbID" hidden="1">"D7YS91DO6AH63WSISAHSVT04U"</definedName>
    <definedName name="SAPsysID" hidden="1">"708C5W7SBKP804JT78WJ0JNKI"</definedName>
    <definedName name="SAPwbID" hidden="1">"ARS"</definedName>
    <definedName name="sasa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AS" hidden="1">{"'Firr(선)'!$AS$1:$AY$62","'Firr(사)'!$AS$1:$AY$62","'Firr(회)'!$AS$1:$AY$62","'Firr(선)'!$L$1:$V$62","'Firr(사)'!$L$1:$V$62","'Firr(회)'!$L$1:$V$62"}</definedName>
    <definedName name="sda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af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asars" hidden="1">{#N/A,#N/A,FALSE,"지침";#N/A,#N/A,FALSE,"환경분석";#N/A,#N/A,FALSE,"Sheet16"}</definedName>
    <definedName name="sdfgfd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hsdfs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gdsfdsgdsfggfdsd" hidden="1">#REF!</definedName>
    <definedName name="sdgf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s" hidden="1">{"'보고양식'!$A$58:$K$111"}</definedName>
    <definedName name="sencount" hidden="1">1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RVICE" hidden="1">{#N/A,#N/A,FALSE,"이태원철근"}</definedName>
    <definedName name="SF" hidden="1">#REF!</definedName>
    <definedName name="sgfgs" hidden="1">{"'Sheet1'!$A$1:$H$36"}</definedName>
    <definedName name="sheet" hidden="1">{#N/A,#N/A,FALSE,"UNIT";#N/A,#N/A,FALSE,"UNIT";#N/A,#N/A,FALSE,"계정"}</definedName>
    <definedName name="sheet2" hidden="1">{"CF",#N/A,FALSE,"Cash Flow";"RET",#N/A,FALSE,"Returns";"NPV",#N/A,FALSE,"Values";"ASMPT",#N/A,FALSE,"Assumptions"}</definedName>
    <definedName name="sheet200412" hidden="1">{"'科目汇总表  '!$A$1:$G$38"}</definedName>
    <definedName name="sheet2waterfall" hidden="1">{"CF",#N/A,FALSE,"Cash Flow";"RET",#N/A,FALSE,"Returns";"NPV",#N/A,FALSE,"Values";"ASMPT",#N/A,FALSE,"Assumptions"}</definedName>
    <definedName name="shit" hidden="1">{#N/A,#N/A,FALSE,"1Executive Summary";#N/A,#N/A,FALSE,"2Assumptions (Input)";#N/A,#N/A,FALSE,"3Cash Flow Analysis";#N/A,#N/A,FALSE,"4Year One Financial Summary";#N/A,#N/A,FALSE,"5Value Matrix";#N/A,#N/A,FALSE,"Greenline Form Page 1";#N/A,#N/A,FALSE,"Greenline Form Page 2"}</definedName>
    <definedName name="shitty" hidden="1">{#N/A,#N/A,FALSE,"1Executive Summary";#N/A,#N/A,FALSE,"2Assumptions (Input)";#N/A,#N/A,FALSE,"3Cash Flow Analysis";#N/A,#N/A,FALSE,"4Year One Financial Summary";#N/A,#N/A,FALSE,"5Value Matrix";#N/A,#N/A,FALSE,"Greenline Form Page 1";#N/A,#N/A,FALSE,"Greenline Form Page 2"}</definedName>
    <definedName name="s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hs1" hidden="1">#REF!*1.5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rt" hidden="1">#REF!</definedName>
    <definedName name="SS" hidden="1">{#N/A,#N/A,TRUE,"대 차 대 조 표"}</definedName>
    <definedName name="sss" hidden="1">{#N/A,#N/A,FALSE,"동부"}</definedName>
    <definedName name="sssss" hidden="1">#REF!</definedName>
    <definedName name="SUMMARY" hidden="1">#REF!</definedName>
    <definedName name="SUMMARYT" hidden="1">#REF!</definedName>
    <definedName name="t" hidden="1">{"'Sheet1'!$A$1:$H$36"}</definedName>
    <definedName name="ta" hidden="1">{#N/A,#N/A,FALSE,"Aging Summary";#N/A,#N/A,FALSE,"Ratio Analysis";#N/A,#N/A,FALSE,"Test 120 Day Accts";#N/A,#N/A,FALSE,"Tickmarks"}</definedName>
    <definedName name="tax" hidden="1">{#N/A,#N/A,TRUE,"constb"}</definedName>
    <definedName name="TextRefCopyRangeCount" hidden="1">1</definedName>
    <definedName name="TFor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lf" hidden="1">#REF!</definedName>
    <definedName name="tlxm1" hidden="1">{#N/A,#N/A,TRUE,"대 차 대 조 표"}</definedName>
    <definedName name="todoroki" hidden="1">[22]Budget!#REF!</definedName>
    <definedName name="tr" hidden="1">{"'Sheet1'!$A$1:$H$36"}</definedName>
    <definedName name="t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retrw" hidden="1">{"'Sheet1'!$A$1:$H$36"}</definedName>
    <definedName name="trq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trt" hidden="1">{"'Sheet1'!$A$1:$H$36"}</definedName>
    <definedName name="trtr" hidden="1">{"'Sheet1'!$A$1:$H$36"}</definedName>
    <definedName name="tr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tttt" hidden="1">{#N/A,#N/A,FALSE,"지침";#N/A,#N/A,FALSE,"환경분석";#N/A,#N/A,FALSE,"Sheet16"}</definedName>
    <definedName name="tu" hidden="1">{"'納状'!$B$375:$F$541"}</definedName>
    <definedName name="twrqt" hidden="1">{"'Sheet1'!$A$1:$H$36"}</definedName>
    <definedName name="ty" hidden="1">{"'Sheet1'!$A$1:$H$36"}</definedName>
    <definedName name="tywe" hidden="1">{"'Sheet1'!$A$1:$H$36"}</definedName>
    <definedName name="ua" hidden="1">{#N/A,#N/A,FALSE,"Aging Summary";#N/A,#N/A,FALSE,"Ratio Analysis";#N/A,#N/A,FALSE,"Test 120 Day Accts";#N/A,#N/A,FALSE,"Tickmarks"}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" hidden="1">{#N/A,#N/A,FALSE,"지침";#N/A,#N/A,FALSE,"환경분석";#N/A,#N/A,FALSE,"Sheet16"}</definedName>
    <definedName name="v" hidden="1">{#N/A,#N/A,FALSE,"BS";#N/A,#N/A,FALSE,"PL";#N/A,#N/A,FALSE,"처분";#N/A,#N/A,FALSE,"현금";#N/A,#N/A,FALSE,"매출";#N/A,#N/A,FALSE,"원가";#N/A,#N/A,FALSE,"경영"}</definedName>
    <definedName name="vb" hidden="1">{"'Sheet1'!$A$1:$H$36"}</definedName>
    <definedName name="VBN" hidden="1">{#N/A,#N/A,FALSE,"이태원철근"}</definedName>
    <definedName name="vczxv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vn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VTM_1" hidden="1">[23]AUDIT1.J100_금융자원!#REF!</definedName>
    <definedName name="VTM_10" hidden="1">#REF!</definedName>
    <definedName name="VTM_11" hidden="1">#REF!</definedName>
    <definedName name="VTM_12" hidden="1">#REF!</definedName>
    <definedName name="VTM_13" hidden="1">#REF!</definedName>
    <definedName name="VTM_14" hidden="1">#REF!</definedName>
    <definedName name="VTM_15" hidden="1">#REF!</definedName>
    <definedName name="VTM_16" hidden="1">#REF!</definedName>
    <definedName name="VTM_17" hidden="1">#REF!</definedName>
    <definedName name="VTM_18" hidden="1">#REF!</definedName>
    <definedName name="VTM_19" hidden="1">#REF!</definedName>
    <definedName name="VTM_20" hidden="1">#REF!</definedName>
    <definedName name="VTM_21" hidden="1">#REF!</definedName>
    <definedName name="VTM_22" hidden="1">#REF!</definedName>
    <definedName name="VTM_23" hidden="1">#REF!</definedName>
    <definedName name="VTM_24" hidden="1">#REF!</definedName>
    <definedName name="VTM_25" hidden="1">#REF!</definedName>
    <definedName name="VTM_26" hidden="1">#REF!</definedName>
    <definedName name="VTM_27" hidden="1">#REF!</definedName>
    <definedName name="VTM_28" hidden="1">#REF!</definedName>
    <definedName name="VTM_29" hidden="1">#REF!</definedName>
    <definedName name="VTM_3" hidden="1">[23]AUDIT1.J100_금융자원!#REF!</definedName>
    <definedName name="VTM_30" hidden="1">#REF!</definedName>
    <definedName name="VTM_31" hidden="1">#REF!</definedName>
    <definedName name="VTM_32" hidden="1">#REF!</definedName>
    <definedName name="VTM_4" hidden="1">[23]AUDIT1.J100_금융자원!#REF!</definedName>
    <definedName name="VTM_6" hidden="1">[23]AUDIT1.J100_금융자원!#REF!</definedName>
    <definedName name="VTM_7" hidden="1">[23]AUDIT1.J100_금융자원!#REF!</definedName>
    <definedName name="VTM_8" hidden="1">[23]AUDIT1.J100_금융자원!#REF!</definedName>
    <definedName name="VYW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" hidden="1">{#N/A,#N/A,FALSE,"BS";#N/A,#N/A,FALSE,"PL";#N/A,#N/A,FALSE,"처분";#N/A,#N/A,FALSE,"현금";#N/A,#N/A,FALSE,"매출";#N/A,#N/A,FALSE,"원가";#N/A,#N/A,FALSE,"경영"}</definedName>
    <definedName name="water" hidden="1">{#N/A,#N/A,FALSE,"현장 NCR 분석";#N/A,#N/A,FALSE,"현장품질감사";#N/A,#N/A,FALSE,"현장품질감사"}</definedName>
    <definedName name="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ARF" hidden="1">{#N/A,#N/A,TRUE,"Y생산";#N/A,#N/A,TRUE,"Y판매";#N/A,#N/A,TRUE,"Y총물량";#N/A,#N/A,TRUE,"Y능력";#N/A,#N/A,TRUE,"YKD"}</definedName>
    <definedName name="WEARF_1" hidden="1">{#N/A,#N/A,TRUE,"Y생산";#N/A,#N/A,TRUE,"Y판매";#N/A,#N/A,TRUE,"Y총물량";#N/A,#N/A,TRUE,"Y능력";#N/A,#N/A,TRUE,"YKD"}</definedName>
    <definedName name="wefwe" hidden="1">#REF!</definedName>
    <definedName name="weggwe" hidden="1">#REF!</definedName>
    <definedName name="wertw" hidden="1">{"'Sheet1'!$A$1:$H$36"}</definedName>
    <definedName name="wetwet" hidden="1">{"'Sheet1'!$A$1:$H$36"}</definedName>
    <definedName name="wew" hidden="1">[24]현금흐름표!$F$45</definedName>
    <definedName name="wkgk" hidden="1">{#N/A,#N/A,FALSE,"BS";#N/A,#N/A,FALSE,"PL";#N/A,#N/A,FALSE,"처분";#N/A,#N/A,FALSE,"현금";#N/A,#N/A,FALSE,"매출";#N/A,#N/A,FALSE,"원가";#N/A,#N/A,FALSE,"경영"}</definedName>
    <definedName name="wm.조골재1" hidden="1">{#N/A,#N/A,FALSE,"조골재"}</definedName>
    <definedName name="wq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ITE" hidden="1">{#N/A,#N/A,FALSE,"CCTV"}</definedName>
    <definedName name="wrn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111." hidden="1">{#N/A,#N/A,FALSE,"제목"}</definedName>
    <definedName name="wrn.2번." hidden="1">{#N/A,#N/A,FALSE,"2~8번"}</definedName>
    <definedName name="wrn.97." hidden="1">{#N/A,#N/A,FALSE,"지침";#N/A,#N/A,FALSE,"환경분석";#N/A,#N/A,FALSE,"Sheet16"}</definedName>
    <definedName name="wrn.97년._.9월._.임차현황." hidden="1">{#N/A,#N/A,FALSE,"동부"}</definedName>
    <definedName name="wrn.97년._.9월._.임차현황._1" hidden="1">{#N/A,#N/A,FALSE,"동부"}</definedName>
    <definedName name="wrn.97년._.투자계획." hidden="1">{#N/A,#N/A,FALSE,"97년 투자계획 세부내역 "}</definedName>
    <definedName name="wrn.99.1.1일._.근태일보." hidden="1">{#N/A,#N/A,TRUE,"근태일보"}</definedName>
    <definedName name="wrn.aa." hidden="1">{#N/A,#N/A,FALSE,"UNIT";#N/A,#N/A,FALSE,"UNIT";#N/A,#N/A,FALSE,"계정"}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JDSuite." hidden="1">{"AJD",#N/A,TRUE,"Summary";"AJD",#N/A,TRUE,"CFCONC-outputs";"AJD",#N/A,TRUE,"P&amp;LCONC-outputs";"AJD",#N/A,TRUE,"BSCONC-outputs";"AJD",#N/A,TRUE,"FSCONC-outputs"}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METRICS." hidden="1">{#N/A,#N/A,TRUE,"contents";#N/A,#N/A,TRUE,"production";#N/A,#N/A,TRUE,"svcg";#N/A,#N/A,TRUE,"cent_offices";#N/A,#N/A,TRUE,"subs"}</definedName>
    <definedName name="wrn.All._.Subs." hidden="1">{#N/A,#N/A,FALSE,"HVAC";#N/A,#N/A,FALSE,"Acoust. Clg.";#N/A,#N/A,FALSE,"Chain link";#N/A,#N/A,FALSE,"Electrical";#N/A,#N/A,FALSE,"Plaster";#N/A,#N/A,FALSE,"Plumbing";#N/A,#N/A,FALSE,"Site Util";#N/A,#N/A,FALSE,"Fire";#N/A,#N/A,FALSE,"Flooring";#N/A,#N/A,FALSE,"Paint";#N/A,#N/A,FALSE,"Drywall+";#N/A,#N/A,FALSE,"Roofing";#N/A,#N/A,FALSE,"Misc. Steel";#N/A,#N/A,FALSE,"Glass";#N/A,#N/A,FALSE,"Site Conc";#N/A,#N/A,FALSE,"Paving";#N/A,#N/A,FALSE,"Grading";#N/A,#N/A,FALSE,"Landscape";#N/A,#N/A,FALSE,"Trailer";#N/A,#N/A,FALSE,"Misc.";#N/A,#N/A,FALSE,"Doors";#N/A,#N/A,FALSE,"Demolition";#N/A,#N/A,FALSE,"Mtl Bldg";#N/A,#N/A,FALSE,"Survey"}</definedName>
    <definedName name="wrn.ALL._1" hidden="1">{#N/A,#N/A,FALSE,"PROG &amp; MARKET";#N/A,#N/A,FALSE,"SUMMARY";#N/A,#N/A,FALSE,"LANDSIDE -DETAIL";#N/A,#N/A,FALSE,"VESSEL"}</definedName>
    <definedName name="wrn.AnnualRentRoll" hidden="1">{"AnnualRentRoll",#N/A,FALSE,"RentRoll"}</definedName>
    <definedName name="wrn.AnnualRentRoll." hidden="1">{"AnnualRentRoll",#N/A,FALSE,"RentRoll"}</definedName>
    <definedName name="wrn.AnnualRentRoll._1" hidden="1">{"AnnualRentRoll",#N/A,FALSE,"RentRoll"}</definedName>
    <definedName name="wrn.AnnualRentRoll_1" hidden="1">{"AnnualRentRoll",#N/A,FALSE,"RentRoll"}</definedName>
    <definedName name="wrn.ASU." hidden="1">{#N/A,#N/A,FALSE,"Demo";#N/A,#N/A,FALSE,"Earth";#N/A,#N/A,FALSE,"Termite";#N/A,#N/A,FALSE,"Caisson";#N/A,#N/A,FALSE,"Landscape";#N/A,#N/A,FALSE,"SiteConc";#N/A,#N/A,FALSE,"Conc";#N/A,#N/A,FALSE,"Mason";#N/A,#N/A,FALSE,"Steel";#N/A,#N/A,FALSE,"MtlDeck";#N/A,#N/A,FALSE,"MiscMtl";#N/A,#N/A,FALSE,"WkSht1";#N/A,#N/A,FALSE,"P-Lam";#N/A,#N/A,FALSE,"WtrProof";#N/A,#N/A,FALSE,"Insul";#N/A,#N/A,FALSE,"Roof";#N/A,#N/A,FALSE,"Alum";#N/A,#N/A,FALSE,"ShtMtl";#N/A,#N/A,FALSE,"Skylt";#N/A,#N/A,FALSE,"Seal"}</definedName>
    <definedName name="wrn.balance._.franc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_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L94TAXRETURN.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94TAXRETURN._1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M." hidden="1">{#N/A,#N/A,FALSE,"CCTV"}</definedName>
    <definedName name="wrn.budget." hidden="1">{"budget1",#N/A,FALSE,"BUDG.XLS";"budget2",#N/A,FALSE,"BUDG.XLS"}</definedName>
    <definedName name="wrn.budget._1" hidden="1">{"budget1",#N/A,FALSE,"BUDG.XLS";"budget2",#N/A,FALSE,"BUDG.XLS"}</definedName>
    <definedName name="wrn.CAPA." hidden="1">{#N/A,#N/A,FALSE,"상재GS";#N/A,#N/A,FALSE,"상재GM";#N/A,#N/A,FALSE,"건재";#N/A,#N/A,FALSE,"SBR";#N/A,#N/A,FALSE,"부품";#N/A,#N/A,FALSE,"기능자재";#N/A,#N/A,FALSE,"특수"}</definedName>
    <definedName name="wrn.CAPA2." hidden="1">{#N/A,#N/A,FALSE,"보고";#N/A,#N/A,FALSE,"유첨"}</definedName>
    <definedName name="wrn.Capex.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PREIT." hidden="1">{#N/A,#N/A,FALSE,"CAPREIT"}</definedName>
    <definedName name="wrn.CAPREIT2" hidden="1">{#N/A,#N/A,FALSE,"CAPREIT"}</definedName>
    <definedName name="wrn.Cash._.Flow._.Anal." hidden="1">{"CF",#N/A,FALSE,"Cash Flow";"RET",#N/A,FALSE,"Returns";"NPV",#N/A,FALSE,"Values";"ASMPT",#N/A,FALSE,"Assumptions"}</definedName>
    <definedName name="wrn.Cash._.Flow._.Analysis." hidden="1">{"CF",#N/A,FALSE,"Cash Flow";"RET",#N/A,FALSE,"Returns";"NPV",#N/A,FALSE,"Values";"ASMPT",#N/A,FALSE,"Assumptions"}</definedName>
    <definedName name="wrn.Cash._.Flow._.Analysis.15" hidden="1">{"CF",#N/A,FALSE,"Cash Flow";"RET",#N/A,FALSE,"Returns";"NPV",#N/A,FALSE,"Values";"ASMPT",#N/A,FALSE,"Assumptions"}</definedName>
    <definedName name="wrn.cash._.flow_.analysiswaterfall" hidden="1">{"CF",#N/A,FALSE,"Cash Flow";"RET",#N/A,FALSE,"Returns";"NPV",#N/A,FALSE,"Values";"ASMPT",#N/A,FALSE,"Assumptions"}</definedName>
    <definedName name="wrn.cash.both" hidden="1">{"CF",#N/A,FALSE,"Cash Flow";"RET",#N/A,FALSE,"Returns";"NPV",#N/A,FALSE,"Values";"ASMPT",#N/A,FALSE,"Assumptions"}</definedName>
    <definedName name="wrn.cash.retail" hidden="1">{"CF",#N/A,FALSE,"Cash Flow";"RET",#N/A,FALSE,"Returns";"NPV",#N/A,FALSE,"Values";"ASMPT",#N/A,FALSE,"Assumptions"}</definedName>
    <definedName name="wrn.Chart._.of._.Accounts." hidden="1">{#N/A,#N/A,FALSE,"Categories";#N/A,#N/A,FALSE,"MRi INCH";#N/A,#N/A,FALSE,"COA Usage";#N/A,#N/A,FALSE,"Detail"}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lient_Report." hidden="1">{#N/A,#N/A,FALSE,"1Summary";#N/A,#N/A,FALSE,"2Assumptions";"CashFlowTen",#N/A,FALSE,"3Cash Flow";"StrippingMatrix",#N/A,FALSE,"3Cash Flow";#N/A,#N/A,FALSE,"4Year 1 Reconciliation";"Residual",#N/A,FALSE,"5Residual";"MatrixI",#N/A,FALSE,"5Residual";#N/A,#N/A,FALSE,"5Residual Matrix";#N/A,#N/A,FALSE,"7Pricing Matrix";#N/A,#N/A,FALSE,"8Pricing Matrix II";#N/A,#N/A,FALSE,"9Vacancy Matrix";#N/A,#N/A,FALSE,"10Expiration Schedule";#N/A,#N/A,FALSE,"ALease-up Schedule"}</definedName>
    <definedName name="wrn.co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mplet._.sauf._.balance.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_1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nstruction._.Costs." hidden="1">{"Const Costs Dev",#N/A,FALSE,"Construction Cost Inputs";"Const Costs orig ccy",#N/A,FALSE,"Construction Cost Inputs";"Const Costs USD",#N/A,FALSE,"Construction Cost Inputs"}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co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Studies." hidden="1">{#N/A,#N/A,FALSE,"CS#1";#N/A,#N/A,FALSE,"CS#2";#N/A,#N/A,FALSE,"CS#3";#N/A,#N/A,FALSE,"CS#4";#N/A,#N/A,FALSE,"CS#5";#N/A,#N/A,FALSE,"CS#6";#N/A,#N/A,FALSE,"CS#7";#N/A,#N/A,FALSE,"CS#7rev";#N/A,#N/A,FALSE,"CS#8"}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DCF." hidden="1">{#N/A,#N/A,FALSE,"Brad_DCFM";#N/A,#N/A,FALSE,"Nick_DCFM";#N/A,#N/A,FALSE,"Mobile_DCFM"}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raw._.Format." hidden="1">{"Current Draw",#N/A,FALSE,"Sheet1"}</definedName>
    <definedName name="wrn.druk" hidden="1">{"YTD/Forecast",#N/A,TRUE,"Fcst_TPLN";"Monthly Averages",#N/A,TRUE,"Fcst_TPLN"}</definedName>
    <definedName name="wrn.ExitAndSalesAssumptions." hidden="1">{#N/A,#N/A,FALSE,"ExitStratigy"}</definedName>
    <definedName name="wrn.ExitAndSalesAssumptions._1" hidden="1">{#N/A,#N/A,FALSE,"ExitStratigy"}</definedName>
    <definedName name="wrn.Financing._.Inputs." hidden="1">{"BuildIn 2 Funding Assump",#N/A,FALSE,"Building Inputs";"BuildIn Capex plus Extras",#N/A,FALSE,"Building Inputs"}</definedName>
    <definedName name="wrn.FULL." hidden="1">{#N/A,#N/A,FALSE,"B"}</definedName>
    <definedName name="wrn.Full._.Report." hidden="1">{#N/A,#N/A,FALSE,"1Executive Summary";#N/A,#N/A,FALSE,"2Assumptions (Input)";#N/A,#N/A,FALSE,"3Cash Flow Analysis";#N/A,#N/A,FALSE,"4Year One Financial Summary";#N/A,#N/A,FALSE,"5Value Matrix";#N/A,#N/A,FALSE,"Greenline Form Page 1";#N/A,#N/A,FALSE,"Greenline Form Page 2"}</definedName>
    <definedName name="wrn.FULL._1" hidden="1">{#N/A,#N/A,FALSE,"B"}</definedName>
    <definedName name="wrn.Full_Report." hidden="1">{#N/A,#N/A,FALSE,"1Summary";#N/A,#N/A,FALSE,"2Assumptions";"CashFlowTen",#N/A,FALSE,"3Cash Flow";"CashFlowTwenty",#N/A,FALSE,"3Cash Flow";"StrippingMatrix",#N/A,FALSE,"3Cash Flow";#N/A,#N/A,FALSE,"4Year 1 Reconciliation";"Residual",#N/A,FALSE,"5Residual";"MatrixI",#N/A,FALSE,"5Residual";#N/A,#N/A,FALSE,"5Residual Matrix";#N/A,#N/A,FALSE,"6Residual (Year 20)";#N/A,#N/A,FALSE,"7Pricing Matrix";#N/A,#N/A,FALSE,"8Pricing Matrix II";#N/A,#N/A,FALSE,"9Vacancy Matrix";#N/A,#N/A,FALSE,"10Expiration Schedule";#N/A,#N/A,FALSE,"ALease-up Schedule"}</definedName>
    <definedName name="wrn.Full_Template." hidden="1">{#N/A,#N/A,FALSE,"1Summary";#N/A,#N/A,FALSE,"2Assumptions";#N/A,#N/A,FALSE,"3Cash Flow";#N/A,#N/A,FALSE,"4Year 1 Reconciliation";#N/A,#N/A,FALSE,"5Residual";#N/A,#N/A,FALSE,"6Residual (Year 20)";#N/A,#N/A,FALSE,"7Pricing Matrix";#N/A,#N/A,FALSE,"8Vacancy Matrix";#N/A,#N/A,FALSE,"9Expiration Schedule";#N/A,#N/A,FALSE,"ALease-up Schedule"}</definedName>
    <definedName name="wrn.fullreport.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gamme." hidden="1">{#N/A,#N/A,FALSE,"original";#N/A,#N/A,FALSE,"boiler";#N/A,#N/A,FALSE,"burner";#N/A,#N/A,FALSE,"absorbtion unit"}</definedName>
    <definedName name="wrn.HILTON._.GARDEN._.INN.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_1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RIDIUM." hidden="1">{"Cover",#N/A,TRUE,"Sheet1";"Annual Income",#N/A,TRUE,"Sheet1";"Annual Balance",#N/A,TRUE,"Sheet1";"Annual Cash Flow",#N/A,TRUE,"Sheet1";"Revenue",#N/A,TRUE,"Sheet1";"Income",#N/A,TRUE,"Sheet1";"Balance",#N/A,TRUE,"Sheet1";"Cash Flow",#N/A,TRUE,"Sheet1";"Cash",#N/A,TRUE,"Sheet1";"Tax",#N/A,TRUE,"Sheet1";"Amort Financing Costs",#N/A,TRUE,"Sheet1";"Amort Capitalized Interest",#N/A,TRUE,"Sheet1";"Tax GAAP",#N/A,TRUE,"Sheet1"}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oanInformation." hidden="1">{#N/A,#N/A,FALSE,"LoanAssumptions"}</definedName>
    <definedName name="wrn.LoanInformation._1" hidden="1">{#N/A,#N/A,FALSE,"LoanAssumptions"}</definedName>
    <definedName name="wrn.lodging." hidden="1">{"p",#N/A,FALSE,"Sheet1";"p 2",#N/A,FALSE,"Sheet1";"p 3",#N/A,FALSE,"Sheet1"}</definedName>
    <definedName name="wrn.lodging._1" hidden="1">{"p",#N/A,FALSE,"Sheet1";"p 2",#N/A,FALSE,"Sheet1";"p 3",#N/A,FALSE,"Sheet1"}</definedName>
    <definedName name="wrn.Market_Report." hidden="1">{#N/A,#N/A,FALSE,"1Summary";#N/A,#N/A,FALSE,"2Assumptions";"CashFlowTen",#N/A,FALSE,"3Cash Flow";"Residual",#N/A,FALSE,"5Residual";#N/A,#N/A,FALSE,"9Vacancy Matrix";#N/A,#N/A,FALSE,"10Expiration Schedule"}</definedName>
    <definedName name="wrn.MN._.Montreal." hidden="1">{#N/A,#N/A,FALSE,"Coversheet RPT";#N/A,#N/A,FALSE,"Investment Summary RPT";#N/A,#N/A,FALSE,"Annual CF RPT";#N/A,#N/A,FALSE,"Financing Summary RPT";#N/A,#N/A,FALSE,"Dev Cost RPT";#N/A,#N/A,FALSE,"Lease up RPT";#N/A,#N/A,FALSE,"Rent Roll RPT";#N/A,#N/A,FALSE,"Stabile NOI RPT"}</definedName>
    <definedName name="wrn.MonthlyRentRoll." hidden="1">{"MonthlyRentRoll",#N/A,FALSE,"RentRoll"}</definedName>
    <definedName name="wrn.MonthlyRentRoll._1" hidden="1">{"MonthlyRentRoll",#N/A,FALSE,"RentRoll"}</definedName>
    <definedName name="wrn.mortassetplan.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nov29" hidden="1">{#N/A,#N/A,FALSE,"BALLY COSTS";#N/A,#N/A,FALSE,"FF&amp;E";#N/A,#N/A,FALSE,"FEES";#N/A,#N/A,FALSE,"CONTINGENCY";#N/A,#N/A,FALSE,"SOFT COSTS";#N/A,#N/A,FALSE,"DETAIL";#N/A,#N/A,FALSE,"sum12-3"}</definedName>
    <definedName name="Wrn.nov29_1" hidden="1">{#N/A,#N/A,FALSE,"BALLY COSTS";#N/A,#N/A,FALSE,"FF&amp;E";#N/A,#N/A,FALSE,"FEES";#N/A,#N/A,FALSE,"CONTINGENCY";#N/A,#N/A,FALSE,"SOFT COSTS";#N/A,#N/A,FALSE,"DETAIL";#N/A,#N/A,FALSE,"sum12-3"}</definedName>
    <definedName name="wrn.NOV30." hidden="1">{#N/A,#N/A,FALSE,"BALLY COSTS";#N/A,#N/A,FALSE,"FF&amp;E";#N/A,#N/A,FALSE,"FEES";#N/A,#N/A,FALSE,"CONTINGENCY";#N/A,#N/A,FALSE,"SOFT COSTS";#N/A,#N/A,FALSE,"DETAIL";#N/A,#N/A,FALSE,"sum12-3"}</definedName>
    <definedName name="wrn.NOV30._1" hidden="1">{#N/A,#N/A,FALSE,"BALLY COSTS";#N/A,#N/A,FALSE,"FF&amp;E";#N/A,#N/A,FALSE,"FEES";#N/A,#N/A,FALSE,"CONTINGENCY";#N/A,#N/A,FALSE,"SOFT COSTS";#N/A,#N/A,FALSE,"DETAIL";#N/A,#N/A,FALSE,"sum12-3"}</definedName>
    <definedName name="wrn.november._.17.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OpCostIn.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OperatingAssumtions." hidden="1">{#N/A,#N/A,FALSE,"OperatingAssumptions"}</definedName>
    <definedName name="wrn.OperatingAssumtions._1" hidden="1">{#N/A,#N/A,FALSE,"OperatingAssumptions"}</definedName>
    <definedName name="wrn.Owner._.Copy." hidden="1">{#N/A,#N/A,FALSE,"H1a";#N/A,#N/A,FALSE,"H1b";#N/A,#N/A,FALSE,"H1c";#N/A,#N/A,FALSE,"H1d";#N/A,#N/A,FALSE,"H1e";#N/A,#N/A,FALSE,"H1f"}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resentation." hidden="1">{#N/A,#N/A,TRUE,"Summary";"AnnualRentRoll",#N/A,TRUE,"RentRoll";#N/A,#N/A,TRUE,"ExitStratigy";#N/A,#N/A,TRUE,"OperatingAssumptions"}</definedName>
    <definedName name="wrn.Presentation._1" hidden="1">{#N/A,#N/A,TRUE,"Summary";"AnnualRentRoll",#N/A,TRUE,"RentRoll";#N/A,#N/A,TRUE,"ExitStratigy";#N/A,#N/A,TRUE,"OperatingAssumptions"}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nt." hidden="1">{"page1",#N/A,FALSE,"Sheet1";"page2",#N/A,FALSE,"Sheet1"}</definedName>
    <definedName name="wrn.Print._.All.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1" hidden="1">{"page1",#N/A,FALSE,"Sheet1";"page2",#N/A,FALSE,"Sheet1"}</definedName>
    <definedName name="wrn.PropertyInformation." hidden="1">{#N/A,#N/A,FALSE,"PropertyInfo"}</definedName>
    <definedName name="wrn.PropertyInformation._1" hidden="1">{#N/A,#N/A,FALSE,"PropertyInfo"}</definedName>
    <definedName name="wrn.QAPU." hidden="1">{#N/A,#N/A,FALSE,"5YRASSPl - consol'd";#N/A,#N/A,FALSE,"5YRASSPl - hotel";#N/A,#N/A,FALSE,"5YRASSPl - excl htl";#N/A,#N/A,FALSE,"VarReport";#N/A,#N/A,FALSE,"Sensitivity";#N/A,#N/A,FALSE,"House View ";#N/A,#N/A,FALSE,"KPI"}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PORT._.ALL.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_1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ituation._.complet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_1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TANDARD." hidden="1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wrn.Summary." hidden="1">{#N/A,#N/A,FALSE,"Summary"}</definedName>
    <definedName name="wrn.Summary._1" hidden="1">{#N/A,#N/A,FALSE,"Summary"}</definedName>
    <definedName name="wrn.Trial._.Balance." hidden="1">{#N/A,#N/A,TRUE,"constb"}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YUH33400." hidden="1">{#N/A,#N/A,FALSE,"2000";#N/A,#N/A,FALSE,"1999_1998"}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_1" hidden="1">{#N/A,#N/A,TRUE,"1호 과표세액";#N/A,#N/A,TRUE,"6호 첨부(익)";#N/A,#N/A,TRUE,"6-3호 퇴충";#N/A,#N/A,TRUE,"PL";#N/A,#N/A,TRUE,"BS";#N/A,#N/A,TRUE,"RE";#N/A,#N/A,TRUE,"표지"}</definedName>
    <definedName name="wrn.감가." hidden="1">{#N/A,#N/A,FALSE,"buildings"}</definedName>
    <definedName name="wrn.골재소요량." hidden="1">{#N/A,#N/A,FALSE,"골재소요량";#N/A,#N/A,FALSE,"골재소요량"}</definedName>
    <definedName name="wrn.구조2." hidden="1">{#N/A,#N/A,FALSE,"구조2"}</definedName>
    <definedName name="wrn.단가표지." hidden="1">{#N/A,#N/A,FALSE,"단가표지"}</definedName>
    <definedName name="wrn.대차._.대조표." hidden="1">{#N/A,#N/A,TRUE,"대 차 대 조 표"}</definedName>
    <definedName name="wrn.대차._.대조표._1" hidden="1">{#N/A,#N/A,TRUE,"대 차 대 조 표"}</definedName>
    <definedName name="wrn.배수1." hidden="1">{#N/A,#N/A,FALSE,"배수1"}</definedName>
    <definedName name="wrn.배수2." hidden="1">{#N/A,#N/A,FALSE,"배수2"}</definedName>
    <definedName name="wrn.보고서." hidden="1">{#N/A,#N/A,FALSE,"Sheet1";#N/A,#N/A,FALSE,"기평9607"}</definedName>
    <definedName name="wrn.보고서._1" hidden="1">{#N/A,#N/A,FALSE,"Sheet1";#N/A,#N/A,FALSE,"기평9607"}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세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속도." hidden="1">{#N/A,#N/A,FALSE,"속도"}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업체별._.견적공사명." hidden="1">{"SJ - 기본 보기",#N/A,FALSE,"공사별 외주견적"}</definedName>
    <definedName name="wrn.운반시간." hidden="1">{#N/A,#N/A,FALSE,"운반시간"}</definedName>
    <definedName name="wrn.월보.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추정." hidden="1">{#N/A,#N/A,FALSE,"월추정감가상각비";#N/A,#N/A,FALSE,"main_prog"}</definedName>
    <definedName name="wrn.이력서._.자기소개서." hidden="1">{#N/A,#N/A,FALSE,"이력서&amp;자기소개서"}</definedName>
    <definedName name="wrn.이력서._.자기소개서._1" hidden="1">{#N/A,#N/A,FALSE,"이력서&amp;자기소개서"}</definedName>
    <definedName name="wrn.이정표." hidden="1">{#N/A,#N/A,FALSE,"이정표"}</definedName>
    <definedName name="wrn.이태원._.철근." hidden="1">{#N/A,#N/A,FALSE,"이태원철근"}</definedName>
    <definedName name="wrn.재무제표." hidden="1">{"PL2",#N/A,FALSE,"PL";"CH1",#N/A,FALSE,"현금흐름표";"CH2",#N/A,FALSE,"현금흐름표";"BS1",#N/A,FALSE,"BS";"CO",#N/A,FALSE,"매출원가";"BS2",#N/A,FALSE,"BS"}</definedName>
    <definedName name="wrn.조골재." hidden="1">{#N/A,#N/A,FALSE,"조골재"}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집기비품보고서._.품목별._.및._.현장별._.집계표." hidden="1">{#N/A,#N/A,FALSE,"Sheet6"}</definedName>
    <definedName name="wrn.채권채무조회서." hidden="1">{#N/A,#N/A,FALSE,"채권채무";#N/A,#N/A,FALSE,"control sheet"}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통신지." hidden="1">{#N/A,#N/A,FALSE,"기안지";#N/A,#N/A,FALSE,"통신지"}</definedName>
    <definedName name="wrn.포장1." hidden="1">{#N/A,#N/A,FALSE,"포장1";#N/A,#N/A,FALSE,"포장1"}</definedName>
    <definedName name="wrn.포장2." hidden="1">{#N/A,#N/A,FALSE,"포장2"}</definedName>
    <definedName name="wrn.포항강판." hidden="1">{"현수",#N/A,FALSE,"월추정감가상각비"}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현장._.NCR._.분석.B" hidden="1">{#N/A,#N/A,FALSE,"현장 NCR 분석";#N/A,#N/A,FALSE,"현장품질감사";#N/A,#N/A,FALSE,"현장품질감사"}</definedName>
    <definedName name="wrn.혼합골재." hidden="1">{#N/A,#N/A,FALSE,"혼합골재"}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s" hidden="1">{"'보고양식'!$A$58:$K$111"}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hidden="1">[14]A!$K$585:$K$586</definedName>
    <definedName name="xd" hidden="1">{"'Sheet1'!$A$1:$H$36"}</definedName>
    <definedName name="xdf" hidden="1">{"'Sheet1'!$A$1:$H$36"}</definedName>
    <definedName name="XREF_COLUMN_1" hidden="1">#REF!</definedName>
    <definedName name="XREF_COLUMN_10" hidden="1">#N/A</definedName>
    <definedName name="XREF_COLUMN_11" hidden="1">#REF!</definedName>
    <definedName name="XREF_COLUMN_12" hidden="1">#REF!</definedName>
    <definedName name="XREF_COLUMN_2" hidden="1">#N/A</definedName>
    <definedName name="XREF_COLUMN_3" hidden="1">#N/A</definedName>
    <definedName name="XREF_COLUMN_4" hidden="1">#N/A</definedName>
    <definedName name="XREF_COLUMN_5" hidden="1">#N/A</definedName>
    <definedName name="XREF_COLUMN_6" hidden="1">#N/A</definedName>
    <definedName name="XREF_COLUMN_7" hidden="1">#N/A</definedName>
    <definedName name="XREF_COLUMN_8" hidden="1">#N/A</definedName>
    <definedName name="XREF_COLUMN_9" hidden="1">#N/A</definedName>
    <definedName name="XRefActiveRow" hidden="1">#REF!</definedName>
    <definedName name="XRefColumnsCount" hidden="1">11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[26]XREF!#REF!</definedName>
    <definedName name="XRefCopy13" hidden="1">#REF!</definedName>
    <definedName name="XRefCopy13Row" hidden="1">[26]XREF!#REF!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[27]XREF!#REF!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Row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[28]XREF!#REF!</definedName>
    <definedName name="XRefCopy8" hidden="1">#REF!</definedName>
    <definedName name="XRefCopy8Row" hidden="1">#REF!</definedName>
    <definedName name="XRefCopy9" hidden="1">#REF!</definedName>
    <definedName name="XRefCopy9Row" hidden="1">#N/A</definedName>
    <definedName name="XRefCopyRangeCount" hidden="1">6</definedName>
    <definedName name="XRefPaste1" hidden="1">[29]이자수익수정사항!#REF!</definedName>
    <definedName name="XRefPaste10" hidden="1">[25]유형!#REF!</definedName>
    <definedName name="XRefPaste10Row" hidden="1">#REF!</definedName>
    <definedName name="XRefPaste11" hidden="1">[25]유형!#REF!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[25]유형!#REF!</definedName>
    <definedName name="XRefPaste15Row" hidden="1">#REF!</definedName>
    <definedName name="XRefPaste16" hidden="1">[25]유형!#REF!</definedName>
    <definedName name="XRefPaste16Row" hidden="1">#REF!</definedName>
    <definedName name="XRefPaste17" hidden="1">[25]유형!#REF!</definedName>
    <definedName name="XRefPaste17Row" hidden="1">#REF!</definedName>
    <definedName name="XRefPaste18" hidden="1">#REF!</definedName>
    <definedName name="XRefPaste18Row" hidden="1">#REF!</definedName>
    <definedName name="XRefPaste19" hidden="1">[25]유형!#REF!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[30]XREF!#REF!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[25]유형!#REF!</definedName>
    <definedName name="XRefPaste26Row" hidden="1">#REF!</definedName>
    <definedName name="XRefPaste27" hidden="1">[25]유형!#REF!</definedName>
    <definedName name="XRefPaste27Row" hidden="1">#REF!</definedName>
    <definedName name="XRefPaste28" hidden="1">[25]유형!#REF!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[25]고정부채!#REF!</definedName>
    <definedName name="XRefPaste30" hidden="1">[25]유형!#REF!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[25]유형!#REF!</definedName>
    <definedName name="XRefPaste34Row" hidden="1">#REF!</definedName>
    <definedName name="XRefPaste35" hidden="1">[25]유형!#REF!</definedName>
    <definedName name="XRefPaste35Row" hidden="1">#REF!</definedName>
    <definedName name="XRefPaste36" hidden="1">[25]유형!#REF!</definedName>
    <definedName name="XRefPaste36Row" hidden="1">#REF!</definedName>
    <definedName name="XRefPaste37" hidden="1">#REF!</definedName>
    <definedName name="XRefPaste37Row" hidden="1">#REF!</definedName>
    <definedName name="XRefPaste38" hidden="1">[25]유형!#REF!</definedName>
    <definedName name="XRefPaste38Row" hidden="1">#REF!</definedName>
    <definedName name="XRefPaste39" hidden="1">[25]유형!#REF!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[25]유형!#REF!</definedName>
    <definedName name="XRefPaste42Row" hidden="1">#REF!</definedName>
    <definedName name="XRefPaste43" hidden="1">[25]유형!#REF!</definedName>
    <definedName name="XRefPaste43Row" hidden="1">#REF!</definedName>
    <definedName name="XRefPaste44" hidden="1">[25]유형!#REF!</definedName>
    <definedName name="XRefPaste44Row" hidden="1">#REF!</definedName>
    <definedName name="XRefPaste45" hidden="1">[25]유형!#REF!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[25]유형!#REF!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Row" hidden="1">#REF!</definedName>
    <definedName name="XRefPaste55Row" hidden="1">#REF!</definedName>
    <definedName name="XRefPaste56" hidden="1">#N/A</definedName>
    <definedName name="XRefPaste56Row" hidden="1">#REF!</definedName>
    <definedName name="XRefPaste57Row" hidden="1">#REF!</definedName>
    <definedName name="XRefPaste58Row" hidden="1">#REF!</definedName>
    <definedName name="XRefPaste59Row" hidden="1">#REF!</definedName>
    <definedName name="XRefPaste5Row" hidden="1">#REF!</definedName>
    <definedName name="XRefPaste6" hidden="1">[25]유형!#REF!</definedName>
    <definedName name="XRefPaste60Row" hidden="1">#REF!</definedName>
    <definedName name="XRefPaste61Row" hidden="1">#REF!</definedName>
    <definedName name="XRefPaste62Row" hidden="1">#REF!</definedName>
    <definedName name="XRefPaste65Row" hidden="1">#REF!</definedName>
    <definedName name="XRefPaste66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[25]유형!#REF!</definedName>
    <definedName name="XRefPaste8Row" hidden="1">#REF!</definedName>
    <definedName name="XRefPaste9" hidden="1">[25]유형!#REF!</definedName>
    <definedName name="XRefPaste9Row" hidden="1">#REF!</definedName>
    <definedName name="XRefPasteRangeCount" hidden="1">69</definedName>
    <definedName name="xsx" hidden="1">{"'Sheet1'!$A$1:$H$36"}</definedName>
    <definedName name="xx" hidden="1">[14]A!$K$585:$K$586</definedName>
    <definedName name="xxx" hidden="1">[14]A!$B$87:$B$98</definedName>
    <definedName name="xxxx" hidden="1">[14]A!$G$75:$G$98</definedName>
    <definedName name="xxxxx" hidden="1">[14]A!$B$715:$B$726</definedName>
    <definedName name="Y2K" hidden="1">#REF!</definedName>
    <definedName name="ya" hidden="1">{#N/A,#N/A,FALSE,"Aging Summary";#N/A,#N/A,FALSE,"Ratio Analysis";#N/A,#N/A,FALSE,"Test 120 Day Accts";#N/A,#N/A,FALSE,"Tickmarks"}</definedName>
    <definedName name="yh" hidden="1">{#N/A,#N/A,FALSE,"Aging Summary";#N/A,#N/A,FALSE,"Ratio Analysis";#N/A,#N/A,FALSE,"Test 120 Day Accts";#N/A,#N/A,FALSE,"Tickmarks"}</definedName>
    <definedName name="yn" hidden="1">#REF!</definedName>
    <definedName name="yrty" hidden="1">{"'Sheet1'!$A$1:$H$36"}</definedName>
    <definedName name="yuu" hidden="1">{"'Sheet1'!$A$1:$H$36"}</definedName>
    <definedName name="yyy" hidden="1">{#N/A,#N/A,FALSE,"지침";#N/A,#N/A,FALSE,"환경분석";#N/A,#N/A,FALSE,"Sheet16"}</definedName>
    <definedName name="Z_18B7B7A5_CB81_11D4_B8D9_00D0B79CFA38_.wvu.FilterData" hidden="1">#REF!</definedName>
    <definedName name="Z_1E68EE86_CB81_11D4_8D98_0008C73BAB8A_.wvu.FilterData" hidden="1">#REF!</definedName>
    <definedName name="Z_1F713D72_E6F4_11D3_8E1E_00A0244E179B_.wvu.Cols" hidden="1">#REF!</definedName>
    <definedName name="Z_1F713D72_E6F4_11D3_8E1E_00A0244E179B_.wvu.PrintArea" hidden="1">#REF!</definedName>
    <definedName name="Z_39BC5E81_0594_11D1_8C74_006097B34275_.wvu.FilterData" hidden="1">#REF!</definedName>
    <definedName name="Z_39BC5E82_0594_11D1_8C74_006097B34275_.wvu.FilterData" hidden="1">#REF!</definedName>
    <definedName name="Z_47CF822C_7D86_4B88_AF6F_11FB560082E4_.wvu.Rows" hidden="1">#REF!,#REF!,#REF!,#REF!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6332A1C3_4451_11D5_8DF3_00C026000EEF_.wvu.PrintTitles" hidden="1">#REF!</definedName>
    <definedName name="Z_6C188702_CB61_11D4_8F58_00508BF61DE6_.wvu.FilterData" hidden="1">#REF!</definedName>
    <definedName name="Z_6E0ADC42_F22D_11D0_8C74_006097B34275_.wvu.FilterData" hidden="1">#REF!</definedName>
    <definedName name="Z_7E0A45E1_0993_11D1_8C74_006097B34275_.wvu.FilterData" hidden="1">#REF!</definedName>
    <definedName name="Z_82212322_246D_11D1_8C74_006097B34275_.wvu.FilterData" hidden="1">#REF!</definedName>
    <definedName name="Z_8DB32E57_5A92_444E_B52C_1F9D6A8951FB_.wvu.Cols" hidden="1">#REF!,#REF!,#REF!</definedName>
    <definedName name="Z_A56863A1_CC32_11D4_8E20_00D0B79C982E_.wvu.FilterData" hidden="1">#REF!</definedName>
    <definedName name="Z_B8175DE2_E97C_11D0_8C74_006097B34275_.wvu.FilterData" hidden="1">#REF!</definedName>
    <definedName name="Z_BFEEB821_E6AD_11D3_88E4_00E09870C276_.wvu.PrintArea" hidden="1">#REF!</definedName>
    <definedName name="Z_CB0E8320_907C_11D8_8F9A_003018607B51_.wvu.Cols" hidden="1">#REF!</definedName>
    <definedName name="Z_DB8AC590_3D3A_11D5_BCB0_000021EC112A_.wvu.Cols" hidden="1">#REF!</definedName>
    <definedName name="Z_DB8AC590_3D3A_11D5_BCB0_000021EC112A_.wvu.PrintArea" hidden="1">#REF!</definedName>
    <definedName name="Z_DB8AC590_3D3A_11D5_BCB0_000021EC112A_.wvu.PrintTitles" hidden="1">#REF!</definedName>
    <definedName name="Z_DB8AC590_3D3A_11D5_BCB0_000021EC112A_.wvu.Rows" hidden="1">#REF!,#REF!</definedName>
    <definedName name="Z_DCA8D884_2605_11D1_A510_006097B38048_.wvu.FilterData" hidden="1">#REF!</definedName>
    <definedName name="Z_E2699901_D040_11D0_A510_006097B38048_.wvu.FilterData" hidden="1">#REF!</definedName>
    <definedName name="Z_F6AB6A24_E5D5_11D3_B573_00104BA1686B_.wvu.Cols" hidden="1">#REF!,#REF!,#REF!</definedName>
    <definedName name="zdfa45" hidden="1">#REF!</definedName>
    <definedName name="zfewadew" hidden="1">#REF!</definedName>
    <definedName name="ZXC" hidden="1">{#N/A,#N/A,FALSE,"이태원철근"}</definedName>
    <definedName name="zzz" hidden="1">{#N/A,#N/A,FALSE,"이력서&amp;자기소개서"}</definedName>
    <definedName name="zzzaa" hidden="1">#REF!</definedName>
    <definedName name="ああああああ" hidden="1">{#N/A,#N/A,FALSE,"Categories";#N/A,#N/A,FALSE,"MRi INCH";#N/A,#N/A,FALSE,"COA Usage";#N/A,#N/A,FALSE,"Detail"}</definedName>
    <definedName name="さかい" hidden="1">{"'納状'!$B$375:$F$541"}</definedName>
    <definedName name="さんきゅう" hidden="1">#REF!</definedName>
    <definedName name="とーた" hidden="1">#REF!</definedName>
    <definedName name="よんきゅう" hidden="1">#REF!</definedName>
    <definedName name="ㄱ" hidden="1">#REF!</definedName>
    <definedName name="ㄱㄱ" hidden="1">{#N/A,#N/A,FALSE,"이태원철근"}</definedName>
    <definedName name="ㄱㄱㄱㄱ" hidden="1">{#N/A,#N/A,FALSE,"지침";#N/A,#N/A,FALSE,"환경분석";#N/A,#N/A,FALSE,"Sheet16"}</definedName>
    <definedName name="ㄱㄱㄱㄱㄱ" hidden="1">{#N/A,#N/A,FALSE,"UNIT";#N/A,#N/A,FALSE,"UNIT";#N/A,#N/A,FALSE,"계정"}</definedName>
    <definedName name="ㄱㄱㅈㄷ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ㅅ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ㄺㄹ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ㅂ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갸" hidden="1">{#N/A,#N/A,FALSE,"이태원철근"}</definedName>
    <definedName name="가격산출" hidden="1">#REF!</definedName>
    <definedName name="가나" hidden="1">{#N/A,#N/A,FALSE,"1.CRITERIA";#N/A,#N/A,FALSE,"2.IS";#N/A,#N/A,FALSE,"3.BS";#N/A,#N/A,FALSE,"4.PER PL";#N/A,#N/A,FALSE,"5.INVESTMENT";#N/A,#N/A,FALSE,"6.공문";#N/A,#N/A,FALSE,"7.netinvest"}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상가" hidden="1">#REF!</definedName>
    <definedName name="감가상각02" hidden="1">#REF!</definedName>
    <definedName name="감가상각비2" hidden="1">{#N/A,#N/A,FALSE,"Aging Summary";#N/A,#N/A,FALSE,"Ratio Analysis";#N/A,#N/A,FALSE,"Test 120 Day Accts";#N/A,#N/A,FALSE,"Tickmarks"}</definedName>
    <definedName name="갑지" hidden="1">[32]내역서!#REF!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강릉교동" hidden="1">#REF!</definedName>
    <definedName name="강릉교동터파기" hidden="1">#REF!</definedName>
    <definedName name="강릉교동토목" hidden="1">#REF!</definedName>
    <definedName name="강릉교동흙막이" hidden="1">#REF!</definedName>
    <definedName name="강릉토공사" hidden="1">#REF!</definedName>
    <definedName name="강릉토목공사" hidden="1">#REF!</definedName>
    <definedName name="강릉토목임" hidden="1">#REF!</definedName>
    <definedName name="강서" hidden="1">{#N/A,#N/A,FALSE,"97년 투자계획 세부내역 "}</definedName>
    <definedName name="개선내용" hidden="1">{#N/A,#N/A,TRUE,"Y생산";#N/A,#N/A,TRUE,"Y판매";#N/A,#N/A,TRUE,"Y총물량";#N/A,#N/A,TRUE,"Y능력";#N/A,#N/A,TRUE,"YKD"}</definedName>
    <definedName name="개선내용_1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개선실적_1" hidden="1">{#N/A,#N/A,TRUE,"Y생산";#N/A,#N/A,TRUE,"Y판매";#N/A,#N/A,TRUE,"Y총물량";#N/A,#N/A,TRUE,"Y능력";#N/A,#N/A,TRUE,"YKD"}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눛" hidden="1">{#N/A,#N/A,FALSE,"기안지";#N/A,#N/A,FALSE,"통신지"}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건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팀" hidden="1">{#N/A,#N/A,TRUE,"Y생산";#N/A,#N/A,TRUE,"Y판매";#N/A,#N/A,TRUE,"Y총물량";#N/A,#N/A,TRUE,"Y능력";#N/A,#N/A,TRUE,"YKD"}</definedName>
    <definedName name="건설팀_1" hidden="1">{#N/A,#N/A,TRUE,"Y생산";#N/A,#N/A,TRUE,"Y판매";#N/A,#N/A,TRUE,"Y총물량";#N/A,#N/A,TRUE,"Y능력";#N/A,#N/A,TRUE,"YKD"}</definedName>
    <definedName name="건축토공" hidden="1">{#N/A,#N/A,FALSE,"기안지";#N/A,#N/A,FALSE,"통신지"}</definedName>
    <definedName name="건축팀별" hidden="1">{#N/A,#N/A,FALSE,"지침";#N/A,#N/A,FALSE,"환경분석";#N/A,#N/A,FALSE,"Sheet16"}</definedName>
    <definedName name="검토의뢰서" hidden="1">{#N/A,#N/A,FALSE,"이태원철근"}</definedName>
    <definedName name="검토의뢰서2" hidden="1">{#N/A,#N/A,FALSE,"이태원철근"}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결산" hidden="1">#REF!</definedName>
    <definedName name="경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" hidden="1">{#N/A,#N/A,FALSE,"UNIT";#N/A,#N/A,FALSE,"UNIT";#N/A,#N/A,FALSE,"계정"}</definedName>
    <definedName name="경영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지표2" hidden="1">#REF!</definedName>
    <definedName name="경쟁사2" hidden="1">#REF!</definedName>
    <definedName name="경쟁사동향" hidden="1">{#N/A,#N/A,FALSE,"97년 투자계획 세부내역 "}</definedName>
    <definedName name="경제" hidden="1">{#N/A,#N/A,FALSE,"UNIT";#N/A,#N/A,FALSE,"UNIT";#N/A,#N/A,FALSE,"계정"}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수" hidden="1">{#N/A,#N/A,FALSE,"지침";#N/A,#N/A,FALSE,"환경분석";#N/A,#N/A,FALSE,"Sheet16"}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hidden="1">{#N/A,#N/A,FALSE,"97년 투자계획 세부내역 "}</definedName>
    <definedName name="고재석" hidden="1">{#N/A,#N/A,FALSE,"97년 투자계획 세부내역 "}</definedName>
    <definedName name="고정비비교자세히" hidden="1">#REF!</definedName>
    <definedName name="곡동" hidden="1">{"'Firr(선)'!$AS$1:$AY$62","'Firr(사)'!$AS$1:$AY$62","'Firr(회)'!$AS$1:$AY$62","'Firr(선)'!$L$1:$V$62","'Firr(사)'!$L$1:$V$62","'Firr(회)'!$L$1:$V$62"}</definedName>
    <definedName name="곧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간" hidden="1">5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hidden="1">#N/A</definedName>
    <definedName name="공동구토공" hidden="1">{#N/A,#N/A,FALSE,"기안지";#N/A,#N/A,FALSE,"통신지"}</definedName>
    <definedName name="공모23" hidden="1">{#N/A,#N/A,FALSE,"현장 NCR 분석";#N/A,#N/A,FALSE,"현장품질감사";#N/A,#N/A,FALSE,"현장품질감사"}</definedName>
    <definedName name="공모23B" hidden="1">{#N/A,#N/A,FALSE,"현장 NCR 분석";#N/A,#N/A,FALSE,"현장품질감사";#N/A,#N/A,FALSE,"현장품질감사"}</definedName>
    <definedName name="공모24" hidden="1">{#N/A,#N/A,FALSE,"현장 NCR 분석";#N/A,#N/A,FALSE,"현장품질감사";#N/A,#N/A,FALSE,"현장품질감사"}</definedName>
    <definedName name="공모24B" hidden="1">{#N/A,#N/A,FALSE,"현장 NCR 분석";#N/A,#N/A,FALSE,"현장품질감사";#N/A,#N/A,FALSE,"현장품질감사"}</definedName>
    <definedName name="공문" hidden="1">'[29]지급어음(일별)'!#REF!</definedName>
    <definedName name="공사1" hidden="1">{#N/A,#N/A,FALSE,"이태원철근"}</definedName>
    <definedName name="공사24" hidden="1">{#N/A,#N/A,TRUE,"근태일보"}</definedName>
    <definedName name="공사개요최종" hidden="1">{#N/A,#N/A,FALSE,"이태원철근"}</definedName>
    <definedName name="공사원가1" hidden="1">{#N/A,#N/A,FALSE,"Aging Summary";#N/A,#N/A,FALSE,"Ratio Analysis";#N/A,#N/A,FALSE,"Test 120 Day Accts";#N/A,#N/A,FALSE,"Tickmarks"}</definedName>
    <definedName name="공사원가2" hidden="1">{#N/A,#N/A,FALSE,"Aging Summary";#N/A,#N/A,FALSE,"Ratio Analysis";#N/A,#N/A,FALSE,"Test 120 Day Accts";#N/A,#N/A,FALSE,"Tickmarks"}</definedName>
    <definedName name="공사현황" hidden="1">{#N/A,#N/A,TRUE,"근태일보"}</definedName>
    <definedName name="공정계획" hidden="1">{#N/A,#N/A,FALSE,"이태원철근"}</definedName>
    <definedName name="공정율" hidden="1">{#N/A,#N/A,FALSE,"이태원철근"}</definedName>
    <definedName name="공정율수정" hidden="1">{#N/A,#N/A,FALSE,"이태원철근"}</definedName>
    <definedName name="공주2" hidden="1">{#N/A,#N/A,FALSE,"동부"}</definedName>
    <definedName name="공통매입" hidden="1">[34]공통매입원장!#REF!</definedName>
    <definedName name="공통비" hidden="1">[35]유림골조!#REF!</definedName>
    <definedName name="공통비코아" hidden="1">[36]Sheet2!#REF!</definedName>
    <definedName name="곽동준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광수" hidden="1">{"YTD/Forecast",#N/A,TRUE,"Fcst_TPLN";"Monthly Averages",#N/A,TRUE,"Fcst_TPLN"}</definedName>
    <definedName name="광주신1" hidden="1">{"YTD/Forecast",#N/A,TRUE,"Fcst_TPLN";"Monthly Averages",#N/A,TRUE,"Fcst_TPLN"}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동토" hidden="1">#REF!</definedName>
    <definedName name="교동토목공사" hidden="1">{#N/A,#N/A,FALSE,"이태원철근"}</definedName>
    <definedName name="구산갑지" hidden="1">[13]Summary!#REF!</definedName>
    <definedName name="국순당" hidden="1">{#N/A,#N/A,FALSE,"Aging Summary";#N/A,#N/A,FALSE,"Ratio Analysis";#N/A,#N/A,FALSE,"Test 120 Day Accts";#N/A,#N/A,FALSE,"Tickmarks"}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글쎄" hidden="1">{#N/A,#N/A,FALSE,"97년 투자계획 세부내역 "}</definedName>
    <definedName name="급여1" hidden="1">#REF!</definedName>
    <definedName name="기" hidden="1">{#N/A,#N/A,FALSE,"1.CRITERIA";#N/A,#N/A,FALSE,"2.IS";#N/A,#N/A,FALSE,"3.BS";#N/A,#N/A,FALSE,"4.PER PL";#N/A,#N/A,FALSE,"5.INVESTMENT";#N/A,#N/A,FALSE,"6.공문";#N/A,#N/A,FALSE,"7.netinvest"}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其他应付款第三方排序" hidden="1">{"'科目汇总表  '!$A$1:$G$38"}</definedName>
    <definedName name="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hidden="1">{#N/A,#N/A,FALSE,"Aging Summary";#N/A,#N/A,FALSE,"Ratio Analysis";#N/A,#N/A,FALSE,"Test 120 Day Accts";#N/A,#N/A,FALSE,"Tickmarks"}</definedName>
    <definedName name="김D" hidden="1">{"'분석(dept)'!$B$23:$K$32"}</definedName>
    <definedName name="김동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영복" hidden="1">{"'Sheet1'!$A$1:$H$36"}</definedName>
    <definedName name="김제욱" hidden="1">{#N/A,#N/A,FALSE,"지침";#N/A,#N/A,FALSE,"환경분석";#N/A,#N/A,FALSE,"Sheet16"}</definedName>
    <definedName name="김중규" hidden="1">{#N/A,#N/A,FALSE,"이태원철근"}</definedName>
    <definedName name="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ㄳ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hidden="1">{#N/A,#N/A,FALSE,"이태원철근"}</definedName>
    <definedName name="ㄴㄴ" hidden="1">{#N/A,#N/A,FALSE,"동부"}</definedName>
    <definedName name="ㄴㄴㄴ" hidden="1">{#N/A,#N/A,TRUE,"대 차 대 조 표"}</definedName>
    <definedName name="ㄴㄴㄴ_1" hidden="1">{#N/A,#N/A,TRUE,"대 차 대 조 표"}</definedName>
    <definedName name="ㄴㄹㅇㄹㅇㄴ" hidden="1">{#N/A,#N/A,FALSE,"Aging Summary";#N/A,#N/A,FALSE,"Ratio Analysis";#N/A,#N/A,FALSE,"Test 120 Day Accts";#N/A,#N/A,FALSE,"Tickmarks"}</definedName>
    <definedName name="ㄴ라ㅓㅊ" hidden="1">{#N/A,#N/A,TRUE,"대 차 대 조 표"}</definedName>
    <definedName name="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ㅁㅇㄹ" hidden="1">{#N/A,#N/A,FALSE,"Aging Summary";#N/A,#N/A,FALSE,"Ratio Analysis";#N/A,#N/A,FALSE,"Test 120 Day Accts";#N/A,#N/A,FALSE,"Tickmarks"}</definedName>
    <definedName name="ㄴㅁ아" hidden="1">{#N/A,#N/A,FALSE,"동부"}</definedName>
    <definedName name="ㄴㅇ" hidden="1">{#N/A,#N/A,TRUE,"Y생산";#N/A,#N/A,TRUE,"Y판매";#N/A,#N/A,TRUE,"Y총물량";#N/A,#N/A,TRUE,"Y능력";#N/A,#N/A,TRUE,"YKD"}</definedName>
    <definedName name="ㄴㅇ_1" hidden="1">{#N/A,#N/A,TRUE,"Y생산";#N/A,#N/A,TRUE,"Y판매";#N/A,#N/A,TRUE,"Y총물량";#N/A,#N/A,TRUE,"Y능력";#N/A,#N/A,TRUE,"YKD"}</definedName>
    <definedName name="ㄴㅇ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ㄴㅇㄹ" hidden="1">{#N/A,#N/A,TRUE,"Y생산";#N/A,#N/A,TRUE,"Y판매";#N/A,#N/A,TRUE,"Y총물량";#N/A,#N/A,TRUE,"Y능력";#N/A,#N/A,TRUE,"YKD"}</definedName>
    <definedName name="ㄴㅇㄹㄴㅇㄹ_1" hidden="1">{#N/A,#N/A,TRUE,"Y생산";#N/A,#N/A,TRUE,"Y판매";#N/A,#N/A,TRUE,"Y총물량";#N/A,#N/A,TRUE,"Y능력";#N/A,#N/A,TRUE,"YKD"}</definedName>
    <definedName name="ㄴㅇㄹㄴㅇㄹㄴㅇㄹ" hidden="1">{#N/A,#N/A,TRUE,"Y생산";#N/A,#N/A,TRUE,"Y판매";#N/A,#N/A,TRUE,"Y총물량";#N/A,#N/A,TRUE,"Y능력";#N/A,#N/A,TRUE,"YKD"}</definedName>
    <definedName name="ㄴㅇㄹㄴㅇㄹㄴㅇㄹ_1" hidden="1">{#N/A,#N/A,TRUE,"Y생산";#N/A,#N/A,TRUE,"Y판매";#N/A,#N/A,TRUE,"Y총물량";#N/A,#N/A,TRUE,"Y능력";#N/A,#N/A,TRUE,"YKD"}</definedName>
    <definedName name="ㄴㅇㄺㅈ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ㅇㄴ" hidden="1">{#N/A,#N/A,FALSE,"동부"}</definedName>
    <definedName name="ㄴㅇㅇㄴㅁㄴㅇㅁ" hidden="1">{#N/A,#N/A,FALSE,"CCTV"}</definedName>
    <definedName name="ㄴㅇ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아ㅣㄹ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이ㅏㄹ" hidden="1">{#N/A,#N/A,FALSE,"동부"}</definedName>
    <definedName name="ㄴ이ㅏㄻ닝ㄹ" hidden="1">{#N/A,#N/A,TRUE,"대 차 대 조 표"}</definedName>
    <definedName name="나" hidden="1">{#N/A,#N/A,FALSE,"1.CRITERIA";#N/A,#N/A,FALSE,"2.IS";#N/A,#N/A,FALSE,"3.BS";#N/A,#N/A,FALSE,"4.PER PL";#N/A,#N/A,FALSE,"5.INVESTMENT";#N/A,#N/A,FALSE,"6.공문";#N/A,#N/A,FALSE,"7.netinvest"}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꺼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내역" hidden="1">{#N/A,#N/A,FALSE,"CCTV"}</definedName>
    <definedName name="내역서" hidden="1">{#N/A,#N/A,TRUE,"대 차 대 조 표"}</definedName>
    <definedName name="내영.." hidden="1">{#N/A,#N/A,TRUE,"Y생산";#N/A,#N/A,TRUE,"Y판매";#N/A,#N/A,TRUE,"Y총물량";#N/A,#N/A,TRUE,"Y능력";#N/A,#N/A,TRUE,"YKD"}</definedName>
    <definedName name="내영.._1" hidden="1">{#N/A,#N/A,TRUE,"Y생산";#N/A,#N/A,TRUE,"Y판매";#N/A,#N/A,TRUE,"Y총물량";#N/A,#N/A,TRUE,"Y능력";#N/A,#N/A,TRUE,"YKD"}</definedName>
    <definedName name="내용" hidden="1">{#N/A,#N/A,TRUE,"Y생산";#N/A,#N/A,TRUE,"Y판매";#N/A,#N/A,TRUE,"Y총물량";#N/A,#N/A,TRUE,"Y능력";#N/A,#N/A,TRUE,"YKD"}</definedName>
    <definedName name="내용_1" hidden="1">{#N/A,#N/A,TRUE,"Y생산";#N/A,#N/A,TRUE,"Y판매";#N/A,#N/A,TRUE,"Y총물량";#N/A,#N/A,TRUE,"Y능력";#N/A,#N/A,TRUE,"YKD"}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논현동외" hidden="1">{#N/A,#N/A,FALSE,"Sheet6"}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ㄱㄷ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ㄱㄷㅅ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ㄷㄷㄷ" hidden="1">{#N/A,#N/A,FALSE,"Aging Summary";#N/A,#N/A,FALSE,"Ratio Analysis";#N/A,#N/A,FALSE,"Test 120 Day Accts";#N/A,#N/A,FALSE,"Tickmarks"}</definedName>
    <definedName name="ㄷㄷㄷㄷ" hidden="1">{"'Sheet1'!$A$1:$H$36"}</definedName>
    <definedName name="ㄷㄷㄷㄷㄷ" hidden="1">{#N/A,#N/A,FALSE,"동부"}</definedName>
    <definedName name="ㄷㄹ" hidden="1">{#N/A,#N/A,FALSE,"UNIT";#N/A,#N/A,FALSE,"UNIT";#N/A,#N/A,FALSE,"계정"}</definedName>
    <definedName name="ㄷㅁ나ㅣ렁" hidden="1">{#N/A,#N/A,TRUE,"대 차 대 조 표"}</definedName>
    <definedName name="ㄷㅁ니아" hidden="1">{#N/A,#N/A,FALSE,"동부"}</definedName>
    <definedName name="ㄷㅇ" hidden="1">{#N/A,#N/A,TRUE,"Y생산";#N/A,#N/A,TRUE,"Y판매";#N/A,#N/A,TRUE,"Y총물량";#N/A,#N/A,TRUE,"Y능력";#N/A,#N/A,TRUE,"YKD"}</definedName>
    <definedName name="ㄷㅇ_1" hidden="1">{#N/A,#N/A,TRUE,"Y생산";#N/A,#N/A,TRUE,"Y판매";#N/A,#N/A,TRUE,"Y총물량";#N/A,#N/A,TRUE,"Y능력";#N/A,#N/A,TRUE,"YKD"}</definedName>
    <definedName name="ㄷㅇㄹ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ㄷㅈㄱㄷㄱ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" hidden="1">{#N/A,#N/A,FALSE,"1.CRITERIA";#N/A,#N/A,FALSE,"2.IS";#N/A,#N/A,FALSE,"3.BS";#N/A,#N/A,FALSE,"4.PER PL";#N/A,#N/A,FALSE,"5.INVESTMENT";#N/A,#N/A,FALSE,"6.공문";#N/A,#N/A,FALSE,"7.netinvest"}</definedName>
    <definedName name="다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단가기준" hidden="1">{#N/A,#N/A,TRUE,"Y생산";#N/A,#N/A,TRUE,"Y판매";#N/A,#N/A,TRUE,"Y총물량";#N/A,#N/A,TRUE,"Y능력";#N/A,#N/A,TRUE,"YKD"}</definedName>
    <definedName name="단가기준_1" hidden="1">{#N/A,#N/A,TRUE,"Y생산";#N/A,#N/A,TRUE,"Y판매";#N/A,#N/A,TRUE,"Y총물량";#N/A,#N/A,TRUE,"Y능력";#N/A,#N/A,TRUE,"YKD"}</definedName>
    <definedName name="단가대" hidden="1">#REF!</definedName>
    <definedName name="단기" hidden="1">{#N/A,#N/A,TRUE,"Y생산";#N/A,#N/A,TRUE,"Y판매";#N/A,#N/A,TRUE,"Y총물량";#N/A,#N/A,TRUE,"Y능력";#N/A,#N/A,TRUE,"YKD"}</definedName>
    <definedName name="단기_1" hidden="1">{#N/A,#N/A,TRUE,"Y생산";#N/A,#N/A,TRUE,"Y판매";#N/A,#N/A,TRUE,"Y총물량";#N/A,#N/A,TRUE,"Y능력";#N/A,#N/A,TRUE,"YKD"}</definedName>
    <definedName name="단기금융상품" hidden="1">#REF!</definedName>
    <definedName name="단기차입금1" hidden="1">'[38]단기차입금(200006)'!#REF!</definedName>
    <definedName name="당초계획" hidden="1">{"'분석(dept)'!$B$23:$K$32"}</definedName>
    <definedName name="대" hidden="1">{#N/A,#N/A,FALSE,"동부"}</definedName>
    <definedName name="대구" hidden="1">{#N/A,#N/A,TRUE,"대 차 대 조 표"}</definedName>
    <definedName name="대구_1" hidden="1">{#N/A,#N/A,TRUE,"대 차 대 조 표"}</definedName>
    <definedName name="대구200203빌딩별임차현황" hidden="1">{#N/A,#N/A,FALSE,"동부"}</definedName>
    <definedName name="대구200207" hidden="1">{#N/A,#N/A,FALSE,"동부"}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대구" hidden="1">{#N/A,#N/A,FALSE,"동부"}</definedName>
    <definedName name="대규모기업집단" hidden="1">{#N/A,#N/A,FALSE,"Aging Summary";#N/A,#N/A,FALSE,"Ratio Analysis";#N/A,#N/A,FALSE,"Test 120 Day Accts";#N/A,#N/A,FALSE,"Tickmarks"}</definedName>
    <definedName name="대련" hidden="1">{#N/A,#N/A,FALSE,"UNIT";#N/A,#N/A,FALSE,"UNIT";#N/A,#N/A,FALSE,"계정"}</definedName>
    <definedName name="대상" hidden="1">{#N/A,#N/A,FALSE,"2~8번"}</definedName>
    <definedName name="대여금" hidden="1">{#N/A,#N/A,FALSE,"이태원철근"}</definedName>
    <definedName name="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123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대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대조표.." hidden="1">#N/A</definedName>
    <definedName name="대책" hidden="1">{"'4월수지'!$A$1:$AE$45"}</definedName>
    <definedName name="대흥" hidden="1">{#N/A,#N/A,TRUE,"대 차 대 조 표"}</definedName>
    <definedName name="대흥_1" hidden="1">{#N/A,#N/A,TRUE,"대 차 대 조 표"}</definedName>
    <definedName name="덕1" hidden="1">{#N/A,#N/A,FALSE,"CCTV"}</definedName>
    <definedName name="도" hidden="1">{#N/A,#N/A,FALSE,"1.CRITERIA";#N/A,#N/A,FALSE,"2.IS";#N/A,#N/A,FALSE,"3.BS";#N/A,#N/A,FALSE,"4.PER PL";#N/A,#N/A,FALSE,"5.INVESTMENT";#N/A,#N/A,FALSE,"6.공문";#N/A,#N/A,FALSE,"7.netinvest"}</definedName>
    <definedName name="도급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용" hidden="1">#REF!</definedName>
    <definedName name="독립기초" hidden="1">{#N/A,#N/A,FALSE,"기안지";#N/A,#N/A,FALSE,"통신지"}</definedName>
    <definedName name="독립기초토공수량산출" hidden="1">{#N/A,#N/A,FALSE,"기안지";#N/A,#N/A,FALSE,"통신지"}</definedName>
    <definedName name="돈다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준" hidden="1">{"'Firr(선)'!$AS$1:$AY$62","'Firr(사)'!$AS$1:$AY$62","'Firr(회)'!$AS$1:$AY$62","'Firr(선)'!$L$1:$V$62","'Firr(사)'!$L$1:$V$62","'Firr(회)'!$L$1:$V$62"}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돼지" hidden="1">{#N/A,#N/A,TRUE,"대 차 대 조 표"}</definedName>
    <definedName name="돼지_1" hidden="1">{#N/A,#N/A,TRUE,"대 차 대 조 표"}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디스플레이업체실적" hidden="1">{"'4월수지'!$A$1:$AE$45"}</definedName>
    <definedName name="ㄹ" hidden="1">{#N/A,#N/A,FALSE,"이태원철근"}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ㄴㅇㄹㄴㄱㄴㅇ" hidden="1">{#N/A,#N/A,FALSE,"지침";#N/A,#N/A,FALSE,"환경분석";#N/A,#N/A,FALSE,"Sheet16"}</definedName>
    <definedName name="ㄹ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ㄹㄷㄹ" hidden="1">{#N/A,#N/A,TRUE,"대 차 대 조 표"}</definedName>
    <definedName name="ㄹㄹㄷㄹ_1" hidden="1">{#N/A,#N/A,TRUE,"대 차 대 조 표"}</definedName>
    <definedName name="ㄹㄹㄹㄹ" hidden="1">{"'Firr(선)'!$AS$1:$AY$62","'Firr(사)'!$AS$1:$AY$62","'Firr(회)'!$AS$1:$AY$62","'Firr(선)'!$L$1:$V$62","'Firr(사)'!$L$1:$V$62","'Firr(회)'!$L$1:$V$62"}</definedName>
    <definedName name="ㄹㄹㄹㄹ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ㄹㅇㄴㄹㅇㄴㅇㄴ" hidden="1">#REF!</definedName>
    <definedName name="ㄹㅇ" hidden="1">{#N/A,#N/A,FALSE,"UNIT";#N/A,#N/A,FALSE,"UNIT";#N/A,#N/A,FALSE,"계정"}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ㄴㄹ" hidden="1">#REF!</definedName>
    <definedName name="ㄹㅇ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ㄹㄴㅇㄹ" hidden="1">#REF!</definedName>
    <definedName name="ㄹㅇㅇㅇㅇ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ㄹㅇㅎ" hidden="1">#REF!</definedName>
    <definedName name="라" hidden="1">{#N/A,#N/A,FALSE,"1.CRITERIA";#N/A,#N/A,FALSE,"2.IS";#N/A,#N/A,FALSE,"3.BS";#N/A,#N/A,FALSE,"4.PER PL";#N/A,#N/A,FALSE,"5.INVESTMENT";#N/A,#N/A,FALSE,"6.공문";#N/A,#N/A,FALSE,"7.netinvest"}</definedName>
    <definedName name="라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머ㅏㅓㄻ" hidden="1">{#N/A,#N/A,FALSE,"buildings"}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랜트롤" hidden="1">{#N/A,#N/A,FALSE,"동부"}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련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류효정" hidden="1">{"'Firr(선)'!$AS$1:$AY$62","'Firr(사)'!$AS$1:$AY$62","'Firr(회)'!$AS$1:$AY$62","'Firr(선)'!$L$1:$V$62","'Firr(사)'!$L$1:$V$62","'Firr(회)'!$L$1:$V$62"}</definedName>
    <definedName name="리비" hidden="1">#REF!</definedName>
    <definedName name="ㄺ" hidden="1">{#N/A,#N/A,FALSE,"Aging Summary";#N/A,#N/A,FALSE,"Ratio Analysis";#N/A,#N/A,FALSE,"Test 120 Day Accts";#N/A,#N/A,FALSE,"Tickmarks"}</definedName>
    <definedName name="ㄺㄹ" hidden="1">{#N/A,#N/A,FALSE,"UNIT";#N/A,#N/A,FALSE,"UNIT";#N/A,#N/A,FALSE,"계정"}</definedName>
    <definedName name="ㅀ" hidden="1">#REF!</definedName>
    <definedName name="ㅀ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ㅇㅀ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" hidden="1">#REF!</definedName>
    <definedName name="ㅁㄴㄹ" hidden="1">{"'BS'!$C$10"}</definedName>
    <definedName name="ㅁㄴㅁㅇ" hidden="1">[39]유림골조!#REF!</definedName>
    <definedName name="ㅁㄴㅇ" hidden="1">{"'BS'!$C$10"}</definedName>
    <definedName name="ㅁㄴ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ㄹ" hidden="1">{#N/A,#N/A,TRUE,"대 차 대 조 표"}</definedName>
    <definedName name="ㅁㄴㅇㄻㄴㅇㄹ" hidden="1">{#N/A,#N/A,FALSE,"동부"}</definedName>
    <definedName name="ㅁㄴㅇㅁㄴㅇ" hidden="1">{#N/A,#N/A,TRUE,"Y생산";#N/A,#N/A,TRUE,"Y판매";#N/A,#N/A,TRUE,"Y총물량";#N/A,#N/A,TRUE,"Y능력";#N/A,#N/A,TRUE,"YKD"}</definedName>
    <definedName name="ㅁㄴㅇㅁㄴㅇ_1" hidden="1">{#N/A,#N/A,TRUE,"Y생산";#N/A,#N/A,TRUE,"Y판매";#N/A,#N/A,TRUE,"Y총물량";#N/A,#N/A,TRUE,"Y능력";#N/A,#N/A,TRUE,"YKD"}</definedName>
    <definedName name="ㅁㄴㅇㅁㄴㅇㅁ" hidden="1">{#N/A,#N/A,TRUE,"Y생산";#N/A,#N/A,TRUE,"Y판매";#N/A,#N/A,TRUE,"Y총물량";#N/A,#N/A,TRUE,"Y능력";#N/A,#N/A,TRUE,"YKD"}</definedName>
    <definedName name="ㅁㄴㅇㅁㄴㅇㅁ_1" hidden="1">{#N/A,#N/A,TRUE,"Y생산";#N/A,#N/A,TRUE,"Y판매";#N/A,#N/A,TRUE,"Y총물량";#N/A,#N/A,TRUE,"Y능력";#N/A,#N/A,TRUE,"YKD"}</definedName>
    <definedName name="ㅁㄴㅇㅎㅎ" hidden="1">#REF!</definedName>
    <definedName name="ㅁㄴ아ㅓ" hidden="1">{#N/A,#N/A,FALSE,"동부"}</definedName>
    <definedName name="ㅁ나얼1" hidden="1">{#N/A,#N/A,FALSE,"이력서&amp;자기소개서"}</definedName>
    <definedName name="ㅁ낭러" hidden="1">{"'Sheet1'!$E$7"}</definedName>
    <definedName name="ㅁ너ㅏㅇ레" hidden="1">{"YTD/Forecast",#N/A,TRUE,"Fcst_TPLN";"Monthly Averages",#N/A,TRUE,"Fcst_TPLN"}</definedName>
    <definedName name="ㅁ다ㅓㄹ" hidden="1">{#N/A,#N/A,FALSE,"동부"}</definedName>
    <definedName name="ㅁㅁ" hidden="1">{#N/A,#N/A,FALSE,"이태원철근"}</definedName>
    <definedName name="ㅁㅁㅁ" hidden="1">{#N/A,#N/A,FALSE,"지침";#N/A,#N/A,FALSE,"환경분석";#N/A,#N/A,FALSE,"Sheet16"}</definedName>
    <definedName name="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ㅁㅁㅁ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ㄻㄴㅇㄹ" hidden="1">#REF!</definedName>
    <definedName name="ㅁㅇ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" hidden="1">{#N/A,#N/A,FALSE,"97년 투자계획 세부내역 "}</definedName>
    <definedName name="마감공사비A3" hidden="1">[40]유림골조!#REF!</definedName>
    <definedName name="마더람ㄹ" hidden="1">{#N/A,#N/A,FALSE,"동부"}</definedName>
    <definedName name="마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련" hidden="1">#REF!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마처랖먿" hidden="1">{#N/A,#N/A,FALSE,"이력서&amp;자기소개서"}</definedName>
    <definedName name="마첲" hidden="1">{#N/A,#N/A,FALSE,"Aging Summary";#N/A,#N/A,FALSE,"Ratio Analysis";#N/A,#N/A,FALSE,"Test 120 Day Accts";#N/A,#N/A,FALSE,"Tickmarks"}</definedName>
    <definedName name="마ㅓㄷㄹ마덜" hidden="1">{#N/A,#N/A,FALSE,"original";#N/A,#N/A,FALSE,"boiler";#N/A,#N/A,FALSE,"burner";#N/A,#N/A,FALSE,"absorbtion unit"}</definedName>
    <definedName name="마ㅓㄷㄹ마ㅓ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마ㅓ앞" hidden="1">{#N/A,#N/A,FALSE,"동부"}</definedName>
    <definedName name="마ㅓㅍㅁㄴ" hidden="1">{#N/A,#N/A,FALSE,"동부"}</definedName>
    <definedName name="말더마ㅓㄹㄷ" hidden="1">{#N/A,#N/A,FALSE,"Aging Summary";#N/A,#N/A,FALSE,"Ratio Analysis";#N/A,#N/A,FALSE,"Test 120 Day Accts";#N/A,#N/A,FALSE,"Tickmarks"}</definedName>
    <definedName name="매" hidden="1">{#N/A,#N/A,FALSE,"1.CRITERIA";#N/A,#N/A,FALSE,"2.IS";#N/A,#N/A,FALSE,"3.BS";#N/A,#N/A,FALSE,"4.PER PL";#N/A,#N/A,FALSE,"5.INVESTMENT";#N/A,#N/A,FALSE,"6.공문";#N/A,#N/A,FALSE,"7.netinvest"}</definedName>
    <definedName name="매롱" hidden="1">{#N/A,#N/A,FALSE,"동부"}</definedName>
    <definedName name="매원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" hidden="1">'[41]업무분장 '!$F$45</definedName>
    <definedName name="매출1" hidden="1">#REF!</definedName>
    <definedName name="매출10월1" hidden="1">{"'분석(dept)'!$B$23:$K$32"}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toc" hidden="1">'[41]업무분장 '!$F$45</definedName>
    <definedName name="매출계획" hidden="1">{#N/A,#N/A,FALSE,"UNIT";#N/A,#N/A,FALSE,"UNIT";#N/A,#N/A,FALSE,"계정"}</definedName>
    <definedName name="매출반기" hidden="1">{#N/A,#N/A,FALSE,"Brad_DCFM";#N/A,#N/A,FALSE,"Nick_DCFM";#N/A,#N/A,FALSE,"Mobile_DCFM"}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메롱" hidden="1">{#N/A,#N/A,FALSE,"동부"}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名称" hidden="1">{"'科目汇总表  '!$A$1:$G$38"}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형자산" hidden="1">{#N/A,#N/A,FALSE,"Aging Summary";#N/A,#N/A,FALSE,"Ratio Analysis";#N/A,#N/A,FALSE,"Test 120 Day Accts";#N/A,#N/A,FALSE,"Tickmarks"}</definedName>
    <definedName name="무환수입200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물" hidden="1">{#N/A,#N/A,FALSE,"이태원철근"}</definedName>
    <definedName name="물가" hidden="1">{#N/A,#N/A,FALSE,"이태원철근"}</definedName>
    <definedName name="물랴자" hidden="1">{#N/A,#N/A,TRUE,"Y생산";#N/A,#N/A,TRUE,"Y판매";#N/A,#N/A,TRUE,"Y총물량";#N/A,#N/A,TRUE,"Y능력";#N/A,#N/A,TRUE,"YKD"}</definedName>
    <definedName name="물랴자_1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_1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_1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1_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수정2_1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정_1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량조정_1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물수_1" hidden="1">{#N/A,#N/A,TRUE,"Y생산";#N/A,#N/A,TRUE,"Y판매";#N/A,#N/A,TRUE,"Y총물량";#N/A,#N/A,TRUE,"Y능력";#N/A,#N/A,TRUE,"YKD"}</definedName>
    <definedName name="뭐가이태원이야" hidden="1">{#N/A,#N/A,FALSE,"이태원철근"}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뮬소" hidden="1">{#N/A,#N/A,TRUE,"Y생산";#N/A,#N/A,TRUE,"Y판매";#N/A,#N/A,TRUE,"Y총물량";#N/A,#N/A,TRUE,"Y능력";#N/A,#N/A,TRUE,"YKD"}</definedName>
    <definedName name="뮬소_1" hidden="1">{#N/A,#N/A,TRUE,"Y생산";#N/A,#N/A,TRUE,"Y판매";#N/A,#N/A,TRUE,"Y총물량";#N/A,#N/A,TRUE,"Y능력";#N/A,#N/A,TRUE,"YKD"}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수이자1" hidden="1">#N/A</definedName>
    <definedName name="미지" hidden="1">{#N/A,#N/A,FALSE,"UNIT";#N/A,#N/A,FALSE,"UNIT";#N/A,#N/A,FALSE,"계정"}</definedName>
    <definedName name="미지급명세" hidden="1">{"'보고양식'!$A$58:$K$111"}</definedName>
    <definedName name="미화" hidden="1">{#N/A,#N/A,FALSE,"이력서&amp;자기소개서"}</definedName>
    <definedName name="미화_1" hidden="1">{#N/A,#N/A,FALSE,"이력서&amp;자기소개서"}</definedName>
    <definedName name="미화2" hidden="1">{#N/A,#N/A,FALSE,"이력서&amp;자기소개서"}</definedName>
    <definedName name="미화2_1" hidden="1">{#N/A,#N/A,FALSE,"이력서&amp;자기소개서"}</definedName>
    <definedName name="민감" hidden="1">{#N/A,#N/A,TRUE,"대 차 대 조 표"}</definedName>
    <definedName name="민감도" hidden="1">#REF!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" hidden="1">{#N/A,#N/A,FALSE,"이태원철근"}</definedName>
    <definedName name="ㅂㅂ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" hidden="1">#REF!,#REF!,#REF!,#REF!</definedName>
    <definedName name="ㅂㅈㄷㄱㅂ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ㄷㄱㄱ" hidden="1">{#N/A,#N/A,FALSE,"UNIT";#N/A,#N/A,FALSE,"UNIT";#N/A,#N/A,FALSE,"계정"}</definedName>
    <definedName name="바" hidden="1">{#N/A,#N/A,FALSE,"1.CRITERIA";#N/A,#N/A,FALSE,"2.IS";#N/A,#N/A,FALSE,"3.BS";#N/A,#N/A,FALSE,"4.PER PL";#N/A,#N/A,FALSE,"5.INVESTMENT";#N/A,#N/A,FALSE,"6.공문";#N/A,#N/A,FALSE,"7.netinvest"}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hidden="1">{#N/A,#N/A,TRUE,"Y생산";#N/A,#N/A,TRUE,"Y판매";#N/A,#N/A,TRUE,"Y총물량";#N/A,#N/A,TRUE,"Y능력";#N/A,#N/A,TRUE,"YKD"}</definedName>
    <definedName name="바바라_1" hidden="1">{#N/A,#N/A,TRUE,"Y생산";#N/A,#N/A,TRUE,"Y판매";#N/A,#N/A,TRUE,"Y총물량";#N/A,#N/A,TRUE,"Y능력";#N/A,#N/A,TRUE,"YKD"}</definedName>
    <definedName name="바보" hidden="1">{#N/A,#N/A,FALSE,"Aging Summary";#N/A,#N/A,FALSE,"Ratio Analysis";#N/A,#N/A,FALSE,"Test 120 Day Accts";#N/A,#N/A,FALSE,"Tickmarks"}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바ㅓㄴㅇ" hidden="1">{#N/A,#N/A,FALSE,"동부"}</definedName>
    <definedName name="박" hidden="1">{#N/A,#N/A,FALSE,"1.CRITERIA";#N/A,#N/A,FALSE,"2.IS";#N/A,#N/A,FALSE,"3.BS";#N/A,#N/A,FALSE,"4.PER PL";#N/A,#N/A,FALSE,"5.INVESTMENT";#N/A,#N/A,FALSE,"6.공문";#N/A,#N/A,FALSE,"7.netinvest"}</definedName>
    <definedName name="박_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경원" hidden="1">{#N/A,#N/A,FALSE,"1.CRITERIA";#N/A,#N/A,FALSE,"2.IS";#N/A,#N/A,FALSE,"3.BS";#N/A,#N/A,FALSE,"4.PER PL";#N/A,#N/A,FALSE,"5.INVESTMENT";#N/A,#N/A,FALSE,"6.공문";#N/A,#N/A,FALSE,"7.netinvest"}</definedName>
    <definedName name="반품내역" hidden="1">#REF!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配賦" hidden="1">#REF!</definedName>
    <definedName name="배분전" hidden="1">{#N/A,#N/A,TRUE,"대 차 대 조 표"}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법과표조정_2004분기_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법인세주석사항정리" hidden="1">{#N/A,#N/A,FALSE,"UNIT";#N/A,#N/A,FALSE,"UNIT";#N/A,#N/A,FALSE,"계정"}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별지6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" hidden="1">{#N/A,#N/A,FALSE,"1.CRITERIA";#N/A,#N/A,FALSE,"2.IS";#N/A,#N/A,FALSE,"3.BS";#N/A,#N/A,FALSE,"4.PER PL";#N/A,#N/A,FALSE,"5.INVESTMENT";#N/A,#N/A,FALSE,"6.공문";#N/A,#N/A,FALSE,"7.netinvest"}</definedName>
    <definedName name="보고" hidden="1">{#N/A,#N/A,FALSE,"UNIT";#N/A,#N/A,FALSE,"UNIT";#N/A,#N/A,FALSE,"계정"}</definedName>
    <definedName name="보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기준" hidden="1">{#N/A,#N/A,FALSE,"UNIT";#N/A,#N/A,FALSE,"UNIT";#N/A,#N/A,FALSE,"계정"}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증금" hidden="1">{"'BS'!$C$10"}</definedName>
    <definedName name="보할" hidden="1">{#N/A,#N/A,FALSE,"이태원철근"}</definedName>
    <definedName name="보할공정률매출투입취하" hidden="1">{#N/A,#N/A,FALSE,"이태원철근"}</definedName>
    <definedName name="보활공정" hidden="1">{#N/A,#N/A,FALSE,"이태원철근"}</definedName>
    <definedName name="복사" hidden="1">{#N/A,#N/A,FALSE,"이태원철근"}</definedName>
    <definedName name="본사" hidden="1">{#N/A,#N/A,FALSE,"1.CRITERIA";#N/A,#N/A,FALSE,"2.IS";#N/A,#N/A,FALSE,"3.BS";#N/A,#N/A,FALSE,"4.PER PL";#N/A,#N/A,FALSE,"5.INVESTMENT";#N/A,#N/A,FALSE,"6.공문";#N/A,#N/A,FALSE,"7.netinvest"}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봐" hidden="1">{#N/A,#N/A,FALSE,"1.CRITERIA";#N/A,#N/A,FALSE,"2.IS";#N/A,#N/A,FALSE,"3.BS";#N/A,#N/A,FALSE,"4.PER PL";#N/A,#N/A,FALSE,"5.INVESTMENT";#N/A,#N/A,FALSE,"6.공문";#N/A,#N/A,FALSE,"7.netinvest"}</definedName>
    <definedName name="부대건축2" hidden="1">#REF!</definedName>
    <definedName name="부대원본" hidden="1">{#N/A,#N/A,FALSE,"토공2"}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속" hidden="1">#N/A</definedName>
    <definedName name="부자재123" hidden="1">{"'Sheet1'!$A$1:$H$36"}</definedName>
    <definedName name="분" hidden="1">{#N/A,#N/A,FALSE,"이태원철근"}</definedName>
    <definedName name="분기별" hidden="1">{#N/A,#N/A,TRUE,"Y생산";#N/A,#N/A,TRUE,"Y판매";#N/A,#N/A,TRUE,"Y총물량";#N/A,#N/A,TRUE,"Y능력";#N/A,#N/A,TRUE,"YKD"}</definedName>
    <definedName name="분기별_1" hidden="1">{#N/A,#N/A,TRUE,"Y생산";#N/A,#N/A,TRUE,"Y판매";#N/A,#N/A,TRUE,"Y총물량";#N/A,#N/A,TRUE,"Y능력";#N/A,#N/A,TRUE,"YKD"}</definedName>
    <definedName name="분당" hidden="1">{"YTD/Forecast",#N/A,TRUE,"Fcst_TPLN";"Monthly Averages",#N/A,TRUE,"Fcst_TPLN"}</definedName>
    <definedName name="분당공" hidden="1">[42]Sheet4!$A$58:$A$97</definedName>
    <definedName name="분당물가" hidden="1">[7]Sheet4!$F$58:$F$73</definedName>
    <definedName name="분당코아" hidden="1">[43]마산월령동골조물량변경!$F$58:$F$73</definedName>
    <definedName name="분당협조" hidden="1">{#N/A,#N/A,FALSE,"이태원철근"}</definedName>
    <definedName name="분석" hidden="1">{"YTD/Forecast",#N/A,TRUE,"Fcst_TPLN";"Monthly Averages",#N/A,TRUE,"Fcst_TPLN"}</definedName>
    <definedName name="분석2" hidden="1">{"YTD/Forecast",#N/A,TRUE,"Fcst_TPLN";"Monthly Averages",#N/A,TRUE,"Fcst_TPLN"}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" hidden="1">{#N/A,#N/A,FALSE,"이태원철근"}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비" hidden="1">{#N/A,#N/A,FALSE,"동부"}</definedName>
    <definedName name="비과세" hidden="1">#REF!</definedName>
    <definedName name="비교" hidden="1">{#N/A,#N/A,FALSE,"이력서&amp;자기소개서"}</definedName>
    <definedName name="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2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목표" hidden="1">{#N/A,#N/A,FALSE,"제목"}</definedName>
    <definedName name="빌" hidden="1">{#N/A,#N/A,FALSE,"동부"}</definedName>
    <definedName name="빌딩" hidden="1">{#N/A,#N/A,FALSE,"동부"}</definedName>
    <definedName name="빌딩2" hidden="1">{#N/A,#N/A,FALSE,"동부"}</definedName>
    <definedName name="빌딩3" hidden="1">{#N/A,#N/A,FALSE,"동부"}</definedName>
    <definedName name="빌딩별2" hidden="1">{#N/A,#N/A,FALSE,"동부"}</definedName>
    <definedName name="빌딩별강남" hidden="1">{#N/A,#N/A,FALSE,"동부"}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ㅅ" hidden="1">{#N/A,#N/A,FALSE,"이태원철근"}</definedName>
    <definedName name="ㅅㄱㄱ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" hidden="1">{"'Sheet1'!$A$1:$H$36"}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ㅅ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ㅗ" hidden="1">#REF!</definedName>
    <definedName name="사" hidden="1">{#N/A,#N/A,FALSE,"지침";#N/A,#N/A,FALSE,"환경분석";#N/A,#N/A,FALSE,"Sheet16"}</definedName>
    <definedName name="사1" hidden="1">{#N/A,#N/A,FALSE,"지침";#N/A,#N/A,FALSE,"환경분석";#N/A,#N/A,FALSE,"Sheet16"}</definedName>
    <definedName name="사랑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랑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사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사진" hidden="1">#REF!</definedName>
    <definedName name="사업" hidden="1">{#N/A,#N/A,FALSE,"이태원철근"}</definedName>
    <definedName name="사업추진변경내역" hidden="1">{#N/A,#N/A,FALSE,"이태원철근"}</definedName>
    <definedName name="사업활성" hidden="1">{#N/A,#N/A,FALSE,"UNIT";#N/A,#N/A,FALSE,"UNIT";#N/A,#N/A,FALSE,"계정"}</definedName>
    <definedName name="사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채" hidden="1">#REF!</definedName>
    <definedName name="산출근거" hidden="1">#REF!</definedName>
    <definedName name="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각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국" hidden="1">{"'Sheet1'!$A$1:$H$36"}</definedName>
    <definedName name="상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품" hidden="1">#REF!</definedName>
    <definedName name="새공통" hidden="1">{#N/A,#N/A,FALSE,"이태원철근"}</definedName>
    <definedName name="새로운이름" hidden="1">{#N/A,#N/A,FALSE,"UNIT";#N/A,#N/A,FALSE,"UNIT";#N/A,#N/A,FALSE,"계정"}</definedName>
    <definedName name="샘플" hidden="1">{#N/A,#N/A,FALSE,"이태원철근"}</definedName>
    <definedName name="생" hidden="1">#REF!</definedName>
    <definedName name="생산1" hidden="1">#REF!</definedName>
    <definedName name="서브" hidden="1">{"'분석(dept)'!$B$23:$K$32"}</definedName>
    <definedName name="서비스임대" hidden="1">#REF!</definedName>
    <definedName name="서영태" hidden="1">{#N/A,#N/A,TRUE,"Y생산";#N/A,#N/A,TRUE,"Y판매";#N/A,#N/A,TRUE,"Y총물량";#N/A,#N/A,TRUE,"Y능력";#N/A,#N/A,TRUE,"YKD"}</definedName>
    <definedName name="서영태_1" hidden="1">{#N/A,#N/A,TRUE,"Y생산";#N/A,#N/A,TRUE,"Y판매";#N/A,#N/A,TRUE,"Y총물량";#N/A,#N/A,TRUE,"Y능력";#N/A,#N/A,TRUE,"YKD"}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초" hidden="1">{#N/A,#N/A,TRUE,"대 차 대 조 표"}</definedName>
    <definedName name="서초_1" hidden="1">{#N/A,#N/A,TRUE,"대 차 대 조 표"}</definedName>
    <definedName name="서초2" hidden="1">{#N/A,#N/A,TRUE,"대 차 대 조 표"}</definedName>
    <definedName name="서초2_1" hidden="1">{#N/A,#N/A,TRUE,"대 차 대 조 표"}</definedName>
    <definedName name="서초해동" hidden="1">{#N/A,#N/A,TRUE,"대 차 대 조 표"}</definedName>
    <definedName name="서초해동_1" hidden="1">{#N/A,#N/A,TRUE,"대 차 대 조 표"}</definedName>
    <definedName name="선경" hidden="1">{#N/A,#N/A,FALSE,"UNIT";#N/A,#N/A,FALSE,"UNIT";#N/A,#N/A,FALSE,"계정"}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설계2팀" hidden="1">{#N/A,#N/A,FALSE,"UNIT";#N/A,#N/A,FALSE,"UNIT";#N/A,#N/A,FALSE,"계정"}</definedName>
    <definedName name="설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비" hidden="1">{#N/A,#N/A,FALSE,"이태원철근"}</definedName>
    <definedName name="성" hidden="1">{#N/A,#N/A,FALSE,"UNIT";#N/A,#N/A,FALSE,"UNIT";#N/A,#N/A,FALSE,"계정"}</definedName>
    <definedName name="세부내역서1" hidden="1">{#N/A,#N/A,TRUE,"대 차 대 조 표"}</definedName>
    <definedName name="세전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금액" hidden="1">{#N/A,#N/A,FALSE,"UNIT";#N/A,#N/A,FALSE,"UNIT";#N/A,#N/A,FALSE,"계정"}</definedName>
    <definedName name="소득금액2000" hidden="1">{#N/A,#N/A,FALSE,"UNIT";#N/A,#N/A,FALSE,"UNIT";#N/A,#N/A,FALSE,"계정"}</definedName>
    <definedName name="소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화갑지" hidden="1">{#N/A,#N/A,FALSE,"CCTV"}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hidden="1">{#N/A,#N/A,FALSE,"UNIT";#N/A,#N/A,FALSE,"UNIT";#N/A,#N/A,FALSE,"계정"}</definedName>
    <definedName name="손익계산" hidden="1">{#N/A,#N/A,TRUE,"대 차 대 조 표"}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변경" hidden="1">{#N/A,#N/A,FALSE,"지침";#N/A,#N/A,FALSE,"환경분석";#N/A,#N/A,FALSE,"Sheet16"}</definedName>
    <definedName name="손익예상" hidden="1">{#N/A,#N/A,FALSE,"UNIT";#N/A,#N/A,FALSE,"UNIT";#N/A,#N/A,FALSE,"계정"}</definedName>
    <definedName name="솔" hidden="1">{#N/A,#N/A,TRUE,"대 차 대 조 표"}</definedName>
    <definedName name="솔_1" hidden="1">{#N/A,#N/A,TRUE,"대 차 대 조 표"}</definedName>
    <definedName name="쇽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쇽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ㄳ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광비" hidden="1">{#N/A,#N/A,FALSE,"동부"}</definedName>
    <definedName name="수광비실적" hidden="1">#REF!</definedName>
    <definedName name="수급모델" hidden="1">{"'4월수지'!$A$1:$AE$45"}</definedName>
    <definedName name="수도" hidden="1">{#N/A,#N/A,FALSE,"동부"}</definedName>
    <definedName name="수용" hidden="1">#REF!</definedName>
    <definedName name="수원" hidden="1">{"YTD/Forecast",#N/A,TRUE,"Fcst_TPLN";"Monthly Averages",#N/A,TRUE,"Fcst_TPLN"}</definedName>
    <definedName name="수익" hidden="1">#REF!</definedName>
    <definedName name="수익비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추정" hidden="1">{#N/A,#N/A,TRUE,"대 차 대 조 표"}</definedName>
    <definedName name="수입" hidden="1">{#N/A,#N/A,TRUE,"대 차 대 조 표"}</definedName>
    <definedName name="수입추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" hidden="1">{"'Sheet1'!$A$1:$H$36"}</definedName>
    <definedName name="수정물량" hidden="1">{#N/A,#N/A,TRUE,"Y생산";#N/A,#N/A,TRUE,"Y판매";#N/A,#N/A,TRUE,"Y총물량";#N/A,#N/A,TRUE,"Y능력";#N/A,#N/A,TRUE,"YKD"}</definedName>
    <definedName name="수정물량_1" hidden="1">{#N/A,#N/A,TRUE,"Y생산";#N/A,#N/A,TRUE,"Y판매";#N/A,#N/A,TRUE,"Y총물량";#N/A,#N/A,TRUE,"Y능력";#N/A,#N/A,TRUE,"YKD"}</definedName>
    <definedName name="수정사항집계표" hidden="1">[44]상품입고집계!#REF!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범" hidden="1">{#N/A,#N/A,FALSE,"이태원철근"}</definedName>
    <definedName name="시행" hidden="1">{#N/A,#N/A,FALSE,"이태원철근"}</definedName>
    <definedName name="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장" hidden="1">{"'분석(dept)'!$B$23:$K$32"}</definedName>
    <definedName name="신재점" hidden="1">{#N/A,#N/A,FALSE,"이태원철근"}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제급여" hidden="1">{#N/A,#N/A,TRUE,"대 차 대 조 표"}</definedName>
    <definedName name="실제급여_1" hidden="1">{#N/A,#N/A,TRUE,"대 차 대 조 표"}</definedName>
    <definedName name="씨엔에이치" hidden="1">{#N/A,#N/A,TRUE,"대 차 대 조 표"}</definedName>
    <definedName name="씨엔에이치_1" hidden="1">{#N/A,#N/A,TRUE,"대 차 대 조 표"}</definedName>
    <definedName name="ㅇ" hidden="1">{#N/A,#N/A,FALSE,"동부"}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ㄹ" hidden="1">{"'BS'!$C$10"}</definedName>
    <definedName name="ㅇㄴㄹ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라" hidden="1">{#N/A,#N/A,TRUE,"대 차 대 조 표"}</definedName>
    <definedName name="ㅇㄴㄻㄴㅇㄹ" hidden="1">{#N/A,#N/A,TRUE,"Y생산";#N/A,#N/A,TRUE,"Y판매";#N/A,#N/A,TRUE,"Y총물량";#N/A,#N/A,TRUE,"Y능력";#N/A,#N/A,TRUE,"YKD"}</definedName>
    <definedName name="ㅇㄴㄻㄴㅇㄹ_1" hidden="1">{#N/A,#N/A,TRUE,"Y생산";#N/A,#N/A,TRUE,"Y판매";#N/A,#N/A,TRUE,"Y총물량";#N/A,#N/A,TRUE,"Y능력";#N/A,#N/A,TRUE,"YKD"}</definedName>
    <definedName name="ㅇㄴ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ㅀ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ㅇㄹㄴㅇ" hidden="1">{#N/A,#N/A,TRUE,"Y생산";#N/A,#N/A,TRUE,"Y판매";#N/A,#N/A,TRUE,"Y총물량";#N/A,#N/A,TRUE,"Y능력";#N/A,#N/A,TRUE,"YKD"}</definedName>
    <definedName name="ㅇㄴㅇㄹㄴㅇ_1" hidden="1">{#N/A,#N/A,TRUE,"Y생산";#N/A,#N/A,TRUE,"Y판매";#N/A,#N/A,TRUE,"Y총물량";#N/A,#N/A,TRUE,"Y능력";#N/A,#N/A,TRUE,"YKD"}</definedName>
    <definedName name="ㅇㄴㅇㅇ" hidden="1">{#N/A,#N/A,FALSE,"UNIT";#N/A,#N/A,FALSE,"UNIT";#N/A,#N/A,FALSE,"계정"}</definedName>
    <definedName name="ㅇ나ㅓㅗ랑" hidden="1">{#N/A,#N/A,FALSE,"동부"}</definedName>
    <definedName name="ㅇㄷ" hidden="1">{#N/A,#N/A,FALSE,"Aging Summary";#N/A,#N/A,FALSE,"Ratio Analysis";#N/A,#N/A,FALSE,"Test 120 Day Accts";#N/A,#N/A,FALSE,"Tickmarks"}</definedName>
    <definedName name="ㅇㄹㄴ" hidden="1">{#N/A,#N/A,FALSE,"97년 투자계획 세부내역 "}</definedName>
    <definedName name="ㅇㄹㄴㅇㄹ" hidden="1">{#N/A,#N/A,TRUE,"Y생산";#N/A,#N/A,TRUE,"Y판매";#N/A,#N/A,TRUE,"Y총물량";#N/A,#N/A,TRUE,"Y능력";#N/A,#N/A,TRUE,"YKD"}</definedName>
    <definedName name="ㅇㄹㄴㅇㄹ_1" hidden="1">{#N/A,#N/A,TRUE,"Y생산";#N/A,#N/A,TRUE,"Y판매";#N/A,#N/A,TRUE,"Y총물량";#N/A,#N/A,TRUE,"Y능력";#N/A,#N/A,TRUE,"YKD"}</definedName>
    <definedName name="ㅇㄹㄹ" hidden="1">#REF!</definedName>
    <definedName name="ㅇ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ㄴㄹ" hidden="1">{#N/A,#N/A,TRUE,"Y생산";#N/A,#N/A,TRUE,"Y판매";#N/A,#N/A,TRUE,"Y총물량";#N/A,#N/A,TRUE,"Y능력";#N/A,#N/A,TRUE,"YKD"}</definedName>
    <definedName name="ㅇㄹㅇㄴㄹ_1" hidden="1">{#N/A,#N/A,TRUE,"Y생산";#N/A,#N/A,TRUE,"Y판매";#N/A,#N/A,TRUE,"Y총물량";#N/A,#N/A,TRUE,"Y능력";#N/A,#N/A,TRUE,"YKD"}</definedName>
    <definedName name="ㅇㄹㅇ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" hidden="1">{#N/A,#N/A,TRUE,"Y생산";#N/A,#N/A,TRUE,"Y판매";#N/A,#N/A,TRUE,"Y총물량";#N/A,#N/A,TRUE,"Y능력";#N/A,#N/A,TRUE,"YKD"}</definedName>
    <definedName name="ㅇㄹㅇㄹ_1" hidden="1">{#N/A,#N/A,TRUE,"Y생산";#N/A,#N/A,TRUE,"Y판매";#N/A,#N/A,TRUE,"Y총물량";#N/A,#N/A,TRUE,"Y능력";#N/A,#N/A,TRUE,"YKD"}</definedName>
    <definedName name="ㅇㄹㅇㄹ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ㅇㄹㅇㄹㅇㄹㅇㄹㅇㄹ" hidden="1">{#N/A,#N/A,FALSE,"이력서&amp;자기소개서"}</definedName>
    <definedName name="ㅇ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로호ㅓ" hidden="1">#REF!</definedName>
    <definedName name="ㅇ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ㄺ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ㄹ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" hidden="1">{#N/A,#N/A,TRUE,"대 차 대 조 표"}</definedName>
    <definedName name="ㅇㅇㅇ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" hidden="1">{#N/A,#N/A,TRUE,"대 차 대 조 표"}</definedName>
    <definedName name="ㅇㅇㅇㅇㅇ_1" hidden="1">{#N/A,#N/A,TRUE,"대 차 대 조 표"}</definedName>
    <definedName name="ㅇㅇㅇㅇㅇㅇ" hidden="1">{#N/A,#N/A,FALSE,"지침";#N/A,#N/A,FALSE,"환경분석";#N/A,#N/A,FALSE,"Sheet16"}</definedName>
    <definedName name="ㅇㅇㅇㅇㅇㅇㅇㅇㅇㅇㅇ" hidden="1">{#N/A,#N/A,TRUE,"Y생산";#N/A,#N/A,TRUE,"Y판매";#N/A,#N/A,TRUE,"Y총물량";#N/A,#N/A,TRUE,"Y능력";#N/A,#N/A,TRUE,"YKD"}</definedName>
    <definedName name="ㅇㅇㅇㅇㅇㅇㅇㅇㅇㅇㅇ_1" hidden="1">{#N/A,#N/A,TRUE,"Y생산";#N/A,#N/A,TRUE,"Y판매";#N/A,#N/A,TRUE,"Y총물량";#N/A,#N/A,TRUE,"Y능력";#N/A,#N/A,TRUE,"YKD"}</definedName>
    <definedName name="ㅇㅇ이ㅏ읾" hidden="1">{#N/A,#N/A,FALSE,"1.CRITERIA";#N/A,#N/A,FALSE,"2.IS";#N/A,#N/A,FALSE,"3.BS";#N/A,#N/A,FALSE,"4.PER PL";#N/A,#N/A,FALSE,"5.INVESTMENT";#N/A,#N/A,FALSE,"6.공문";#N/A,#N/A,FALSE,"7.netinvest"}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ㅎㅁ" hidden="1">{#N/A,#N/A,FALSE,"97년 투자계획 세부내역 "}</definedName>
    <definedName name="아" hidden="1">{#N/A,#N/A,FALSE,"1.CRITERIA";#N/A,#N/A,FALSE,"2.IS";#N/A,#N/A,FALSE,"3.BS";#N/A,#N/A,FALSE,"4.PER PL";#N/A,#N/A,FALSE,"5.INVESTMENT";#N/A,#N/A,FALSE,"6.공문";#N/A,#N/A,FALSE,"7.netinvest"}</definedName>
    <definedName name="아그우" hidden="1">{#N/A,#N/A,FALSE,"지침";#N/A,#N/A,FALSE,"환경분석";#N/A,#N/A,FALSE,"Sheet16"}</definedName>
    <definedName name="아름" hidden="1">{#N/A,#N/A,FALSE,"이태원철근"}</definedName>
    <definedName name="아마도" hidden="1">{#N/A,#N/A,FALSE,"97년 투자계획 세부내역 "}</definedName>
    <definedName name="아무거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조하아" hidden="1">{#N/A,#N/A,FALSE,"UNIT";#N/A,#N/A,FALSE,"UNIT";#N/A,#N/A,FALSE,"계정"}</definedName>
    <definedName name="아ㅏ아아아아아" hidden="1">{#N/A,#N/A,FALSE,"UNIT";#N/A,#N/A,FALSE,"UNIT";#N/A,#N/A,FALSE,"계정"}</definedName>
    <definedName name="아ㅏㅏ" hidden="1">#REF!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ㄹ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ㅓㅁ라더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ㅓㅂ" hidden="1">{#N/A,#N/A,TRUE,"대 차 대 조 표"}</definedName>
    <definedName name="아ㅓ파ㅓ" hidden="1">{#N/A,#N/A,TRUE,"대 차 대 조 표"}</definedName>
    <definedName name="안" hidden="1">[45]공통!$F$45</definedName>
    <definedName name="안건" hidden="1">{#N/A,#N/A,FALSE,"BS";#N/A,#N/A,FALSE,"PL";#N/A,#N/A,FALSE,"처분";#N/A,#N/A,FALSE,"현금";#N/A,#N/A,FALSE,"매출";#N/A,#N/A,FALSE,"원가";#N/A,#N/A,FALSE,"경영"}</definedName>
    <definedName name="안내" hidden="1">{#N/A,#N/A,FALSE,"이태원철근"}</definedName>
    <definedName name="안범기" hidden="1">{#N/A,#N/A,TRUE,"대 차 대 조 표"}</definedName>
    <definedName name="안양현대" hidden="1">{#N/A,#N/A,FALSE,"이태원철근"}</definedName>
    <definedName name="알" hidden="1">{"YTD/Forecast",#N/A,TRUE,"Fcst_TPLN";"Monthly Averages",#N/A,TRUE,"Fcst_TPLN"}</definedName>
    <definedName name="알짇" hidden="1">{#N/A,#N/A,FALSE,"Aging Summary";#N/A,#N/A,FALSE,"Ratio Analysis";#N/A,#N/A,FALSE,"Test 120 Day Accts";#N/A,#N/A,FALSE,"Tickmarks"}</definedName>
    <definedName name="암사" hidden="1">{#N/A,#N/A,TRUE,"대 차 대 조 표"}</definedName>
    <definedName name="암사_1" hidden="1">{#N/A,#N/A,TRUE,"대 차 대 조 표"}</definedName>
    <definedName name="앙" hidden="1">{#N/A,#N/A,FALSE,"이력서&amp;자기소개서"}</definedName>
    <definedName name="앙_1" hidden="1">{#N/A,#N/A,FALSE,"BS";#N/A,#N/A,FALSE,"PL";#N/A,#N/A,FALSE,"처분";#N/A,#N/A,FALSE,"현금";#N/A,#N/A,FALSE,"매출";#N/A,#N/A,FALSE,"원가";#N/A,#N/A,FALSE,"경영"}</definedName>
    <definedName name="야탑" hidden="1">{"YTD/Forecast",#N/A,TRUE,"Fcst_TPLN";"Monthly Averages",#N/A,TRUE,"Fcst_TPLN"}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식" hidden="1">{#N/A,#N/A,FALSE,"이태원철근"}</definedName>
    <definedName name="양중계획" hidden="1">{#N/A,#N/A,FALSE,"이태원철근"}</definedName>
    <definedName name="어떻하지" hidden="1">'[47]한일자야(감액손실) (2)'!$E:$E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음차입금" hidden="1">#REF!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무" hidden="1">{#N/A,#N/A,TRUE,"대 차 대 조 표"}</definedName>
    <definedName name="업무_1" hidden="1">{#N/A,#N/A,TRUE,"대 차 대 조 표"}</definedName>
    <definedName name="업무계획표" hidden="1">{#N/A,#N/A,TRUE,"대 차 대 조 표"}</definedName>
    <definedName name="업무계획표_1" hidden="1">{#N/A,#N/A,TRUE,"대 차 대 조 표"}</definedName>
    <definedName name="업무계획표01" hidden="1">{#N/A,#N/A,TRUE,"대 차 대 조 표"}</definedName>
    <definedName name="업무계획표01_1" hidden="1">{#N/A,#N/A,TRUE,"대 차 대 조 표"}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역삼4월" hidden="1">{#N/A,#N/A,TRUE,"대 차 대 조 표"}</definedName>
    <definedName name="역삼5월" hidden="1">{#N/A,#N/A,TRUE,"대 차 대 조 표"}</definedName>
    <definedName name="역삼5월청구" hidden="1">{#N/A,#N/A,TRUE,"대 차 대 조 표"}</definedName>
    <definedName name="역삼계" hidden="1">{#N/A,#N/A,TRUE,"대 차 대 조 표"}</definedName>
    <definedName name="연간예상" hidden="1">{#N/A,#N/A,FALSE,"UNIT";#N/A,#N/A,FALSE,"UNIT";#N/A,#N/A,FALSE,"계정"}</definedName>
    <definedName name="연말손익" hidden="1">{#N/A,#N/A,FALSE,"UNIT";#N/A,#N/A,FALSE,"UNIT";#N/A,#N/A,FALSE,"계정"}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구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권" hidden="1">{#N/A,#N/A,FALSE,"BS";#N/A,#N/A,FALSE,"PL";#N/A,#N/A,FALSE,"처분";#N/A,#N/A,FALSE,"현금";#N/A,#N/A,FALSE,"매출";#N/A,#N/A,FALSE,"원가";#N/A,#N/A,FALSE,"경영"}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[50]추가예산!#REF!</definedName>
    <definedName name="영업외비용" hidden="1">{#N/A,#N/A,FALSE,"BS";#N/A,#N/A,FALSE,"PL";#N/A,#N/A,FALSE,"처분";#N/A,#N/A,FALSE,"현금";#N/A,#N/A,FALSE,"매출";#N/A,#N/A,FALSE,"원가";#N/A,#N/A,FALSE,"경영"}</definedName>
    <definedName name="영업외비용ㅁㄴㅇㄹ" hidden="1">{"'BS'!$C$10"}</definedName>
    <definedName name="영업외수" hidden="1">[50]추가예산!#REF!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업인건배부" hidden="1">{#N/A,#N/A,FALSE,"97년 투자계획 세부내역 "}</definedName>
    <definedName name="영업인건비배부" hidden="1">{#N/A,#N/A,FALSE,"97년 투자계획 세부내역 "}</definedName>
    <definedName name="영업현금" hidden="1">{#N/A,#N/A,FALSE,"지침";#N/A,#N/A,FALSE,"환경분석";#N/A,#N/A,FALSE,"Sheet16"}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산내역" hidden="1">{#N/A,#N/A,FALSE,"이태원철근"}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서방" hidden="1">{#N/A,#N/A,FALSE,"97년 투자계획 세부내역 "}</definedName>
    <definedName name="오세범" hidden="1">{#N/A,#N/A,FALSE,"97년 투자계획 세부내역 "}</definedName>
    <definedName name="오세범1" hidden="1">{#N/A,#N/A,FALSE,"97년 투자계획 세부내역 "}</definedName>
    <definedName name="오세범2" hidden="1">{#N/A,#N/A,FALSE,"97년 투자계획 세부내역 "}</definedName>
    <definedName name="오세범3" hidden="1">{#N/A,#N/A,FALSE,"97년 투자계획 세부내역 "}</definedName>
    <definedName name="오수토공" hidden="1">{#N/A,#N/A,FALSE,"기안지";#N/A,#N/A,FALSE,"통신지"}</definedName>
    <definedName name="옥" hidden="1">{#N/A,#N/A,FALSE,"이태원철근"}</definedName>
    <definedName name="옥외공사" hidden="1">{#N/A,#N/A,FALSE,"이태원철근"}</definedName>
    <definedName name="옥외대비" hidden="1">{#N/A,#N/A,FALSE,"이태원철근"}</definedName>
    <definedName name="올" hidden="1">#REF!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화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요" hidden="1">{#N/A,#N/A,FALSE,"1.CRITERIA";#N/A,#N/A,FALSE,"2.IS";#N/A,#N/A,FALSE,"3.BS";#N/A,#N/A,FALSE,"4.PER PL";#N/A,#N/A,FALSE,"5.INVESTMENT";#N/A,#N/A,FALSE,"6.공문";#N/A,#N/A,FALSE,"7.netinvest"}</definedName>
    <definedName name="요약f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리" hidden="1">{#N/A,#N/A,FALSE,"이태원철근"}</definedName>
    <definedName name="운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관리" hidden="1">{#N/A,#N/A,TRUE,"Y생산";#N/A,#N/A,TRUE,"Y판매";#N/A,#N/A,TRUE,"Y총물량";#N/A,#N/A,TRUE,"Y능력";#N/A,#N/A,TRUE,"YKD"}</definedName>
    <definedName name="운영팀2" hidden="1">{#N/A,#N/A,TRUE,"Y생산";#N/A,#N/A,TRUE,"Y판매";#N/A,#N/A,TRUE,"Y총물량";#N/A,#N/A,TRUE,"Y능력";#N/A,#N/A,TRUE,"YKD"}</definedName>
    <definedName name="운영팀2_1" hidden="1">{#N/A,#N/A,TRUE,"Y생산";#N/A,#N/A,TRUE,"Y판매";#N/A,#N/A,TRUE,"Y총물량";#N/A,#N/A,TRUE,"Y능력";#N/A,#N/A,TRUE,"YKD"}</definedName>
    <definedName name="울산\\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울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본2" hidden="1">#REF!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R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드건설" hidden="1">{#N/A,#N/A,FALSE,"이태원철근"}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매출3" hidden="1">{#N/A,#N/A,FALSE,"97년 투자계획 세부내역 "}</definedName>
    <definedName name="월별손익CCC" hidden="1">#REF!</definedName>
    <definedName name="월별신장율" hidden="1">{"'분석(dept)'!$B$23:$K$32"}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손SM_1" hidden="1">#REF!</definedName>
    <definedName name="유" hidden="1">{#N/A,#N/A,FALSE,"97년 투자계획 세부내역 "}</definedName>
    <definedName name="유가" hidden="1">{#N/A,#N/A,FALSE,"BS";#N/A,#N/A,FALSE,"PL";#N/A,#N/A,FALSE,"처분";#N/A,#N/A,FALSE,"현금";#N/A,#N/A,FALSE,"매출";#N/A,#N/A,FALSE,"원가";#N/A,#N/A,FALSE,"경영"}</definedName>
    <definedName name="유가증권" hidden="1">{#N/A,#N/A,FALSE,"Aging Summary";#N/A,#N/A,FALSE,"Ratio Analysis";#N/A,#N/A,FALSE,"Test 120 Day Accts";#N/A,#N/A,FALSE,"Tickmarks"}</definedName>
    <definedName name="유동" hidden="1">{#N/A,#N/A,FALSE,"BS";#N/A,#N/A,FALSE,"PL";#N/A,#N/A,FALSE,"처분";#N/A,#N/A,FALSE,"현금";#N/A,#N/A,FALSE,"매출";#N/A,#N/A,FALSE,"원가";#N/A,#N/A,FALSE,"경영"}</definedName>
    <definedName name="유동성사채" hidden="1">#REF!</definedName>
    <definedName name="유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지니" hidden="1">{#N/A,#N/A,FALSE,"97년 투자계획 세부내역 "}</definedName>
    <definedName name="유지니네" hidden="1">{#N/A,#N/A,FALSE,"97년 투자계획 세부내역 "}</definedName>
    <definedName name="유지니다" hidden="1">{#N/A,#N/A,FALSE,"97년 투자계획 세부내역 "}</definedName>
    <definedName name="유휴" hidden="1">#REF!</definedName>
    <definedName name="육삼시티" hidden="1">{#N/A,#N/A,FALSE,"97년 투자계획 세부내역 "}</definedName>
    <definedName name="의뢰서" hidden="1">{#N/A,#N/A,FALSE,"이태원철근"}</definedName>
    <definedName name="이가" hidden="1">{"'Firr(선)'!$AS$1:$AY$62","'Firr(사)'!$AS$1:$AY$62","'Firr(회)'!$AS$1:$AY$62","'Firr(선)'!$L$1:$V$62","'Firr(사)'!$L$1:$V$62","'Firr(회)'!$L$1:$V$62"}</definedName>
    <definedName name="이근우" hidden="1">{#N/A,#N/A,FALSE,"BS";#N/A,#N/A,FALSE,"PL";#N/A,#N/A,FALSE,"처분";#N/A,#N/A,FALSE,"현금";#N/A,#N/A,FALSE,"매출";#N/A,#N/A,FALSE,"원가";#N/A,#N/A,FALSE,"경영"}</definedName>
    <definedName name="이런" hidden="1">{"'보고양식'!$A$58:$K$111"}</definedName>
    <definedName name="이름" hidden="1">{#N/A,#N/A,TRUE,"대 차 대 조 표"}</definedName>
    <definedName name="이름충돌" hidden="1">{#N/A,#N/A,FALSE,"UNIT";#N/A,#N/A,FALSE,"UNIT";#N/A,#N/A,FALSE,"계정"}</definedName>
    <definedName name="이리" hidden="1">{"YTD/Forecast",#N/A,TRUE,"Fcst_TPLN";"Monthly Averages",#N/A,TRUE,"Fcst_TPLN"}</definedName>
    <definedName name="이마트인천점" hidden="1">{"YTD/Forecast",#N/A,TRUE,"Fcst_TPLN";"Monthly Averages",#N/A,TRUE,"Fcst_TPLN"}</definedName>
    <definedName name="이쁘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상목" hidden="1">{#N/A,#N/A,FALSE,"이태원철근"}</definedName>
    <definedName name="이슈" hidden="1">{#N/A,#N/A,FALSE,"지침";#N/A,#N/A,FALSE,"환경분석";#N/A,#N/A,FALSE,"Sheet16"}</definedName>
    <definedName name="이읏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" hidden="1">{#N/A,#N/A,TRUE,"Y생산";#N/A,#N/A,TRUE,"Y판매";#N/A,#N/A,TRUE,"Y총물량";#N/A,#N/A,TRUE,"Y능력";#N/A,#N/A,TRUE,"YKD"}</definedName>
    <definedName name="이이_1" hidden="1">{#N/A,#N/A,TRUE,"Y생산";#N/A,#N/A,TRUE,"Y판매";#N/A,#N/A,TRUE,"Y총물량";#N/A,#N/A,TRUE,"Y능력";#N/A,#N/A,TRUE,"YKD"}</definedName>
    <definedName name="이익잉여금처분계산서" hidden="1">{#N/A,#N/A,FALSE,"현장 NCR 분석";#N/A,#N/A,FALSE,"현장품질감사";#N/A,#N/A,FALSE,"현장품질감사"}</definedName>
    <definedName name="이익잉여금처분계산서B" hidden="1">{#N/A,#N/A,FALSE,"현장 NCR 분석";#N/A,#N/A,FALSE,"현장품질감사";#N/A,#N/A,FALSE,"현장품질감사"}</definedName>
    <definedName name="이자비용" hidden="1">#REF!</definedName>
    <definedName name="이정" hidden="1">{"'4월수지'!$A$1:$AE$45"}</definedName>
    <definedName name="이정1" hidden="1">{"'4월수지'!$A$1:$AE$45"}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호버" hidden="1">{#N/A,#N/A,FALSE,"97년 투자계획 세부내역 "}</definedName>
    <definedName name="인건비" hidden="1">#REF!</definedName>
    <definedName name="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테리어팀" hidden="1">{#N/A,#N/A,TRUE,"Y생산";#N/A,#N/A,TRUE,"Y판매";#N/A,#N/A,TRUE,"Y총물량";#N/A,#N/A,TRUE,"Y능력";#N/A,#N/A,TRUE,"YKD"}</definedName>
    <definedName name="인테리어팀_1" hidden="1">{#N/A,#N/A,TRUE,"Y생산";#N/A,#N/A,TRUE,"Y판매";#N/A,#N/A,TRUE,"Y총물량";#N/A,#N/A,TRUE,"Y능력";#N/A,#N/A,TRUE,"YKD"}</definedName>
    <definedName name="일반도급" hidden="1">{#N/A,#N/A,FALSE,"이태원철근"}</definedName>
    <definedName name="일정표" hidden="1">{#N/A,#N/A,FALSE,"이태원철근"}</definedName>
    <definedName name="일정표0124" hidden="1">{#N/A,#N/A,FALSE,"이태원철근"}</definedName>
    <definedName name="임시" hidden="1">{"'Sheet1'!$A$1:$H$36"}</definedName>
    <definedName name="임정호" hidden="1">#REF!</definedName>
    <definedName name="임차풀" hidden="1">{#N/A,#N/A,FALSE,"동부"}</definedName>
    <definedName name="ㅈ" hidden="1">{#N/A,#N/A,FALSE,"이태원철근"}</definedName>
    <definedName name="ㅈㄱㄷ" hidden="1">{"'분석(dept)'!$B$23:$K$32"}</definedName>
    <definedName name="ㅈㄳ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hidden="1">'[52]지급어음(일별)'!#REF!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자" hidden="1">{#N/A,#N/A,FALSE,"UNIT";#N/A,#N/A,FALSE,"UNIT";#N/A,#N/A,FALSE,"계정"}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가소비" hidden="1">#REF!</definedName>
    <definedName name="자금수지" hidden="1">#REF!</definedName>
    <definedName name="자금운용2" hidden="1">{#N/A,#N/A,FALSE,"이태원철근"}</definedName>
    <definedName name="자금운용3" hidden="1">{#N/A,#N/A,FALSE,"이태원철근"}</definedName>
    <definedName name="자료" hidden="1">{"'분석(dept)'!$B$23:$K$32"}</definedName>
    <definedName name="자본건축총괄" hidden="1">{#N/A,#N/A,FALSE,"97년 투자계획 세부내역 "}</definedName>
    <definedName name="자본금" hidden="1">{#N/A,#N/A,FALSE,"Aging Summary";#N/A,#N/A,FALSE,"Ratio Analysis";#N/A,#N/A,FALSE,"Test 120 Day Accts";#N/A,#N/A,FALSE,"Tickmarks"}</definedName>
    <definedName name="자양" hidden="1">{#N/A,#N/A,FALSE,"이태원철근"}</definedName>
    <definedName name="자양공사개요" hidden="1">{#N/A,#N/A,FALSE,"이태원철근"}</definedName>
    <definedName name="자진" hidden="1">#REF!</definedName>
    <definedName name="자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작성조서" hidden="1">{#N/A,#N/A,FALSE,"BS";#N/A,#N/A,FALSE,"PL";#N/A,#N/A,FALSE,"처분";#N/A,#N/A,FALSE,"현금";#N/A,#N/A,FALSE,"매출";#N/A,#N/A,FALSE,"원가";#N/A,#N/A,FALSE,"경영"}</definedName>
    <definedName name="작업" hidden="1">{#N/A,#N/A,FALSE,"2000";#N/A,#N/A,FALSE,"1999_1998"}</definedName>
    <definedName name="잔액" hidden="1">#REF!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VP" hidden="1">{#N/A,#N/A,FALSE,"UNIT";#N/A,#N/A,FALSE,"UNIT";#N/A,#N/A,FALSE,"계정"}</definedName>
    <definedName name="장기" hidden="1">{#N/A,#N/A,TRUE,"Y생산";#N/A,#N/A,TRUE,"Y판매";#N/A,#N/A,TRUE,"Y총물량";#N/A,#N/A,TRUE,"Y능력";#N/A,#N/A,TRUE,"YKD"}</definedName>
    <definedName name="장기_1" hidden="1">{#N/A,#N/A,TRUE,"Y생산";#N/A,#N/A,TRUE,"Y판매";#N/A,#N/A,TRUE,"Y총물량";#N/A,#N/A,TRUE,"Y능력";#N/A,#N/A,TRUE,"YKD"}</definedName>
    <definedName name="장비세부" hidden="1">#REF!</definedName>
    <definedName name="장비투자" hidden="1">#REF!</definedName>
    <definedName name="장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재" hidden="1">{#N/A,#N/A,FALSE,"UNIT";#N/A,#N/A,FALSE,"UNIT";#N/A,#N/A,FALSE,"계정"}</definedName>
    <definedName name="재고" hidden="1">#REF!</definedName>
    <definedName name="재고량" hidden="1">{#N/A,#N/A,TRUE,"근태일보"}</definedName>
    <definedName name="재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财务费用审计底稿" hidden="1">{"'科目汇总表  '!$A$1:$G$38"}</definedName>
    <definedName name="재무제표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_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심의" hidden="1">{#N/A,#N/A,FALSE,"이태원철근"}</definedName>
    <definedName name="재심의2" hidden="1">{#N/A,#N/A,FALSE,"이태원철근"}</definedName>
    <definedName name="재심의3" hidden="1">{#N/A,#N/A,FALSE,"이태원철근"}</definedName>
    <definedName name="재심의4" hidden="1">{#N/A,#N/A,FALSE,"이태원철근"}</definedName>
    <definedName name="재심의5" hidden="1">{#N/A,#N/A,FALSE,"이태원철근"}</definedName>
    <definedName name="재심의양식1" hidden="1">{#N/A,#N/A,FALSE,"이태원철근"}</definedName>
    <definedName name="재심의양식1.xls" hidden="1">{#N/A,#N/A,FALSE,"이태원철근"}</definedName>
    <definedName name="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저저" hidden="1">{#N/A,#N/A,FALSE,"UNIT";#N/A,#N/A,FALSE,"UNIT";#N/A,#N/A,FALSE,"계정"}</definedName>
    <definedName name="전" hidden="1">{#N/A,#N/A,FALSE,"97년 투자계획 세부내역 "}</definedName>
    <definedName name="전기" hidden="1">{#N/A,#N/A,FALSE,"97년 투자계획 세부내역 "}</definedName>
    <definedName name="전력" hidden="1">{#N/A,#N/A,TRUE,"근태일보"}</definedName>
    <definedName name="전산임시" hidden="1">{"'Sheet1'!$A$1:$H$36"}</definedName>
    <definedName name="전산장비" hidden="1">{"'Sheet1'!$A$1:$H$36"}</definedName>
    <definedName name="전용원" hidden="1">{#N/A,#N/A,FALSE,"97년 투자계획 세부내역 "}</definedName>
    <definedName name="전자CF" hidden="1">{#N/A,#N/A,FALSE,"지침";#N/A,#N/A,FALSE,"환경분석";#N/A,#N/A,FALSE,"Sheet16"}</definedName>
    <definedName name="전주우회" hidden="1">#REF!</definedName>
    <definedName name="절" hidden="1">[35]유림골조!#REF!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" hidden="1">{#N/A,#N/A,FALSE,"UNIT";#N/A,#N/A,FALSE,"UNIT";#N/A,#N/A,FALSE,"계정"}</definedName>
    <definedName name="정리" hidden="1">{#N/A,#N/A,TRUE,"대 차 대 조 표"}</definedName>
    <definedName name="정리_1" hidden="1">{#N/A,#N/A,TRUE,"대 차 대 조 표"}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제조안" hidden="1">#REF!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품별사업전략" hidden="1">{#N/A,#N/A,FALSE,"UNIT";#N/A,#N/A,FALSE,"UNIT";#N/A,#N/A,FALSE,"계정"}</definedName>
    <definedName name="조" hidden="1">{"'Firr(선)'!$AS$1:$AY$62","'Firr(사)'!$AS$1:$AY$62","'Firr(회)'!$AS$1:$AY$62","'Firr(선)'!$L$1:$V$62","'Firr(사)'!$L$1:$V$62","'Firr(회)'!$L$1:$V$62"}</definedName>
    <definedName name="조서" hidden="1">#REF!</definedName>
    <definedName name="조서1" hidden="1">#REF!</definedName>
    <definedName name="조정표지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조효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종합" hidden="1">{#N/A,#N/A,TRUE,"근태일보"}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 hidden="1">{#N/A,#N/A,FALSE,"지침";#N/A,#N/A,FALSE,"환경분석";#N/A,#N/A,FALSE,"Sheet16"}</definedName>
    <definedName name="주차계획" hidden="1">{#N/A,#N/A,FALSE,"UNIT";#N/A,#N/A,FALSE,"UNIT";#N/A,#N/A,FALSE,"계정"}</definedName>
    <definedName name="죽전5차" hidden="1">{#N/A,#N/A,FALSE,"이태원철근"}</definedName>
    <definedName name="준" hidden="1">{#N/A,#N/A,FALSE,"Aging Summary";#N/A,#N/A,FALSE,"Ratio Analysis";#N/A,#N/A,FALSE,"Test 120 Day Accts";#N/A,#N/A,FALSE,"Tickmarks"}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hidden="1">{#N/A,#N/A,FALSE,"BS";#N/A,#N/A,FALSE,"PL";#N/A,#N/A,FALSE,"처분";#N/A,#N/A,FALSE,"현금";#N/A,#N/A,FALSE,"매출";#N/A,#N/A,FALSE,"원가";#N/A,#N/A,FALSE,"경영"}</definedName>
    <definedName name="증감분석96계획95실적" hidden="1">{#N/A,#N/A,FALSE,"97년 투자계획 세부내역 "}</definedName>
    <definedName name="지급" hidden="1">{"YTD/Forecast",#N/A,TRUE,"Fcst_TPLN";"Monthly Averages",#N/A,TRUE,"Fcst_TPLN"}</definedName>
    <definedName name="지분법관련사항" hidden="1">{"'4월수지'!$A$1:$AE$45"}</definedName>
    <definedName name="지원동" hidden="1">{#N/A,#N/A,TRUE,"대 차 대 조 표"}</definedName>
    <definedName name="지원동_1" hidden="1">{#N/A,#N/A,TRUE,"대 차 대 조 표"}</definedName>
    <definedName name="직원조직" hidden="1">{#N/A,#N/A,FALSE,"이태원철근"}</definedName>
    <definedName name="직원조직표" hidden="1">{#N/A,#N/A,FALSE,"이태원철근"}</definedName>
    <definedName name="진" hidden="1">{#N/A,#N/A,FALSE,"UNIT";#N/A,#N/A,FALSE,"UNIT";#N/A,#N/A,FALSE,"계정"}</definedName>
    <definedName name="진행사항보고.xls" hidden="1">{#N/A,#N/A,FALSE,"97년 투자계획 세부내역 "}</definedName>
    <definedName name="ㅊ" hidden="1">{#N/A,#N/A,FALSE,"BS";#N/A,#N/A,FALSE,"PL";#N/A,#N/A,FALSE,"처분";#N/A,#N/A,FALSE,"현금";#N/A,#N/A,FALSE,"매출";#N/A,#N/A,FALSE,"원가";#N/A,#N/A,FALSE,"경영"}</definedName>
    <definedName name="ㅊㅇ" hidden="1">{#N/A,#N/A,TRUE,"대 차 대 조 표"}</definedName>
    <definedName name="ㅊㅊㅊㅊㅊㅊ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탑" hidden="1">{#N/A,#N/A,FALSE,"Aging Summary";#N/A,#N/A,FALSE,"Ratio Analysis";#N/A,#N/A,FALSE,"Test 120 Day Accts";#N/A,#N/A,FALSE,"Tickmarks"}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." hidden="1">{#N/A,#N/A,FALSE,"UNIT";#N/A,#N/A,FALSE,"UNIT";#N/A,#N/A,FALSE,"계정"}</definedName>
    <definedName name="차량SVC" hidden="1">{#N/A,#N/A,FALSE,"UNIT";#N/A,#N/A,FALSE,"UNIT";#N/A,#N/A,FALSE,"계정"}</definedName>
    <definedName name="차성준" hidden="1">{"'Sheet1'!$A$1:$H$36"}</definedName>
    <definedName name="차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ㅓㅁㄷㄴ라" hidden="1">{#N/A,#N/A,FALSE,"이력서&amp;자기소개서"}</definedName>
    <definedName name="차ㅓ만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차ㅓㅍ마ㅓㅇㄹ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참고2" hidden="1">[53]현장!#REF!</definedName>
    <definedName name="철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체육관" hidden="1">{#N/A,#N/A,TRUE,"대 차 대 조 표"}</definedName>
    <definedName name="체육관_1" hidden="1">{#N/A,#N/A,TRUE,"대 차 대 조 표"}</definedName>
    <definedName name="초기예산서보고" hidden="1">{#N/A,#N/A,FALSE,"이태원철근"}</definedName>
    <definedName name="총공" hidden="1">{#N/A,#N/A,FALSE,"운반시간"}</definedName>
    <definedName name="총괄" hidden="1">{#N/A,#N/A,TRUE,"1호 과표세액";#N/A,#N/A,TRUE,"6호 첨부(익)";#N/A,#N/A,TRUE,"6-3호 퇴충";#N/A,#N/A,TRUE,"PL";#N/A,#N/A,TRUE,"BS";#N/A,#N/A,TRUE,"RE";#N/A,#N/A,TRUE,"표지"}</definedName>
    <definedName name="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최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분" hidden="1">{#N/A,#N/A,TRUE,"대 차 대 조 표"}</definedName>
    <definedName name="최한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매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출판" hidden="1">{#N/A,#N/A,FALSE,"지침";#N/A,#N/A,FALSE,"환경분석";#N/A,#N/A,FALSE,"Sheet16"}</definedName>
    <definedName name="취하" hidden="1">{#N/A,#N/A,FALSE,"이태원철근"}</definedName>
    <definedName name="취하실적1." hidden="1">{#N/A,#N/A,FALSE,"이태원철근"}</definedName>
    <definedName name="치" hidden="1">{#N/A,#N/A,FALSE,"97년 투자계획 세부내역 "}</definedName>
    <definedName name="ㅋ" hidden="1">{#N/A,#N/A,FALSE,"BS";#N/A,#N/A,FALSE,"PL";#N/A,#N/A,FALSE,"처분";#N/A,#N/A,FALSE,"현금";#N/A,#N/A,FALSE,"매출";#N/A,#N/A,FALSE,"원가";#N/A,#N/A,FALSE,"경영"}</definedName>
    <definedName name="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hidden="1">{#N/A,#N/A,TRUE,"대 차 대 조 표"}</definedName>
    <definedName name="ㅋㅋㅋㅋ_1" hidden="1">{#N/A,#N/A,TRUE,"대 차 대 조 표"}</definedName>
    <definedName name="ㅋㅋㅋㅋㅋㅋㅋㅋㅋㅋㅋㅋㅋㅋㅋㅋ" hidden="1">#REF!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바2" hidden="1">{#N/A,#N/A,FALSE,"이태원철근"}</definedName>
    <definedName name="캐쉬" hidden="1">{#N/A,#N/A,FALSE,"지침";#N/A,#N/A,FALSE,"환경분석";#N/A,#N/A,FALSE,"Sheet16"}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콘도비용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ㅌ" hidden="1">{#N/A,#N/A,FALSE,"BS";#N/A,#N/A,FALSE,"PL";#N/A,#N/A,FALSE,"처분";#N/A,#N/A,FALSE,"현금";#N/A,#N/A,FALSE,"매출";#N/A,#N/A,FALSE,"원가";#N/A,#N/A,FALSE,"경영"}</definedName>
    <definedName name="ㅌㅊㅋㅌ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테넌트" hidden="1">{#N/A,#N/A,TRUE,"Y생산";#N/A,#N/A,TRUE,"Y판매";#N/A,#N/A,TRUE,"Y총물량";#N/A,#N/A,TRUE,"Y능력";#N/A,#N/A,TRUE,"YKD"}</definedName>
    <definedName name="테넌트_1" hidden="1">{#N/A,#N/A,TRUE,"Y생산";#N/A,#N/A,TRUE,"Y판매";#N/A,#N/A,TRUE,"Y총물량";#N/A,#N/A,TRUE,"Y능력";#N/A,#N/A,TRUE,"YKD"}</definedName>
    <definedName name="테넌트팀" hidden="1">{#N/A,#N/A,TRUE,"Y생산";#N/A,#N/A,TRUE,"Y판매";#N/A,#N/A,TRUE,"Y총물량";#N/A,#N/A,TRUE,"Y능력";#N/A,#N/A,TRUE,"YKD"}</definedName>
    <definedName name="테넌트팀_1" hidden="1">{#N/A,#N/A,TRUE,"Y생산";#N/A,#N/A,TRUE,"Y판매";#N/A,#N/A,TRUE,"Y총물량";#N/A,#N/A,TRUE,"Y능력";#N/A,#N/A,TRUE,"YKD"}</definedName>
    <definedName name="토목공사" hidden="1">{#N/A,#N/A,FALSE,"이태원철근"}</definedName>
    <definedName name="토목공사강릉" hidden="1">#REF!</definedName>
    <definedName name="토목설계" hidden="1">{#N/A,#N/A,FALSE,"골재소요량";#N/A,#N/A,FALSE,"골재소요량"}</definedName>
    <definedName name="토목실견적" hidden="1">{#N/A,#N/A,FALSE,"이태원철근"}</definedName>
    <definedName name="토지평가요항표" hidden="1">#REF!</definedName>
    <definedName name="통합본관" hidden="1">#REF!</definedName>
    <definedName name="퇴직보험예치금" hidden="1">#REF!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R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투" hidden="1">#REF!</definedName>
    <definedName name="투자계획1" hidden="1">{#N/A,#N/A,FALSE,"UNIT";#N/A,#N/A,FALSE,"UNIT";#N/A,#N/A,FALSE,"계정"}</definedName>
    <definedName name="튶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현금과예금" hidden="1">#REF!</definedName>
    <definedName name="팀별계획" hidden="1">{#N/A,#N/A,FALSE,"UNIT";#N/A,#N/A,FALSE,"UNIT";#N/A,#N/A,FALSE,"계정"}</definedName>
    <definedName name="ㅍ" hidden="1">{"'분석(dept)'!$B$23:$K$32"}</definedName>
    <definedName name="ㅍㄹㅇ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ㅍㅁㄴㅇㅍㅁ" hidden="1">{#N/A,#N/A,FALSE,"동부"}</definedName>
    <definedName name="ㅍㅍㅍㅍ" hidden="1">{#N/A,#N/A,FALSE,"UNIT";#N/A,#N/A,FALSE,"UNIT";#N/A,#N/A,FALSE,"계정"}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일" hidden="1">#REF!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파ㅓㄷ" hidden="1">{#N/A,#N/A,FALSE,"Aging Summary";#N/A,#N/A,FALSE,"Ratio Analysis";#N/A,#N/A,FALSE,"Test 120 Day Accts";#N/A,#N/A,FALSE,"Tickmarks"}</definedName>
    <definedName name="파ㅓㅈㄷ" hidden="1">{#N/A,#N/A,FALSE,"동부"}</definedName>
    <definedName name="판관비tot" hidden="1">{#N/A,#N/A,FALSE,"Aging Summary";#N/A,#N/A,FALSE,"Ratio Analysis";#N/A,#N/A,FALSE,"Test 120 Day Accts";#N/A,#N/A,FALSE,"Tickmarks"}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팜넝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페이지" hidden="1">{"'Firr(선)'!$AS$1:$AY$62","'Firr(사)'!$AS$1:$AY$62","'Firr(회)'!$AS$1:$AY$62","'Firr(선)'!$L$1:$V$62","'Firr(사)'!$L$1:$V$62","'Firr(회)'!$L$1:$V$62"}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평균이자율" hidden="1">[54]이자율!#REF!</definedName>
    <definedName name="포" hidden="1">{#N/A,#N/A,FALSE,"1.CRITERIA";#N/A,#N/A,FALSE,"2.IS";#N/A,#N/A,FALSE,"3.BS";#N/A,#N/A,FALSE,"4.PER PL";#N/A,#N/A,FALSE,"5.INVESTMENT";#N/A,#N/A,FALSE,"6.공문";#N/A,#N/A,FALSE,"7.netinvest"}</definedName>
    <definedName name="포스코" hidden="1">{#N/A,#N/A,TRUE,"대 차 대 조 표"}</definedName>
    <definedName name="포스코_1" hidden="1">{#N/A,#N/A,TRUE,"대 차 대 조 표"}</definedName>
    <definedName name="포장2월ocf" hidden="1">{#N/A,#N/A,FALSE,"지침";#N/A,#N/A,FALSE,"환경분석";#N/A,#N/A,FALSE,"Sheet16"}</definedName>
    <definedName name="포장ocf" hidden="1">{#N/A,#N/A,FALSE,"지침";#N/A,#N/A,FALSE,"환경분석";#N/A,#N/A,FALSE,"Sheet16"}</definedName>
    <definedName name="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hidden="1">{#N/A,#N/A,FALSE,"동부"}</definedName>
    <definedName name="표지_1" hidden="1">{#N/A,#N/A,FALSE,"동부"}</definedName>
    <definedName name="표지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2" hidden="1">#REF!</definedName>
    <definedName name="표지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풀" hidden="1">{#N/A,#N/A,FALSE,"동부"}</definedName>
    <definedName name="풍납동" hidden="1">[42]Sheet4!#REF!</definedName>
    <definedName name="풍납동아파트" hidden="1">[42]Sheet4!#REF!</definedName>
    <definedName name="피로티" hidden="1">{#N/A,#N/A,FALSE,"이태원철근"}</definedName>
    <definedName name="피로티1" hidden="1">{#N/A,#N/A,FALSE,"이태원철근"}</definedName>
    <definedName name="ㅎ" hidden="1">{#N/A,#N/A,FALSE,"BS";#N/A,#N/A,FALSE,"PL";#N/A,#N/A,FALSE,"처분";#N/A,#N/A,FALSE,"현금";#N/A,#N/A,FALSE,"매출";#N/A,#N/A,FALSE,"원가";#N/A,#N/A,FALSE,"경영"}</definedName>
    <definedName name="ㅎ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ㄴ" hidden="1">{#N/A,#N/A,FALSE,"97년 투자계획 세부내역 "}</definedName>
    <definedName name="ㅎㄹㅇㅎㅎ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" hidden="1">{#N/A,#N/A,FALSE,"Aging Summary";#N/A,#N/A,FALSE,"Ratio Analysis";#N/A,#N/A,FALSE,"Test 120 Day Accts";#N/A,#N/A,FALSE,"Tickmarks"}</definedName>
    <definedName name="ㅎ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" hidden="1">#REF!</definedName>
    <definedName name="ㅎㅎ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ㅎ" hidden="1">{#N/A,#N/A,FALSE,"이태원철근"}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" hidden="1">{#N/A,#N/A,FALSE,"BS";#N/A,#N/A,FALSE,"PL";#N/A,#N/A,FALSE,"처분";#N/A,#N/A,FALSE,"현금";#N/A,#N/A,FALSE,"매출";#N/A,#N/A,FALSE,"원가";#N/A,#N/A,FALSE,"경영"}</definedName>
    <definedName name="하" hidden="1">{#N/A,#N/A,FALSE,"1.CRITERIA";#N/A,#N/A,FALSE,"2.IS";#N/A,#N/A,FALSE,"3.BS";#N/A,#N/A,FALSE,"4.PER PL";#N/A,#N/A,FALSE,"5.INVESTMENT";#N/A,#N/A,FALSE,"6.공문";#N/A,#N/A,FALSE,"7.netinvest"}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독급대비1" hidden="1">#REF!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ㅏ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한양" hidden="1">{"'4월수지'!$A$1:$AE$45"}</definedName>
    <definedName name="한양식" hidden="1">{"'4월수지'!$A$1:$AE$45"}</definedName>
    <definedName name="한영사전" hidden="1">{#N/A,#N/A,TRUE,"Y생산";#N/A,#N/A,TRUE,"Y판매";#N/A,#N/A,TRUE,"Y총물량";#N/A,#N/A,TRUE,"Y능력";#N/A,#N/A,TRUE,"YKD"}</definedName>
    <definedName name="한영사전_1" hidden="1">{#N/A,#N/A,TRUE,"Y생산";#N/A,#N/A,TRUE,"Y판매";#N/A,#N/A,TRUE,"Y총물량";#N/A,#N/A,TRUE,"Y능력";#N/A,#N/A,TRUE,"YKD"}</definedName>
    <definedName name="해외관게\" hidden="1">#REF!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금" hidden="1">{#N/A,#N/A,FALSE,"Aging Summary";#N/A,#N/A,FALSE,"Ratio Analysis";#N/A,#N/A,FALSE,"Test 120 Day Accts";#N/A,#N/A,FALSE,"Tickmarks"}</definedName>
    <definedName name="현금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7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등가물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흐름" hidden="1">{#N/A,#N/A,FALSE,"Aging Summary";#N/A,#N/A,FALSE,"Ratio Analysis";#N/A,#N/A,FALSE,"Test 120 Day Accts";#N/A,#N/A,FALSE,"Tickmarks"}</definedName>
    <definedName name="현대코아공통비" hidden="1">#REF!</definedName>
    <definedName name="현작성조서" hidden="1">{#N/A,#N/A,FALSE,"BS";#N/A,#N/A,FALSE,"PL";#N/A,#N/A,FALSE,"처분";#N/A,#N/A,FALSE,"현금";#N/A,#N/A,FALSE,"매출";#N/A,#N/A,FALSE,"원가";#N/A,#N/A,FALSE,"경영"}</definedName>
    <definedName name="협조전" hidden="1">#REF!</definedName>
    <definedName name="호" hidden="1">{#N/A,#N/A,FALSE,"1.CRITERIA";#N/A,#N/A,FALSE,"2.IS";#N/A,#N/A,FALSE,"3.BS";#N/A,#N/A,FALSE,"4.PER PL";#N/A,#N/A,FALSE,"5.INVESTMENT";#N/A,#N/A,FALSE,"6.공문";#N/A,#N/A,FALSE,"7.netinvest"}</definedName>
    <definedName name="호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" hidden="1">#REF!</definedName>
    <definedName name="홍범표" hidden="1">{#N/A,#N/A,FALSE,"이태원철근"}</definedName>
    <definedName name="홓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화ㅚㅏㅑㅓㅏㅣ" hidden="1">{#N/A,#N/A,TRUE,"대 차 대 조 표"}</definedName>
    <definedName name="확대3" hidden="1">{#N/A,#N/A,FALSE,"UNIT";#N/A,#N/A,FALSE,"UNIT";#N/A,#N/A,FALSE,"계정"}</definedName>
    <definedName name="환위험" hidden="1">{"'7-2지역별'!$A$1:$R$44"}</definedName>
    <definedName name="회" hidden="1">{#N/A,#N/A,FALSE,"동부"}</definedName>
    <definedName name="회계보고서" hidden="1">{#N/A,#N/A,TRUE,"대 차 대 조 표"}</definedName>
    <definedName name="회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효석" hidden="1">{"'Firr(선)'!$AS$1:$AY$62","'Firr(사)'!$AS$1:$AY$62","'Firr(회)'!$AS$1:$AY$62","'Firr(선)'!$L$1:$V$62","'Firr(사)'!$L$1:$V$62","'Firr(회)'!$L$1:$V$62"}</definedName>
    <definedName name="효진" hidden="1">#REF!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hidden="1">{#N/A,#N/A,FALSE,"BS";#N/A,#N/A,FALSE,"PL";#N/A,#N/A,FALSE,"처분";#N/A,#N/A,FALSE,"현금";#N/A,#N/A,FALSE,"매출";#N/A,#N/A,FALSE,"원가";#N/A,#N/A,FALSE,"경영"}</definedName>
    <definedName name="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나앙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_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멀ㄷ마덜" hidden="1">{#N/A,#N/A,FALSE,"동부"}</definedName>
    <definedName name="ㅏ앙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_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어러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" hidden="1">{#N/A,#N/A,FALSE,"이력서&amp;자기소개서"}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ㅏ" hidden="1">#REF!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" hidden="1">{#N/A,#N/A,FALSE,"이태원철근"}</definedName>
    <definedName name="ㅐㅐㅐ" hidden="1">{#N/A,#N/A,FALSE,"지침";#N/A,#N/A,FALSE,"환경분석";#N/A,#N/A,FALSE,"Sheet16"}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ㅑ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" hidden="1">{#N/A,#N/A,FALSE,"이태원철근"}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리앙" hidden="1">{#N/A,#N/A,FALSE,"UNIT";#N/A,#N/A,FALSE,"UNIT";#N/A,#N/A,FALSE,"계정"}</definedName>
    <definedName name="ㅓㅏ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hidden="1">{#N/A,#N/A,FALSE,"97년 투자계획 세부내역 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" hidden="1">{"'분석(dept)'!$B$23:$K$32"}</definedName>
    <definedName name="ㅓㅗㅓ" hidden="1">#REF!</definedName>
    <definedName name="ㅓㅗㅓㅗㅓㅗ" hidden="1">[55]A1!$F$45</definedName>
    <definedName name="ㅓㅛ" hidden="1">#REF!</definedName>
    <definedName name="ㅔ" hidden="1">{#N/A,#N/A,TRUE,"대 차 대 조 표"}</definedName>
    <definedName name="ㅕ" hidden="1">{#N/A,#N/A,FALSE,"BS";#N/A,#N/A,FALSE,"PL";#N/A,#N/A,FALSE,"처분";#N/A,#N/A,FALSE,"현금";#N/A,#N/A,FALSE,"매출";#N/A,#N/A,FALSE,"원가";#N/A,#N/A,FALSE,"경영"}</definedName>
    <definedName name="ㅕ6ㅕ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ㄹㅇ려ㅗ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셧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ㅑ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" hidden="1">{#N/A,#N/A,FALSE,"이태원철근"}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홓로" hidden="1">#REF!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ㅎ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" hidden="1">{#N/A,#N/A,TRUE,"대 차 대 조 표"}</definedName>
    <definedName name="ㅗㅓㅗ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" hidden="1">#REF!</definedName>
    <definedName name="ㅛㅓㅛ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ㅕ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ㅛㅛ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ㅊ426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" hidden="1">{#N/A,#N/A,FALSE,"이태원철근"}</definedName>
    <definedName name="ㅠ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ㅗㅠ" hidden="1">{#N/A,#N/A,FALSE,"골재소요량";#N/A,#N/A,FALSE,"골재소요량"}</definedName>
    <definedName name="ㅠㅠㅠ" hidden="1">{#N/A,#N/A,FALSE,"동부"}</definedName>
    <definedName name="ㅡ" hidden="1">{#N/A,#N/A,FALSE,"이태원철근"}</definedName>
    <definedName name="ㅡㅡㅡ" hidden="1">{#N/A,#N/A,FALSE,"지침";#N/A,#N/A,FALSE,"환경분석";#N/A,#N/A,FALSE,"Sheet16"}</definedName>
    <definedName name="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ㅏ" hidden="1">{#N/A,#N/A,FALSE,"97년 투자계획 세부내역 "}</definedName>
    <definedName name="ㅣㅣㅣ" hidden="1">25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" hidden="1">{#N/A,#N/A,FALSE,"BS";#N/A,#N/A,FALSE,"PL";#N/A,#N/A,FALSE,"처분";#N/A,#N/A,FALSE,"현금";#N/A,#N/A,FALSE,"매출";#N/A,#N/A,FALSE,"원가";#N/A,#N/A,FALSE,"경영"}</definedName>
    <definedName name="__" localSheetId="0" hidden="1">#REF!</definedName>
    <definedName name="___" localSheetId="0" hidden="1">#REF!</definedName>
    <definedName name="____________________________________key1" localSheetId="0" hidden="1">[1]sheet6!#REF!</definedName>
    <definedName name="___________________________________key1" localSheetId="0" hidden="1">[1]sheet6!#REF!</definedName>
    <definedName name="__________________________________key1" localSheetId="0" hidden="1">[1]sheet6!#REF!</definedName>
    <definedName name="_________________________________key1" localSheetId="0" hidden="1">[1]sheet6!#REF!</definedName>
    <definedName name="________________________________key1" localSheetId="0" hidden="1">[1]sheet6!#REF!</definedName>
    <definedName name="_______________________________key1" localSheetId="0" hidden="1">[1]sheet6!#REF!</definedName>
    <definedName name="_______________________________PL7" localSheetId="0" hidden="1">{#N/A,#N/A,TRUE,"대 차 대 조 표"}</definedName>
    <definedName name="______________________________key1" localSheetId="0" hidden="1">[1]sheet6!#REF!</definedName>
    <definedName name="______________________________PL7" localSheetId="0" hidden="1">{#N/A,#N/A,TRUE,"대 차 대 조 표"}</definedName>
    <definedName name="_____________________________PL7" localSheetId="0" hidden="1">{#N/A,#N/A,TRUE,"대 차 대 조 표"}</definedName>
    <definedName name="_____________________________SSS1" localSheetId="0" hidden="1">#REF!</definedName>
    <definedName name="____________________________key1" localSheetId="0" hidden="1">[1]sheet6!#REF!</definedName>
    <definedName name="____________________________PL7" localSheetId="0" hidden="1">{#N/A,#N/A,TRUE,"대 차 대 조 표"}</definedName>
    <definedName name="____________________________SSS1" localSheetId="0" hidden="1">#REF!</definedName>
    <definedName name="___________________________key1" localSheetId="0" hidden="1">[1]sheet6!#REF!</definedName>
    <definedName name="___________________________PL7" localSheetId="0" hidden="1">{#N/A,#N/A,TRUE,"대 차 대 조 표"}</definedName>
    <definedName name="___________________________SSS1" localSheetId="0" hidden="1">#REF!</definedName>
    <definedName name="__________________________key1" localSheetId="0" hidden="1">[1]sheet6!#REF!</definedName>
    <definedName name="__________________________PL7" localSheetId="0" hidden="1">{#N/A,#N/A,TRUE,"대 차 대 조 표"}</definedName>
    <definedName name="__________________________SSS1" localSheetId="0" hidden="1">#REF!</definedName>
    <definedName name="_________________________key1" localSheetId="0" hidden="1">[1]sheet6!#REF!</definedName>
    <definedName name="_________________________PL7" localSheetId="0" hidden="1">{#N/A,#N/A,TRUE,"대 차 대 조 표"}</definedName>
    <definedName name="_________________________SSS1" localSheetId="0" hidden="1">#REF!</definedName>
    <definedName name="________________________key1" localSheetId="0" hidden="1">[1]sheet6!#REF!</definedName>
    <definedName name="________________________PL7" localSheetId="0" hidden="1">{#N/A,#N/A,TRUE,"대 차 대 조 표"}</definedName>
    <definedName name="________________________SSS1" localSheetId="0" hidden="1">#REF!</definedName>
    <definedName name="_______________________key1" localSheetId="0" hidden="1">[1]sheet6!#REF!</definedName>
    <definedName name="_______________________PL7" localSheetId="0" hidden="1">{#N/A,#N/A,TRUE,"대 차 대 조 표"}</definedName>
    <definedName name="_______________________SSS1" localSheetId="0" hidden="1">#REF!</definedName>
    <definedName name="______________________key1" localSheetId="0" hidden="1">[1]sheet6!#REF!</definedName>
    <definedName name="______________________PL7" localSheetId="0" hidden="1">{#N/A,#N/A,TRUE,"대 차 대 조 표"}</definedName>
    <definedName name="______________________SSS1" localSheetId="0" hidden="1">#REF!</definedName>
    <definedName name="_____________________key1" localSheetId="0" hidden="1">[1]sheet6!#REF!</definedName>
    <definedName name="_____________________PL7" localSheetId="0" hidden="1">{#N/A,#N/A,TRUE,"대 차 대 조 표"}</definedName>
    <definedName name="_____________________SSS1" localSheetId="0" hidden="1">#REF!</definedName>
    <definedName name="____________________key1" localSheetId="0" hidden="1">[1]sheet6!#REF!</definedName>
    <definedName name="____________________PL7" localSheetId="0" hidden="1">{#N/A,#N/A,TRUE,"대 차 대 조 표"}</definedName>
    <definedName name="____________________SSS1" localSheetId="0" hidden="1">#REF!</definedName>
    <definedName name="___________________PL7" localSheetId="0" hidden="1">{#N/A,#N/A,TRUE,"대 차 대 조 표"}</definedName>
    <definedName name="___________________SSS1" localSheetId="0" hidden="1">#REF!</definedName>
    <definedName name="__________________key1" localSheetId="0" hidden="1">[1]sheet6!#REF!</definedName>
    <definedName name="__________________PL7" localSheetId="0" hidden="1">{#N/A,#N/A,TRUE,"대 차 대 조 표"}</definedName>
    <definedName name="__________________SSS1" localSheetId="0" hidden="1">#REF!</definedName>
    <definedName name="_________________PL7" localSheetId="0" hidden="1">{#N/A,#N/A,TRUE,"대 차 대 조 표"}</definedName>
    <definedName name="_________________SSS1" localSheetId="0" hidden="1">#REF!</definedName>
    <definedName name="________________key1" localSheetId="0" hidden="1">[1]sheet6!#REF!</definedName>
    <definedName name="________________PL7" localSheetId="0" hidden="1">{#N/A,#N/A,TRUE,"대 차 대 조 표"}</definedName>
    <definedName name="________________SSS1" localSheetId="0" hidden="1">#REF!</definedName>
    <definedName name="_______________key1" localSheetId="0" hidden="1">[1]sheet6!#REF!</definedName>
    <definedName name="_______________PL7" localSheetId="0" hidden="1">{#N/A,#N/A,TRUE,"대 차 대 조 표"}</definedName>
    <definedName name="_______________SSS1" localSheetId="0" hidden="1">#REF!</definedName>
    <definedName name="______________key1" localSheetId="0" hidden="1">[1]sheet6!#REF!</definedName>
    <definedName name="______________PL7" localSheetId="0" hidden="1">{#N/A,#N/A,TRUE,"대 차 대 조 표"}</definedName>
    <definedName name="______________SSS1" localSheetId="0" hidden="1">#REF!</definedName>
    <definedName name="_____________key1" localSheetId="0" hidden="1">[1]sheet6!#REF!</definedName>
    <definedName name="_____________PL7" localSheetId="0" hidden="1">{#N/A,#N/A,TRUE,"대 차 대 조 표"}</definedName>
    <definedName name="_____________SSS1" localSheetId="0" hidden="1">#REF!</definedName>
    <definedName name="____________key1" localSheetId="0" hidden="1">[1]sheet6!#REF!</definedName>
    <definedName name="____________PL7" localSheetId="0" hidden="1">{#N/A,#N/A,TRUE,"대 차 대 조 표"}</definedName>
    <definedName name="____________SSS1" localSheetId="0" hidden="1">#REF!</definedName>
    <definedName name="___________key1" localSheetId="0" hidden="1">[1]sheet6!#REF!</definedName>
    <definedName name="___________PL7" localSheetId="0" hidden="1">{#N/A,#N/A,TRUE,"대 차 대 조 표"}</definedName>
    <definedName name="___________SSS1" localSheetId="0" hidden="1">#REF!</definedName>
    <definedName name="__________key1" localSheetId="0" hidden="1">[1]sheet6!#REF!</definedName>
    <definedName name="__________PL7" localSheetId="0" hidden="1">{#N/A,#N/A,TRUE,"대 차 대 조 표"}</definedName>
    <definedName name="__________SSS1" localSheetId="0" hidden="1">#REF!</definedName>
    <definedName name="_________key1" localSheetId="0" hidden="1">[1]sheet6!#REF!</definedName>
    <definedName name="_________PL7" localSheetId="0" hidden="1">{#N/A,#N/A,TRUE,"대 차 대 조 표"}</definedName>
    <definedName name="_________SSS1" localSheetId="0" hidden="1">#REF!</definedName>
    <definedName name="________key1" localSheetId="0" hidden="1">[1]sheet6!#REF!</definedName>
    <definedName name="________PL7" localSheetId="0" hidden="1">{#N/A,#N/A,TRUE,"대 차 대 조 표"}</definedName>
    <definedName name="________SSS1" localSheetId="0" hidden="1">#REF!</definedName>
    <definedName name="_______key1" localSheetId="0" hidden="1">[1]sheet6!#REF!</definedName>
    <definedName name="_______PL7" localSheetId="0" hidden="1">{#N/A,#N/A,TRUE,"대 차 대 조 표"}</definedName>
    <definedName name="_______SSS1" localSheetId="0" hidden="1">#REF!</definedName>
    <definedName name="______key1" localSheetId="0" hidden="1">[1]sheet6!#REF!</definedName>
    <definedName name="______PL7" localSheetId="0" hidden="1">{#N/A,#N/A,TRUE,"대 차 대 조 표"}</definedName>
    <definedName name="______SSS1" localSheetId="0" hidden="1">#REF!</definedName>
    <definedName name="_____key1" localSheetId="0" hidden="1">[1]sheet6!#REF!</definedName>
    <definedName name="_____PL7" localSheetId="0" hidden="1">{#N/A,#N/A,TRUE,"대 차 대 조 표"}</definedName>
    <definedName name="_____SSS1" localSheetId="0" hidden="1">#REF!</definedName>
    <definedName name="____key1" localSheetId="0" hidden="1">[1]sheet6!#REF!</definedName>
    <definedName name="____key2" localSheetId="0" hidden="1">#REF!</definedName>
    <definedName name="____PL7" localSheetId="0" hidden="1">{#N/A,#N/A,TRUE,"대 차 대 조 표"}</definedName>
    <definedName name="____SSS1" localSheetId="0" hidden="1">#REF!</definedName>
    <definedName name="___1__123Graph_Cｸﾞﾗﾌ_1" localSheetId="0" hidden="1">#REF!</definedName>
    <definedName name="___2__123Graph_Dｸﾞﾗﾌ_1" localSheetId="0" hidden="1">#REF!</definedName>
    <definedName name="___3__123Graph_Eｸﾞﾗﾌ_1" localSheetId="0" hidden="1">#REF!</definedName>
    <definedName name="___IRR2" localSheetId="0" hidden="1">[3]공정!$AH$25:$AH$37</definedName>
    <definedName name="___key1" localSheetId="0" hidden="1">[1]sheet6!#REF!</definedName>
    <definedName name="___key2" localSheetId="0" hidden="1">#REF!</definedName>
    <definedName name="___PL7" localSheetId="0" hidden="1">{#N/A,#N/A,TRUE,"대 차 대 조 표"}</definedName>
    <definedName name="___SSS1" localSheetId="0" hidden="1">#REF!</definedName>
    <definedName name="__1__123Graph_Cｸﾞﾗﾌ_1" localSheetId="0" hidden="1">#REF!</definedName>
    <definedName name="__123Graph_A" localSheetId="0" hidden="1">[4]A6!$C$51:$C$86</definedName>
    <definedName name="__123Graph_B" localSheetId="0" hidden="1">[5]유림콘도!#REF!</definedName>
    <definedName name="__123Graph_C" localSheetId="0" hidden="1">[4]A6!$E$51:$E$86</definedName>
    <definedName name="__123Graph_D" localSheetId="0" hidden="1">[6]assign!#REF!</definedName>
    <definedName name="__123Graph_E" localSheetId="0" hidden="1">[7]Sheet4!#REF!</definedName>
    <definedName name="__123Graph_F" localSheetId="0" hidden="1">#REF!</definedName>
    <definedName name="__123Graph_X" localSheetId="0" hidden="1">[4]A6!$B$51:$B$86</definedName>
    <definedName name="__2__123Graph_Dｸﾞﾗﾌ_1" localSheetId="0" hidden="1">#REF!</definedName>
    <definedName name="__3__123Graph_Eｸﾞﾗﾌ_1" localSheetId="0" hidden="1">#REF!</definedName>
    <definedName name="__IRR2" localSheetId="0" hidden="1">[3]공정!$AH$25:$AH$37</definedName>
    <definedName name="__key1" localSheetId="0" hidden="1">[1]sheet6!#REF!</definedName>
    <definedName name="__key2" localSheetId="0" hidden="1">#REF!</definedName>
    <definedName name="__PL7" localSheetId="0" hidden="1">{#N/A,#N/A,TRUE,"대 차 대 조 표"}</definedName>
    <definedName name="__SSS1" localSheetId="0" hidden="1">#REF!</definedName>
    <definedName name="_1__123Graph_Cｸﾞﾗﾌ_1" localSheetId="0" hidden="1">#REF!</definedName>
    <definedName name="_1_0__123Grap" localSheetId="0" hidden="1">'[8]TOWER 12TON'!#REF!</definedName>
    <definedName name="_10__123Graph_Dｸﾞﾗﾌ_1" localSheetId="0" hidden="1">#REF!</definedName>
    <definedName name="_12__123Graph_C차트_1" localSheetId="0" hidden="1">#REF!</definedName>
    <definedName name="_12__123Graph_Eｸﾞﾗﾌ_1" localSheetId="0" hidden="1">#REF!</definedName>
    <definedName name="_15__123Graph_Eｸﾞﾗﾌ_1" localSheetId="0" hidden="1">#REF!</definedName>
    <definedName name="_1bs1_" localSheetId="0" hidden="1">#REF!</definedName>
    <definedName name="_2__123Graph_Cｸﾞﾗﾌ_1" localSheetId="0" hidden="1">#REF!</definedName>
    <definedName name="_2__123Graph_Dｸﾞﾗﾌ_1" localSheetId="0" hidden="1">#REF!</definedName>
    <definedName name="_2_0_Dist_" localSheetId="0" hidden="1">'[8]TOWER 10TON'!#REF!</definedName>
    <definedName name="_222" localSheetId="0" hidden="1">#REF!</definedName>
    <definedName name="_223" localSheetId="0" hidden="1">#REF!</definedName>
    <definedName name="_3__123Graph_Eｸﾞﾗﾌ_1" localSheetId="0" hidden="1">#REF!</definedName>
    <definedName name="_3_0_0_F" localSheetId="0" hidden="1">'[8]TOWER 10TON'!#REF!</definedName>
    <definedName name="_3_0_0_K" localSheetId="0" hidden="1">#REF!</definedName>
    <definedName name="_4__123Graph_A차트_1" localSheetId="0" hidden="1">#REF!</definedName>
    <definedName name="_4__123Graph_Cｸﾞﾗﾌ_1" localSheetId="0" hidden="1">#REF!</definedName>
    <definedName name="_4__123Graph_Dｸﾞﾗﾌ_1" localSheetId="0" hidden="1">#REF!</definedName>
    <definedName name="_5__123Graph_Cｸﾞﾗﾌ_1" localSheetId="0" hidden="1">#REF!</definedName>
    <definedName name="_6__123Graph_Eｸﾞﾗﾌ_1" localSheetId="0" hidden="1">#REF!</definedName>
    <definedName name="_8__123Graph_B차트_1" localSheetId="0" hidden="1">#REF!</definedName>
    <definedName name="_8__123Graph_Dｸﾞﾗﾌ_1" localSheetId="0" hidden="1">#REF!</definedName>
    <definedName name="_bdm.11f35a930cd64c7c865133fdcefe52a0.edm" localSheetId="0" hidden="1">#REF!</definedName>
    <definedName name="_bdm.232387f01583462d91eab1d0349a18e6.edm" localSheetId="0" hidden="1">#REF!</definedName>
    <definedName name="_bdm.2d1b400837ca428789824baeb65ef40a.edm" localSheetId="0" hidden="1">#REF!</definedName>
    <definedName name="_bdm.39955d7ca4f44357a83dc3a560c18d9e.edm" localSheetId="0" hidden="1">#REF!</definedName>
    <definedName name="_bdm.3e0c5041696a4a7d9f7d19f6becfe70c.edm" localSheetId="0" hidden="1">#REF!</definedName>
    <definedName name="_bdm.417a81602ef84ef2b830342d870df6ba.edm" localSheetId="0" hidden="1">#REF!</definedName>
    <definedName name="_bdm.43ad3a6dee1048ea984f93d18b915e37.edm" localSheetId="0" hidden="1">#REF!</definedName>
    <definedName name="_bdm.43f4f7cb2ab24c38a4d2c8d158dd4d47.edm" localSheetId="0" hidden="1">#REF!</definedName>
    <definedName name="_bdm.4676156b58b04220a0ea64b745d757e8.edm" localSheetId="0" hidden="1">#REF!</definedName>
    <definedName name="_bdm.4b7fd9f70f954b759d85cc9afa38b972.edm" localSheetId="0" hidden="1">#REF!</definedName>
    <definedName name="_bdm.519f7392dddd47f19f37db9dd0b71e7a.edm" localSheetId="0" hidden="1">#REF!</definedName>
    <definedName name="_bdm.532c637cf7334d5e92967c64011c14b3.edm" localSheetId="0" hidden="1">#REF!</definedName>
    <definedName name="_bdm.5bdbf8ead85545f8bc5c86dafcd3ec69.edm" localSheetId="0" hidden="1">#REF!</definedName>
    <definedName name="_bdm.60db3192b933477da5a1bc7e674c4bd3.edm" localSheetId="0" hidden="1">#REF!</definedName>
    <definedName name="_bdm.71e4f8966f444960a8bfb1330c2fe236.edm" localSheetId="0" hidden="1">#REF!</definedName>
    <definedName name="_bdm.7352a06bb9c949f796c4037f333c71d7.edm" localSheetId="0" hidden="1">#REF!</definedName>
    <definedName name="_bdm.95b43c2d2a9c426c8d95382bc45e1e83.edm" localSheetId="0" hidden="1">#REF!</definedName>
    <definedName name="_bdm.981b90c4141645cabf62777f9b393a2d.edm" localSheetId="0" hidden="1">#REF!</definedName>
    <definedName name="_bdm.98b6c8b3ec51439e97f928d062e4ec9f.edm" localSheetId="0" hidden="1">#REF!</definedName>
    <definedName name="_bdm.a553ef66b1414185a6f1f1d5ff8b79f4.edm" localSheetId="0" hidden="1">#REF!</definedName>
    <definedName name="_bdm.a92ca85c272246a7a66cac795cb1020b.edm" localSheetId="0" hidden="1">#REF!</definedName>
    <definedName name="_bdm.b92328f807f14a67b1a09797eb0f7778.edm" localSheetId="0" hidden="1">#REF!</definedName>
    <definedName name="_bdm.bee912179297418b8987a25fdd9ce3ff.edm" localSheetId="0" hidden="1">#REF!</definedName>
    <definedName name="_bdm.c5883a813e08416fb476e66e75e82480.edm" localSheetId="0" hidden="1">#REF!</definedName>
    <definedName name="_bdm.C8C2BEC602A84A27B229234B27D194FA.edm" localSheetId="0" hidden="1">#REF!</definedName>
    <definedName name="_bdm.D84848639A7B4F708EB4F2A198515A17.edm" localSheetId="0" hidden="1">#REF!</definedName>
    <definedName name="_bdm.dfe3181aa57e438d98f30087a52474b7.edm" localSheetId="0" hidden="1">#REF!</definedName>
    <definedName name="_bdm.e5faec5100ec4b24a5b5675f322c66aa.edm" localSheetId="0" hidden="1">#REF!</definedName>
    <definedName name="_bdm.ede10370e7664597a05220d553b590b2.edm" localSheetId="0" hidden="1">#REF!</definedName>
    <definedName name="_bdm.f3c28b041c5b4d2ab961233f58bb4418.edm" localSheetId="0" hidden="1">#REF!</definedName>
    <definedName name="_bdm.f5921c3b8b1444b4a09de42f8e3b8174.edm" localSheetId="0" hidden="1">#REF!</definedName>
    <definedName name="_bdm.fac9698ac41e442588ae44723a731bd7.edm" localSheetId="0" hidden="1">#REF!</definedName>
    <definedName name="_D" localSheetId="0" hidden="1">#REF!</definedName>
    <definedName name="_Dist_Bin" localSheetId="0" hidden="1">#REF!</definedName>
    <definedName name="_Dist_Values" localSheetId="0" hidden="1">#REF!</definedName>
    <definedName name="_E" localSheetId="0" hidden="1">#REF!</definedName>
    <definedName name="_FAB6" localSheetId="0" hidden="1">#REF!</definedName>
    <definedName name="_Fill" localSheetId="0" hidden="1">#REF!</definedName>
    <definedName name="_FILL1" localSheetId="0" hidden="1">#REF!</definedName>
    <definedName name="_FILL2" localSheetId="0" hidden="1">#REF!</definedName>
    <definedName name="_jyr6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12345" localSheetId="0" hidden="1">#REF!</definedName>
    <definedName name="_Key1" localSheetId="0" hidden="1">#REF!</definedName>
    <definedName name="_KEY2" localSheetId="0" hidden="1">#REF!</definedName>
    <definedName name="_Key3" localSheetId="0" hidden="1">#REF!</definedName>
    <definedName name="_KEY4" localSheetId="0" hidden="1">#REF!</definedName>
    <definedName name="_Parse_In" localSheetId="0" hidden="1">#REF!</definedName>
    <definedName name="_Parse_Out" localSheetId="0" hidden="1">#REF!</definedName>
    <definedName name="_Pill" localSheetId="0" hidden="1">#REF!</definedName>
    <definedName name="_PL7" localSheetId="0" hidden="1">{#N/A,#N/A,TRUE,"대 차 대 조 표"}</definedName>
    <definedName name="_Regression_Out" localSheetId="0" hidden="1">#REF!</definedName>
    <definedName name="_Regression_X" localSheetId="0" hidden="1">#REF!</definedName>
    <definedName name="_Regression_Y" localSheetId="0" hidden="1">#REF!</definedName>
    <definedName name="_Sort" localSheetId="0" hidden="1">#REF!</definedName>
    <definedName name="_SORT1" localSheetId="0" hidden="1">#REF!</definedName>
    <definedName name="_SSS1" localSheetId="0" hidden="1">#REF!</definedName>
    <definedName name="_Table1_In1" localSheetId="0" hidden="1">#REF!</definedName>
    <definedName name="_Table1_Out" localSheetId="0" hidden="1">#REF!</definedName>
    <definedName name="_Table2_In1" localSheetId="0" hidden="1">#REF!</definedName>
    <definedName name="_Table2_Out" localSheetId="0" hidden="1">#REF!</definedName>
    <definedName name="aaa" localSheetId="0" hidden="1">{"MonthlyRentRoll",#N/A,FALSE,"RentRoll"}</definedName>
    <definedName name="aaaa" localSheetId="0" hidden="1">#REF!</definedName>
    <definedName name="aaaaaaa" localSheetId="0" hidden="1">{#N/A,#N/A,FALSE,"동부"}</definedName>
    <definedName name="aab" localSheetId="0" hidden="1">{#N/A,#N/A,FALSE,"동부"}</definedName>
    <definedName name="abcd" localSheetId="0" hidden="1">[12]노임이!#REF!</definedName>
    <definedName name="adf" localSheetId="0" hidden="1">{"MonthlyRentRoll",#N/A,FALSE,"RentRoll"}</definedName>
    <definedName name="adfasdfa" localSheetId="0" hidden="1">#REF!</definedName>
    <definedName name="adsas" localSheetId="0" hidden="1">{#N/A,#N/A,FALSE,"Aging Summary";#N/A,#N/A,FALSE,"Ratio Analysis";#N/A,#N/A,FALSE,"Test 120 Day Accts";#N/A,#N/A,FALSE,"Tickmarks"}</definedName>
    <definedName name="ADSDF" localSheetId="0" hidden="1">{#N/A,#N/A,TRUE,"Y생산";#N/A,#N/A,TRUE,"Y판매";#N/A,#N/A,TRUE,"Y총물량";#N/A,#N/A,TRUE,"Y능력";#N/A,#N/A,TRUE,"YKD"}</definedName>
    <definedName name="anscount" localSheetId="0" hidden="1">1</definedName>
    <definedName name="app.3.2.2" localSheetId="0" hidden="1">{#N/A,#N/A,FALSE,"동부"}</definedName>
    <definedName name="App3.2.2" localSheetId="0" hidden="1">{#N/A,#N/A,TRUE,"대 차 대 조 표"}</definedName>
    <definedName name="AS2DocOpenMode" localSheetId="0" hidden="1">"AS2DocumentBrowse"</definedName>
    <definedName name="AS2StaticLS" localSheetId="0" hidden="1">#REF!</definedName>
    <definedName name="AS2TickmarkLS" localSheetId="0" hidden="1">#REF!</definedName>
    <definedName name="asaa" localSheetId="0" hidden="1">#REF!</definedName>
    <definedName name="BadLink" localSheetId="0" hidden="1">#REF!</definedName>
    <definedName name="ban" localSheetId="0" hidden="1">{#N/A,#N/A,FALSE,"5YRASSPl - consol'd";#N/A,#N/A,FALSE,"5YRASSPl - hotel";#N/A,#N/A,FALSE,"5YRASSPl - excl htl";#N/A,#N/A,FALSE,"VarReport";#N/A,#N/A,FALSE,"Sensitivity";#N/A,#N/A,FALSE,"House View ";#N/A,#N/A,FALSE,"KPI"}</definedName>
    <definedName name="bbb" localSheetId="0" hidden="1">#REF!</definedName>
    <definedName name="BC" localSheetId="0" hidden="1">{#N/A,#N/A,FALSE,"이태원철근"}</definedName>
    <definedName name="Beachwood" localSheetId="0" hidden="1">{"p",#N/A,FALSE,"Sheet1";"p 2",#N/A,FALSE,"Sheet1";"p 3",#N/A,FALSE,"Sheet1"}</definedName>
    <definedName name="Beachwood_1" localSheetId="0" hidden="1">{"p",#N/A,FALSE,"Sheet1";"p 2",#N/A,FALSE,"Sheet1";"p 3",#N/A,FALSE,"Sheet1"}</definedName>
    <definedName name="BEx0017DGUEDPCFJUPUZOOLJCS2B" localSheetId="0" hidden="1">#REF!</definedName>
    <definedName name="BEx001CNWHJ5RULCSFM36ZCGJ1UH" localSheetId="0" hidden="1">#REF!</definedName>
    <definedName name="BEx004791UAJIJSN57OT7YBLNP82" localSheetId="0" hidden="1">#REF!</definedName>
    <definedName name="BEx008P2NVFDLBHL7IZ5WTMVOQ1F" localSheetId="0" hidden="1">#REF!</definedName>
    <definedName name="BEx009G00IN0JUIAQ4WE9NHTMQE2" localSheetId="0" hidden="1">#REF!</definedName>
    <definedName name="BEx00DXTY2JDVGWQKV8H7FG4SV30" localSheetId="0" hidden="1">#REF!</definedName>
    <definedName name="BEx00GHLTYRH5N2S6P78YW1CD30N" localSheetId="0" hidden="1">#REF!</definedName>
    <definedName name="BEx00JC31DY11L45SEU4B10BIN6W" localSheetId="0" hidden="1">#REF!</definedName>
    <definedName name="BEx00KZHZBHP3TDV1YMX4B19B95O" localSheetId="0" hidden="1">#REF!</definedName>
    <definedName name="BEx00MBY8XXUOHIZ4LHXHPD7WYD5" localSheetId="0" hidden="1">#REF!</definedName>
    <definedName name="BEx01HY6E3GJ66ABU5ABN26V6Q13" localSheetId="0" hidden="1">#REF!</definedName>
    <definedName name="BEx01PW5YQKEGAR8JDDI5OARYXDF" localSheetId="0" hidden="1">#REF!</definedName>
    <definedName name="BEx01XJ94SHJ1YQ7ORPW0RQGKI2H" localSheetId="0" hidden="1">#REF!</definedName>
    <definedName name="BEx02Q08R9G839Q4RFGG9026C7PX" localSheetId="0" hidden="1">#REF!</definedName>
    <definedName name="BEx02SEL3Z1QWGAHXDPUA9WLTTPS" localSheetId="0" hidden="1">#REF!</definedName>
    <definedName name="BEx02Y3KJZH5BGDM9QEZ1PVVI114" localSheetId="0" hidden="1">#REF!</definedName>
    <definedName name="BEx0313GRLLASDTVPW5DHTXHE74M" localSheetId="0" hidden="1">#REF!</definedName>
    <definedName name="BEx1F0SOZ3H5XUHXD7O01TCR8T6J" localSheetId="0" hidden="1">#REF!</definedName>
    <definedName name="BEx1F9HL824UCNCVZ2U62J4KZCX8" localSheetId="0" hidden="1">#REF!</definedName>
    <definedName name="BEx1FEVSJKTI1Q1Z874QZVFSJSVA" localSheetId="0" hidden="1">#REF!</definedName>
    <definedName name="BEx1FGDRUHHLI1GBHELT4PK0LY4V" localSheetId="0" hidden="1">#REF!</definedName>
    <definedName name="BEx1FJZ7GKO99IYTP6GGGF7EUL3Z" localSheetId="0" hidden="1">#REF!</definedName>
    <definedName name="BEx1FZV2CM77TBH1R6YYV9P06KA2" localSheetId="0" hidden="1">#REF!</definedName>
    <definedName name="BEx1G59AY8195JTUM6P18VXUFJ3E" localSheetId="0" hidden="1">#REF!</definedName>
    <definedName name="BEx1GVMRHFXUP6XYYY9NR12PV5TF" localSheetId="0" hidden="1">#REF!</definedName>
    <definedName name="BEx1H6KIT7BHUH6MDDWC935V9N47" localSheetId="0" hidden="1">#REF!</definedName>
    <definedName name="BEx1HDGOOJ3SKHYMWUZJ1P0RQZ9N" localSheetId="0" hidden="1">#REF!</definedName>
    <definedName name="BEx1HDM5ZXSJG6JQEMSFV52PZ10V" localSheetId="0" hidden="1">#REF!</definedName>
    <definedName name="BEx1HETBBZVN5F43LKOFMC4QB0CR" localSheetId="0" hidden="1">#REF!</definedName>
    <definedName name="BEx1HGWNWPLNXICOTP90TKQVVE4E" localSheetId="0" hidden="1">#REF!</definedName>
    <definedName name="BEx1HIPLJZABY0EMUOTZN0EQMDPU" localSheetId="0" hidden="1">#REF!</definedName>
    <definedName name="BEx1HO94JIRX219MPWMB5E5XZ04X" localSheetId="0" hidden="1">#REF!</definedName>
    <definedName name="BEx1HQNF6KHM21E3XLW0NMSSEI9S" localSheetId="0" hidden="1">#REF!</definedName>
    <definedName name="BEx1HSLNWIW4S97ZBYY7I7M5YVH4" localSheetId="0" hidden="1">#REF!</definedName>
    <definedName name="BEx1I4QKTILCKZUSOJCVZN7SNHL5" localSheetId="0" hidden="1">#REF!</definedName>
    <definedName name="BEx1IE0ZP7RIFM9FI24S9I6AAJ14" localSheetId="0" hidden="1">#REF!</definedName>
    <definedName name="BEx1IGQ5B697MNDOE06MVSR0H58E" localSheetId="0" hidden="1">#REF!</definedName>
    <definedName name="BEx1IKRPW8MLB9Y485M1TL2IT9SH" localSheetId="0" hidden="1">#REF!</definedName>
    <definedName name="BEx1J0CSSHDJGBJUHVOEMCF2P4DL" localSheetId="0" hidden="1">#REF!</definedName>
    <definedName name="BEx1J61RRF9LJ3V3R5OY3WJ6VBWR" localSheetId="0" hidden="1">#REF!</definedName>
    <definedName name="BEx1J7E8VCGLPYU82QXVUG5N3ZAI" localSheetId="0" hidden="1">#REF!</definedName>
    <definedName name="BEx1JGE2YQWH8S25USOY08XVGO0D" localSheetId="0" hidden="1">#REF!</definedName>
    <definedName name="BEx1JJJC9T1W7HY4V7HP1S1W4JO1" localSheetId="0" hidden="1">#REF!</definedName>
    <definedName name="BEx1JKKZSJ7DI4PTFVI9VVFMB1X2" localSheetId="0" hidden="1">#REF!</definedName>
    <definedName name="BEx1JUBQFRVMASSFK4B3V0AD7YP9" localSheetId="0" hidden="1">#REF!</definedName>
    <definedName name="BEx1JXBM5W4YRWNQ0P95QQS6JWD6" localSheetId="0" hidden="1">#REF!</definedName>
    <definedName name="BEx1KGY9QEHZ9QSARMQUTQKRK4UX" localSheetId="0" hidden="1">#REF!</definedName>
    <definedName name="BEx1KKP1ELIF2UII2FWVGL7M1X7J" localSheetId="0" hidden="1">#REF!</definedName>
    <definedName name="BEx1KUVWMB0QCWA3RBE4CADFVRIS" localSheetId="0" hidden="1">#REF!</definedName>
    <definedName name="BEx1L2OG1SDFK2TPXELJ77YP4NI2" localSheetId="0" hidden="1">#REF!</definedName>
    <definedName name="BEx1L6Q60MWRDJB4L20LK0XPA0Z2" localSheetId="0" hidden="1">#REF!</definedName>
    <definedName name="BEx1LD63FP2Z4BR9TKSHOZW9KKZ5" localSheetId="0" hidden="1">#REF!</definedName>
    <definedName name="BEx1LDMB9RW982DUILM2WPT5VWQ3" localSheetId="0" hidden="1">#REF!</definedName>
    <definedName name="BEx1LRPGDQCOEMW8YT80J1XCDCIV" localSheetId="0" hidden="1">#REF!</definedName>
    <definedName name="BEx1LRUSJW4JG54X07QWD9R27WV9" localSheetId="0" hidden="1">#REF!</definedName>
    <definedName name="BEx1M1WBK5T0LP1AK2JYV6W87ID6" localSheetId="0" hidden="1">#REF!</definedName>
    <definedName name="BEx1M51HHDYGIT8PON7U8ICL2S95" localSheetId="0" hidden="1">#REF!</definedName>
    <definedName name="BEx1MTRKKVCHOZ0YGID6HZ49LJTO" localSheetId="0" hidden="1">#REF!</definedName>
    <definedName name="BEx1N3CUJ3UX61X38ZAJVPEN4KMC" localSheetId="0" hidden="1">#REF!</definedName>
    <definedName name="BEx1NM34KQTO1LDNSAFD1L82UZFG" localSheetId="0" hidden="1">#REF!</definedName>
    <definedName name="BEx1NO6TXZVOGCUWCCRTXRXWW0XL" localSheetId="0" hidden="1">#REF!</definedName>
    <definedName name="BEx1NS8EU5P9FQV3S0WRTXI5L361" localSheetId="0" hidden="1">#REF!</definedName>
    <definedName name="BEx1NUBX5VUYZFKQH69FN6BTLWCR" localSheetId="0" hidden="1">#REF!</definedName>
    <definedName name="BEx1NZ4K1L8UON80Y2A4RASKWGNP" localSheetId="0" hidden="1">#REF!</definedName>
    <definedName name="BEx1OLAZ915OGYWP0QP1QQWDLCRX" localSheetId="0" hidden="1">#REF!</definedName>
    <definedName name="BEx1OO5ER042IS6IC4TLDI75JNVH" localSheetId="0" hidden="1">#REF!</definedName>
    <definedName name="BEx1OTE54CBSUT8FWKRALEDCUWN4" localSheetId="0" hidden="1">#REF!</definedName>
    <definedName name="BEx1OVSMPADTX95QUOX34KZQ8EDY" localSheetId="0" hidden="1">#REF!</definedName>
    <definedName name="BEx1OX544IO9FQJI7YYQGZCEHB3O" localSheetId="0" hidden="1">#REF!</definedName>
    <definedName name="BEx1OY6SVEUT2EQ26P7EKEND342G" localSheetId="0" hidden="1">#REF!</definedName>
    <definedName name="BEx1OYN1LPIPI12O9G6F7QAOS9T4" localSheetId="0" hidden="1">#REF!</definedName>
    <definedName name="BEx1P1HHKJA799O3YZXQAX6KFH58" localSheetId="0" hidden="1">#REF!</definedName>
    <definedName name="BEx1P34W467WGPOXPK292QFJIPHJ" localSheetId="0" hidden="1">#REF!</definedName>
    <definedName name="BEx1P7S1J4TKGVJ43C2Q2R3M9WRB" localSheetId="0" hidden="1">#REF!</definedName>
    <definedName name="BEx1PA11BLPVZM8RC5BL46WX8YB5" localSheetId="0" hidden="1">#REF!</definedName>
    <definedName name="BEx1PBZ4BEFIPGMQXT9T8S4PZ2IM" localSheetId="0" hidden="1">#REF!</definedName>
    <definedName name="BEx1PLF2CFSXBZPVI6CJ534EIJDN" localSheetId="0" hidden="1">#REF!</definedName>
    <definedName name="BEx1PMWZB2DO6EM9BKLUICZJ65HD" localSheetId="0" hidden="1">#REF!</definedName>
    <definedName name="BEx1QA54J2A4I7IBQR19BTY28ZMR" localSheetId="0" hidden="1">#REF!</definedName>
    <definedName name="BEx1QMQAHG3KQUK59DVM68SWKZIZ" localSheetId="0" hidden="1">#REF!</definedName>
    <definedName name="BEx1R9YFKJCMSEST8OVCAO5E47FO" localSheetId="0" hidden="1">#REF!</definedName>
    <definedName name="BEx1RBGC06B3T52OIC0EQ1KGVP1I" localSheetId="0" hidden="1">#REF!</definedName>
    <definedName name="BEx1RRC7X4NI1CU4EO5XYE2GVARJ" localSheetId="0" hidden="1">#REF!</definedName>
    <definedName name="BEx1RZA1NCGT832L7EMR7GMF588W" localSheetId="0" hidden="1">#REF!</definedName>
    <definedName name="BEx1S0XGIPUSZQUCSGWSK10GKW7Y" localSheetId="0" hidden="1">#REF!</definedName>
    <definedName name="BEx1S5VFNKIXHTTCWSV60UC50EZ8" localSheetId="0" hidden="1">#REF!</definedName>
    <definedName name="BEx1SK3U02H0RGKEYXW7ZMCEOF3V" localSheetId="0" hidden="1">#REF!</definedName>
    <definedName name="BEx1SSNEZINBJT29QVS62VS1THT4" localSheetId="0" hidden="1">#REF!</definedName>
    <definedName name="BEx1SVNCHNANBJIDIQVB8AFK4HAN" localSheetId="0" hidden="1">#REF!</definedName>
    <definedName name="BEx1TJ0WLS9O7KNSGIPWTYHDYI1D" localSheetId="0" hidden="1">#REF!</definedName>
    <definedName name="BEx1U15M7LVVFZENH830B2BGWC04" localSheetId="0" hidden="1">#REF!</definedName>
    <definedName name="BEx1U7WFO8OZKB1EBF4H386JW91L" localSheetId="0" hidden="1">#REF!</definedName>
    <definedName name="BEx1U87938YR9N6HYI24KVBKLOS3" localSheetId="0" hidden="1">#REF!</definedName>
    <definedName name="BEx1UESH4KDWHYESQU2IE55RS3LI" localSheetId="0" hidden="1">#REF!</definedName>
    <definedName name="BEx1UI8N9KTCPSOJ7RDW0T8UEBNP" localSheetId="0" hidden="1">#REF!</definedName>
    <definedName name="BEx1UML0HHJFHA5TBOYQ24I3RV1W" localSheetId="0" hidden="1">#REF!</definedName>
    <definedName name="BEx1UUDIQPZ23XQ79GUL0RAWRSCK" localSheetId="0" hidden="1">#REF!</definedName>
    <definedName name="BEx1V67SEV778NVW68J8W5SND1J7" localSheetId="0" hidden="1">#REF!</definedName>
    <definedName name="BEx1VIY9SQLRESD11CC4PHYT0XSG" localSheetId="0" hidden="1">#REF!</definedName>
    <definedName name="BEx1WC67EH10SC38QWX3WEA5KH3A" localSheetId="0" hidden="1">#REF!</definedName>
    <definedName name="BEx1WGYTKZZIPM1577W5FEYKFH3V" localSheetId="0" hidden="1">#REF!</definedName>
    <definedName name="BEx1WHPURIV3D3PTJJ359H1OP7ZV" localSheetId="0" hidden="1">#REF!</definedName>
    <definedName name="BEx1WLWY2CR1WRD694JJSWSDFAIR" localSheetId="0" hidden="1">#REF!</definedName>
    <definedName name="BEx1WMD1LWPWRIK6GGAJRJAHJM8I" localSheetId="0" hidden="1">#REF!</definedName>
    <definedName name="BEx1WR0D41MR174LBF3P9E3K0J51" localSheetId="0" hidden="1">#REF!</definedName>
    <definedName name="BEx1WUB1FAS5PHU33TJ60SUHR618" localSheetId="0" hidden="1">#REF!</definedName>
    <definedName name="BEx1WX04G0INSPPG9NTNR3DYR6PZ" localSheetId="0" hidden="1">#REF!</definedName>
    <definedName name="BEx1X3LHU9DPG01VWX2IF65TRATF" localSheetId="0" hidden="1">#REF!</definedName>
    <definedName name="BEx1XK8AAMO0AH0Z1OUKW30CA7EQ" localSheetId="0" hidden="1">#REF!</definedName>
    <definedName name="BEx1XL4MZ7C80495GHQRWOBS16PQ" localSheetId="0" hidden="1">#REF!</definedName>
    <definedName name="BEx1Y2IGS2K95E1M51PEF9KJZ0KB" localSheetId="0" hidden="1">#REF!</definedName>
    <definedName name="BEx1Y3PKK83X2FN9SAALFHOWKMRQ" localSheetId="0" hidden="1">#REF!</definedName>
    <definedName name="BEx1YL3DJ7Y4AZ01ERCOGW0FJ26T" localSheetId="0" hidden="1">#REF!</definedName>
    <definedName name="BEx1Z2RYHSVD1H37817SN93VMURZ" localSheetId="0" hidden="1">#REF!</definedName>
    <definedName name="BEx3AMAKWI6458B67VKZO56MCNJW" localSheetId="0" hidden="1">#REF!</definedName>
    <definedName name="BEx3AOOVM42G82TNF53W0EKXLUSI" localSheetId="0" hidden="1">#REF!</definedName>
    <definedName name="BEx3AZH9W4SUFCAHNDOQ728R9V4L" localSheetId="0" hidden="1">#REF!</definedName>
    <definedName name="BEx3BNR9ES4KY7Q1DK83KC5NDGL8" localSheetId="0" hidden="1">#REF!</definedName>
    <definedName name="BEx3BQR5VZXNQ4H949ORM8ESU3B3" localSheetId="0" hidden="1">#REF!</definedName>
    <definedName name="BEx3BTLL3ASJN134DLEQTQM70VZM" localSheetId="0" hidden="1">#REF!</definedName>
    <definedName name="BEx3BW5CTV0DJU5AQS3ZQFK2VLF3" localSheetId="0" hidden="1">#REF!</definedName>
    <definedName name="BEx3BYP0FG369M7G3JEFLMMXAKTS" localSheetId="0" hidden="1">#REF!</definedName>
    <definedName name="BEx3C2QR0WUD19QSVO8EMIPNQJKH" localSheetId="0" hidden="1">#REF!</definedName>
    <definedName name="BEx3CCS3VNR1KW2R7DKSQFZ17QW0" localSheetId="0" hidden="1">#REF!</definedName>
    <definedName name="BEx3CKFCCPZZ6ROLAT5C1DZNIC1U" localSheetId="0" hidden="1">#REF!</definedName>
    <definedName name="BEx3CO0SVO4WLH0DO43DCHYDTH1P" localSheetId="0" hidden="1">#REF!</definedName>
    <definedName name="BEx3D9G6QTSPF9UYI4X0XY0VE896" localSheetId="0" hidden="1">#REF!</definedName>
    <definedName name="BEx3DCQU9PBRXIMLO62KS5RLH447" localSheetId="0" hidden="1">#REF!</definedName>
    <definedName name="BEx3EF99FD6QNNCNOKDEE67JHTUJ" localSheetId="0" hidden="1">#REF!</definedName>
    <definedName name="BEx3EHCSERZ2O2OAG8Y95UPG2IY9" localSheetId="0" hidden="1">#REF!</definedName>
    <definedName name="BEx3EJR3TCJDYS7ZXNDS5N9KTGIK" localSheetId="0" hidden="1">#REF!</definedName>
    <definedName name="BEx3ELJTTBS6P05CNISMGOJOA60V" localSheetId="0" hidden="1">#REF!</definedName>
    <definedName name="BEx3EQSLJBDDJRHNX19PBFCKNY2I" localSheetId="0" hidden="1">#REF!</definedName>
    <definedName name="BEx3EUUAX947Q5N6MY6W0KSNY78Y" localSheetId="0" hidden="1">#REF!</definedName>
    <definedName name="BEx3FHMD1P5XBCH23ZKIFO6ZTCNB" localSheetId="0" hidden="1">#REF!</definedName>
    <definedName name="BEx3FI2G3YYIACQHXNXEA15M8ZK5" localSheetId="0" hidden="1">#REF!</definedName>
    <definedName name="BEx3FJ9MHSLDK8W91GO85FX1GX57" localSheetId="0" hidden="1">#REF!</definedName>
    <definedName name="BEx3FR251HFU7A33PU01SJUENL2B" localSheetId="0" hidden="1">#REF!</definedName>
    <definedName name="BEx3FX7EJL47JSLSWP3EOC265WAE" localSheetId="0" hidden="1">#REF!</definedName>
    <definedName name="BEx3G201R8NLJ6FIHO2QS0SW9QVV" localSheetId="0" hidden="1">#REF!</definedName>
    <definedName name="BEx3G2LL2II66XY5YCDPG4JE13A3" localSheetId="0" hidden="1">#REF!</definedName>
    <definedName name="BEx3G2WA0DTYY9D8AGHHOBTPE2B2" localSheetId="0" hidden="1">#REF!</definedName>
    <definedName name="BEx3GCXR6IAS0B6WJ03GJVH7CO52" localSheetId="0" hidden="1">#REF!</definedName>
    <definedName name="BEx3GEVV18SEQDI1JGY7EN6D1GT1" localSheetId="0" hidden="1">#REF!</definedName>
    <definedName name="BEx3GKFH64MKQX61S7DYTZ15JCPY" localSheetId="0" hidden="1">#REF!</definedName>
    <definedName name="BEx3GMJ1Y6UU02DLRL0QXCEKDA6C" localSheetId="0" hidden="1">#REF!</definedName>
    <definedName name="BEx3GN4LY0135CBDIN1TU2UEODGF" localSheetId="0" hidden="1">#REF!</definedName>
    <definedName name="BEx3GPDH2AH4QKT4OOSN563XUHBD" localSheetId="0" hidden="1">#REF!</definedName>
    <definedName name="BEx3H5UX2GZFZZT657YR76RHW5I6" localSheetId="0" hidden="1">#REF!</definedName>
    <definedName name="BEx3HMSEFOP6DBM4R97XA6B7NFG6" localSheetId="0" hidden="1">#REF!</definedName>
    <definedName name="BEx3HWJ5SQSD2CVCQNR183X44FR8" localSheetId="0" hidden="1">#REF!</definedName>
    <definedName name="BEx3I09YVXO0G4X7KGSA4WGORM35" localSheetId="0" hidden="1">#REF!</definedName>
    <definedName name="BEx3ICF1GY8HQEBIU9S43PDJ90BX" localSheetId="0" hidden="1">#REF!</definedName>
    <definedName name="BEx3IYAH2DEBFWO8F94H4MXE3RLY" localSheetId="0" hidden="1">#REF!</definedName>
    <definedName name="BEx3IZXXSYEW50379N2EAFWO8DZV" localSheetId="0" hidden="1">#REF!</definedName>
    <definedName name="BEx3J1VZVGTKT4ATPO9O5JCSFTTR" localSheetId="0" hidden="1">#REF!</definedName>
    <definedName name="BEx3JC2TY7JNAAC3L7QHVPQXLGQ8" localSheetId="0" hidden="1">#REF!</definedName>
    <definedName name="BEx3JX23SYDIGOGM4Y0CQFBW8ZBV" localSheetId="0" hidden="1">#REF!</definedName>
    <definedName name="BEx3JXCXCVBZJGV5VEG9MJEI01AL" localSheetId="0" hidden="1">#REF!</definedName>
    <definedName name="BEx3JYK2N7X59TPJSKYZ77ENY8SS" localSheetId="0" hidden="1">#REF!</definedName>
    <definedName name="BEx3K4EII7GU1CG0BN7UL15M6J8Z" localSheetId="0" hidden="1">#REF!</definedName>
    <definedName name="BEx3K4ZXQUQ2KYZF74B84SO48XMW" localSheetId="0" hidden="1">#REF!</definedName>
    <definedName name="BEx3KEFXUCVNVPH7KSEGAZYX13B5" localSheetId="0" hidden="1">#REF!</definedName>
    <definedName name="BEx3KFXUAF6YXAA47B7Q6X9B3VGB" localSheetId="0" hidden="1">#REF!</definedName>
    <definedName name="BEx3KIXQYOGMPK4WJJAVBRX4NR28" localSheetId="0" hidden="1">#REF!</definedName>
    <definedName name="BEx3KJOMVOSFZVJUL3GKCNP6DQDS" localSheetId="0" hidden="1">#REF!</definedName>
    <definedName name="BEx3KP2VRBMORK0QEAZUYCXL3DHJ" localSheetId="0" hidden="1">#REF!</definedName>
    <definedName name="BEx3L4IN3LI4C26SITKTGAH27CDU" localSheetId="0" hidden="1">#REF!</definedName>
    <definedName name="BEx3L4YQ0J7ZU0M5QM6YIPCEYC9K" localSheetId="0" hidden="1">#REF!</definedName>
    <definedName name="BEx3L60DJOR7NQN42G7YSAODP1EX" localSheetId="0" hidden="1">#REF!</definedName>
    <definedName name="BEx3L7D0PI38HWZ7VADU16C9E33D" localSheetId="0" hidden="1">#REF!</definedName>
    <definedName name="BEx3LM1PR4Y7KINKMTMKR984GX8Q" localSheetId="0" hidden="1">#REF!</definedName>
    <definedName name="BEx3LPCEZ1C0XEKNCM3YT09JWCUO" localSheetId="0" hidden="1">#REF!</definedName>
    <definedName name="BEx3M1MR1K1NQD03H74BFWOK4MWQ" localSheetId="0" hidden="1">#REF!</definedName>
    <definedName name="BEx3M4H77MYUKOOD31H9F80NMVK8" localSheetId="0" hidden="1">#REF!</definedName>
    <definedName name="BEx3M9VFX329PZWYC4DMZ6P3W9R2" localSheetId="0" hidden="1">#REF!</definedName>
    <definedName name="BEx3MCQ0VEBV0CZXDS505L38EQ8N" localSheetId="0" hidden="1">#REF!</definedName>
    <definedName name="BEx3MEYV5LQY0BAL7V3CFAFVOM3T" localSheetId="0" hidden="1">#REF!</definedName>
    <definedName name="BEx3MREOFWJQEYMCMBL7ZE06NBN6" localSheetId="0" hidden="1">#REF!</definedName>
    <definedName name="BEx3NKXF7GYXHBK75UI6MDRUSU0J" localSheetId="0" hidden="1">#REF!</definedName>
    <definedName name="BEx3NLIZ7PHF2XE59ECZ3MD04ZG1" localSheetId="0" hidden="1">#REF!</definedName>
    <definedName name="BEx3NMQ4BVC94728AUM7CCX7UHTU" localSheetId="0" hidden="1">#REF!</definedName>
    <definedName name="BEx3NR2I4OUFP3Z2QZEDU2PIFIDI" localSheetId="0" hidden="1">#REF!</definedName>
    <definedName name="BEx3O19B8FTTAPVT5DZXQGQXWFR8" localSheetId="0" hidden="1">#REF!</definedName>
    <definedName name="BEx3O85IKWARA6NCJOLRBRJFMEWW" localSheetId="0" hidden="1">#REF!</definedName>
    <definedName name="BEx3OJZSCGFRW7SVGBFI0X9DNVMM" localSheetId="0" hidden="1">#REF!</definedName>
    <definedName name="BEx3ORSBUXAF21MKEY90YJV9AY9A" localSheetId="0" hidden="1">#REF!</definedName>
    <definedName name="BEx3OV8BH6PYNZT7C246LOAU9SVX" localSheetId="0" hidden="1">#REF!</definedName>
    <definedName name="BEx3OXRYJZUEY6E72UJU0PHLMYAR" localSheetId="0" hidden="1">#REF!</definedName>
    <definedName name="BEx3P59TTRSGQY888P5C1O7M2PQT" localSheetId="0" hidden="1">#REF!</definedName>
    <definedName name="BEx3PDNRRNKD5GOUBUQFXAHIXLD9" localSheetId="0" hidden="1">#REF!</definedName>
    <definedName name="BEx3PDT8GNPWLLN02IH1XPV90XYK" localSheetId="0" hidden="1">#REF!</definedName>
    <definedName name="BEx3PKEMDW8KZEP11IL927C5O7I2" localSheetId="0" hidden="1">#REF!</definedName>
    <definedName name="BEx3PKJZ1Z7L9S6KV8KXVS6B2FX4" localSheetId="0" hidden="1">#REF!</definedName>
    <definedName name="BEx3PMNG53Z5HY138H99QOMTX8W3" localSheetId="0" hidden="1">#REF!</definedName>
    <definedName name="BEx3PP1RRSFZ8UC0JC9R91W6LNKW" localSheetId="0" hidden="1">#REF!</definedName>
    <definedName name="BEx3PVXYZC8WB9ZJE7OCKUXZ46EA" localSheetId="0" hidden="1">#REF!</definedName>
    <definedName name="BEx3Q0VWPU5EQECK7MQ47TYJ3SWW" localSheetId="0" hidden="1">#REF!</definedName>
    <definedName name="BEx3Q7BZ9PUXK2RLIOFSIS9AHU1B" localSheetId="0" hidden="1">#REF!</definedName>
    <definedName name="BEx3Q8J42S9VU6EAN2Y28MR6DF88" localSheetId="0" hidden="1">#REF!</definedName>
    <definedName name="BEx3QEDFOYFY5NBTININ5W4RLD4Q" localSheetId="0" hidden="1">#REF!</definedName>
    <definedName name="BEx3QIKJ3U962US1Q564NZDLU8LD" localSheetId="0" hidden="1">#REF!</definedName>
    <definedName name="BEx3QR9D45DHW50VQ7Y3Q1AXPOB9" localSheetId="0" hidden="1">#REF!</definedName>
    <definedName name="BEx3QSWT2S5KWG6U2V9711IYDQBM" localSheetId="0" hidden="1">#REF!</definedName>
    <definedName name="BEx3QVGG7Q2X4HZHJAM35A8T3VR7" localSheetId="0" hidden="1">#REF!</definedName>
    <definedName name="BEx3R0JUB9YN8PHPPQTAMIT1IHWK" localSheetId="0" hidden="1">#REF!</definedName>
    <definedName name="BEx3R81NFRO7M81VHVKOBFT0QBIL" localSheetId="0" hidden="1">#REF!</definedName>
    <definedName name="BEx3RHC2ZD5UFS6QD4OPFCNNMWH1" localSheetId="0" hidden="1">#REF!</definedName>
    <definedName name="BEx3RQ10QIWBAPHALAA91BUUCM2X" localSheetId="0" hidden="1">#REF!</definedName>
    <definedName name="BEx3RV4E1WT43SZBUN09RTB8EK1O" localSheetId="0" hidden="1">#REF!</definedName>
    <definedName name="BEx3RXYU0QLFXSFTM5EB20GD03W5" localSheetId="0" hidden="1">#REF!</definedName>
    <definedName name="BEx3RYKLC3QQO3XTUN7BEW2AQL98" localSheetId="0" hidden="1">#REF!</definedName>
    <definedName name="BEx3SICJ45BYT6FHBER86PJT25FC" localSheetId="0" hidden="1">#REF!</definedName>
    <definedName name="BEx3SMUCMJVGQ2H4EHQI5ZFHEF0P" localSheetId="0" hidden="1">#REF!</definedName>
    <definedName name="BEx3SN56F03CPDRDA7LZ763V0N4I" localSheetId="0" hidden="1">#REF!</definedName>
    <definedName name="BEx3SPE6N1ORXPRCDL3JPZD73Z9F" localSheetId="0" hidden="1">#REF!</definedName>
    <definedName name="BEx3T29ZTULQE0OMSMWUMZDU9ZZ0" localSheetId="0" hidden="1">#REF!</definedName>
    <definedName name="BEx3T6MJ1QDJ929WMUDVZ0O3UW0Y" localSheetId="0" hidden="1">#REF!</definedName>
    <definedName name="BEx3TPCSI16OAB2L9M9IULQMQ9J9" localSheetId="0" hidden="1">#REF!</definedName>
    <definedName name="BEx3U64YUOZ419BAJS2W78UMATAW" localSheetId="0" hidden="1">#REF!</definedName>
    <definedName name="BEx3U94WCEA5DKMWBEX1GU0LKYG2" localSheetId="0" hidden="1">#REF!</definedName>
    <definedName name="BEx3U9VZ8SQVYS6ZA038J7AP7ZGW" localSheetId="0" hidden="1">#REF!</definedName>
    <definedName name="BEx3UIQ5WRJBGNTFCCLOR4N7B1OQ" localSheetId="0" hidden="1">#REF!</definedName>
    <definedName name="BEx3UJMIX2NUSSWGMSI25A5DM4CH" localSheetId="0" hidden="1">#REF!</definedName>
    <definedName name="BEx3UKOCOQG7S1YQ436S997K1KWV" localSheetId="0" hidden="1">#REF!</definedName>
    <definedName name="BEx3UYM19VIXLA0EU7LB9NHA77PB" localSheetId="0" hidden="1">#REF!</definedName>
    <definedName name="BEx3VML7CG70HPISMVYIUEN3711Q" localSheetId="0" hidden="1">#REF!</definedName>
    <definedName name="BEx56ZID5H04P9AIYLP1OASFGV56" localSheetId="0" hidden="1">#REF!</definedName>
    <definedName name="BEx586DAV4BC4NL6FWXGK23GKX1A" localSheetId="0" hidden="1">#REF!</definedName>
    <definedName name="BEx587EYSS57E3PI8DT973HLJM9E" localSheetId="0" hidden="1">#REF!</definedName>
    <definedName name="BEx587KFQ3VKCOCY1SA5F24PQGUI" localSheetId="0" hidden="1">#REF!</definedName>
    <definedName name="BEx58O780PQ05NF0Z1SKKRB3N099" localSheetId="0" hidden="1">#REF!</definedName>
    <definedName name="BEx58XHO7ZULLF2EUD7YIS0MGQJ5" localSheetId="0" hidden="1">#REF!</definedName>
    <definedName name="BEx58ZW0HAIGIPEX9CVA1PQQTR6X" localSheetId="0" hidden="1">#REF!</definedName>
    <definedName name="BEx59BA1KH3RG6K1LHL7YS2VB79N" localSheetId="0" hidden="1">#REF!</definedName>
    <definedName name="BEx59E9WABJP2TN71QAIKK79HPK9" localSheetId="0" hidden="1">#REF!</definedName>
    <definedName name="BEx59P7MAPNU129ZTC5H3EH892G1" localSheetId="0" hidden="1">#REF!</definedName>
    <definedName name="BEx5A11WZRQSIE089QE119AOX9ZG" localSheetId="0" hidden="1">#REF!</definedName>
    <definedName name="BEx5A7CIGCOTHJKHGUBDZG91JGPZ" localSheetId="0" hidden="1">#REF!</definedName>
    <definedName name="BEx5A8UFLT2SWVSG5COFA9B8P376" localSheetId="0" hidden="1">#REF!</definedName>
    <definedName name="BEx5AFFTN3IXIBHDKM0FYC4OFL1S" localSheetId="0" hidden="1">#REF!</definedName>
    <definedName name="BEx5AOFIO8KVRHIZ1RII337AA8ML" localSheetId="0" hidden="1">#REF!</definedName>
    <definedName name="BEx5APRZ66L5BWHFE8E4YYNEDTI4" localSheetId="0" hidden="1">#REF!</definedName>
    <definedName name="BEx5AUVDSQ35VO4BD9AKKGBM5S7D" localSheetId="0" hidden="1">#REF!</definedName>
    <definedName name="BEx5B4RHHX0J1BF2FZKEA0SPP29O" localSheetId="0" hidden="1">#REF!</definedName>
    <definedName name="BEx5B5YMSWP0OVI5CIQRP5V18D0C" localSheetId="0" hidden="1">#REF!</definedName>
    <definedName name="BEx5B825RW35M5H0UB2IZGGRS4ER" localSheetId="0" hidden="1">#REF!</definedName>
    <definedName name="BEx5BAWPMY0TL684WDXX6KKJLRCN" localSheetId="0" hidden="1">#REF!</definedName>
    <definedName name="BEx5BBI61U4Y65GD0ARMTALPP7SJ" localSheetId="0" hidden="1">#REF!</definedName>
    <definedName name="BEx5BDR56MEV4IHY6CIH2SVNG1UB" localSheetId="0" hidden="1">#REF!</definedName>
    <definedName name="BEx5BESZC5H329SKHGJOHZFILYJJ" localSheetId="0" hidden="1">#REF!</definedName>
    <definedName name="BEx5BHSQ42B50IU1TEQFUXFX9XQD" localSheetId="0" hidden="1">#REF!</definedName>
    <definedName name="BEx5BKSM4UN4C1DM3EYKM79MRC5K" localSheetId="0" hidden="1">#REF!</definedName>
    <definedName name="BEx5BNN8NPH9KVOBARB9CDD9WLB6" localSheetId="0" hidden="1">#REF!</definedName>
    <definedName name="BEx5BYFMZ80TDDN2EZO8CF39AIAC" localSheetId="0" hidden="1">#REF!</definedName>
    <definedName name="BEx5C2BWFW6SHZBFDEISKGXHZCQW" localSheetId="0" hidden="1">#REF!</definedName>
    <definedName name="BEx5C49ZFH8TO9ZU55729C3F7XG7" localSheetId="0" hidden="1">#REF!</definedName>
    <definedName name="BEx5C8GZQK13G60ZM70P63I5OS0L" localSheetId="0" hidden="1">#REF!</definedName>
    <definedName name="BEx5CAPTVN2NBT3UOMA1UFAL1C2R" localSheetId="0" hidden="1">#REF!</definedName>
    <definedName name="BEx5CEM3SYF9XP0ZZVE0GEPCLV3F" localSheetId="0" hidden="1">#REF!</definedName>
    <definedName name="BEx5CFYQ0F1Z6P8SCVJ0I3UPVFE4" localSheetId="0" hidden="1">#REF!</definedName>
    <definedName name="BEx5CINUDCSDCAJSNNV7XVNU8Q79" localSheetId="0" hidden="1">#REF!</definedName>
    <definedName name="BEx5CNLUIOYU8EODGA03Z3547I9T" localSheetId="0" hidden="1">#REF!</definedName>
    <definedName name="BEx5CPEKNSJORIPFQC2E1LTRYY8L" localSheetId="0" hidden="1">#REF!</definedName>
    <definedName name="BEx5CSUOL05D8PAM2TRDA9VRJT1O" localSheetId="0" hidden="1">#REF!</definedName>
    <definedName name="BEx5CUNFOO4YDFJ22HCMI2QKIGKM" localSheetId="0" hidden="1">#REF!</definedName>
    <definedName name="BEx5D8L47OF0WHBPFWXGZINZWUBZ" localSheetId="0" hidden="1">#REF!</definedName>
    <definedName name="BEx5DAJAHQ2SKUPCKSCR3PYML67L" localSheetId="0" hidden="1">#REF!</definedName>
    <definedName name="BEx5DC18JM1KJCV44PF18E0LNRKA" localSheetId="0" hidden="1">#REF!</definedName>
    <definedName name="BEx5DJIZBTNS011R9IIG2OQ2L6ZX" localSheetId="0" hidden="1">#REF!</definedName>
    <definedName name="BEx5E123OLO9WQUOIRIDJ967KAGK" localSheetId="0" hidden="1">#REF!</definedName>
    <definedName name="BEx5E2UU5NES6W779W2OZTZOB4O7" localSheetId="0" hidden="1">#REF!</definedName>
    <definedName name="BEx5E4CSE5G83J5K32WENF7BXL82" localSheetId="0" hidden="1">#REF!</definedName>
    <definedName name="BEx5ELQL9B0VR6UT18KP11DHOTFX" localSheetId="0" hidden="1">#REF!</definedName>
    <definedName name="BEx5ER4TJTFPN7IB1MNEB1ZFR5M6" localSheetId="0" hidden="1">#REF!</definedName>
    <definedName name="BEx5F6V72QTCK7O39Y59R0EVM6CW" localSheetId="0" hidden="1">#REF!</definedName>
    <definedName name="BEx5FGLQVACD5F5YZG4DGSCHCGO2" localSheetId="0" hidden="1">#REF!</definedName>
    <definedName name="BEx5FLJWHLW3BTZILDPN5NMA449V" localSheetId="0" hidden="1">#REF!</definedName>
    <definedName name="BEx5FNI2O10YN2SI1NO4X5GP3GTF" localSheetId="0" hidden="1">#REF!</definedName>
    <definedName name="BEx5FO8YRFSZCG3L608EHIHIHFY4" localSheetId="0" hidden="1">#REF!</definedName>
    <definedName name="BEx5FQNA6V4CNYSH013K45RI4BCV" localSheetId="0" hidden="1">#REF!</definedName>
    <definedName name="BEx5FVQPPEU32CPNV9RRQ9MNLLVE" localSheetId="0" hidden="1">#REF!</definedName>
    <definedName name="BEx5G08KGMG5X2AQKDGPFYG5GH94" localSheetId="0" hidden="1">#REF!</definedName>
    <definedName name="BEx5G1A8TFN4C4QII35U9DKYNIS8" localSheetId="0" hidden="1">#REF!</definedName>
    <definedName name="BEx5G1L0QO91KEPDMV1D8OT4BT73" localSheetId="0" hidden="1">#REF!</definedName>
    <definedName name="BEx5G86DZL1VYUX6KWODAP3WFAWP" localSheetId="0" hidden="1">#REF!</definedName>
    <definedName name="BEx5G8BV2GIOCM3C7IUFK8L04A6M" localSheetId="0" hidden="1">#REF!</definedName>
    <definedName name="BEx5GID9MVBUPFFT9M8K8B5MO9NV" localSheetId="0" hidden="1">#REF!</definedName>
    <definedName name="BEx5GN0EWA9SCQDPQ7NTUQH82QVK" localSheetId="0" hidden="1">#REF!</definedName>
    <definedName name="BEx5GNBCU4WZ74I0UXFL9ZG2XSGJ" localSheetId="0" hidden="1">#REF!</definedName>
    <definedName name="BEx5GUCTYC7QCWGWU5BTO7Y7HDZX" localSheetId="0" hidden="1">#REF!</definedName>
    <definedName name="BEx5GYUPJULJQ624TEESYFG1NFOH" localSheetId="0" hidden="1">#REF!</definedName>
    <definedName name="BEx5H0NEE0AIN5E2UHJ9J9ISU9N1" localSheetId="0" hidden="1">#REF!</definedName>
    <definedName name="BEx5H1UJSEUQM2K8QHQXO5THVHSO" localSheetId="0" hidden="1">#REF!</definedName>
    <definedName name="BEx5HAOT9XWUF7XIFRZZS8B9F5TZ" localSheetId="0" hidden="1">#REF!</definedName>
    <definedName name="BEx5HE4XRF9BUY04MENWY9CHHN5H" localSheetId="0" hidden="1">#REF!</definedName>
    <definedName name="BEx5HFHMABAT0H9KKS754X4T304E" localSheetId="0" hidden="1">#REF!</definedName>
    <definedName name="BEx5HGDZ7MX1S3KNXLRL9WU565V4" localSheetId="0" hidden="1">#REF!</definedName>
    <definedName name="BEx5HJZ9FAVNZSSBTAYRPZDYM9NU" localSheetId="0" hidden="1">#REF!</definedName>
    <definedName name="BEx5HZ9JMKHNLFWLVUB1WP5B39BL" localSheetId="0" hidden="1">#REF!</definedName>
    <definedName name="BEx5I244LQHZTF3XI66J8705R9XX" localSheetId="0" hidden="1">#REF!</definedName>
    <definedName name="BEx5I8PBP4LIXDGID5BP0THLO0AQ" localSheetId="0" hidden="1">#REF!</definedName>
    <definedName name="BEx5I8USVUB3JP4S9OXGMZVMOQXR" localSheetId="0" hidden="1">#REF!</definedName>
    <definedName name="BEx5I9GDQSYIAL65UQNDMNFQCS9Y" localSheetId="0" hidden="1">#REF!</definedName>
    <definedName name="BEx5IBUPG9AWNW5PK7JGRGEJ4OLM" localSheetId="0" hidden="1">#REF!</definedName>
    <definedName name="BEx5IC06RVN8BSAEPREVKHKLCJ2L" localSheetId="0" hidden="1">#REF!</definedName>
    <definedName name="BEx5J0FFP1KS4NGY20AEJI8VREEA" localSheetId="0" hidden="1">#REF!</definedName>
    <definedName name="BEx5JF3ZXLDIS8VNKDCY7ZI7H1CI" localSheetId="0" hidden="1">#REF!</definedName>
    <definedName name="BEx5JHCZJ8G6OOOW6EF3GABXKH6F" localSheetId="0" hidden="1">#REF!</definedName>
    <definedName name="BEx5JJB6W446THXQCRUKD3I7RKLP" localSheetId="0" hidden="1">#REF!</definedName>
    <definedName name="BEx5JJWTMI37U3RDEJOYLO93RJ6Z" localSheetId="0" hidden="1">#REF!</definedName>
    <definedName name="BEx5JNCT8Z7XSSPD5EMNAJELCU2V" localSheetId="0" hidden="1">#REF!</definedName>
    <definedName name="BEx5JQCNT9Y4RM306CHC8IPY3HBZ" localSheetId="0" hidden="1">#REF!</definedName>
    <definedName name="BEx5K08PYKE6JOKBYIB006TX619P" localSheetId="0" hidden="1">#REF!</definedName>
    <definedName name="BEx5K51DSERT1TR7B4A29R41W4NX" localSheetId="0" hidden="1">#REF!</definedName>
    <definedName name="BEx5KTWXPT0ZECLO1VODEPHUO4VS" localSheetId="0" hidden="1">#REF!</definedName>
    <definedName name="BEx5KYER580I4T7WTLMUN7NLNP5K" localSheetId="0" hidden="1">#REF!</definedName>
    <definedName name="BEx5LHLB3M6K4ZKY2F42QBZT30ZH" localSheetId="0" hidden="1">#REF!</definedName>
    <definedName name="BEx5LRMNU3HXIE1BUMDHRU31F7JJ" localSheetId="0" hidden="1">#REF!</definedName>
    <definedName name="BEx5LSJ1LPUAX3ENSPECWPG4J7D1" localSheetId="0" hidden="1">#REF!</definedName>
    <definedName name="BEx5LTKQ8RQWJE4BC88OP928893U" localSheetId="0" hidden="1">#REF!</definedName>
    <definedName name="BEx5MB9BR71LZDG7XXQ2EO58JC5F" localSheetId="0" hidden="1">#REF!</definedName>
    <definedName name="BEx5MLQZM68YQSKARVWTTPINFQ2C" localSheetId="0" hidden="1">#REF!</definedName>
    <definedName name="BEx5MVXTKNBXHNWTL43C670E4KXC" localSheetId="0" hidden="1">#REF!</definedName>
    <definedName name="BEx5N4XI4PWB1W9PMZ4O5R0HWTYD" localSheetId="0" hidden="1">#REF!</definedName>
    <definedName name="BEx5NA68N6FJFX9UJXK4M14U487F" localSheetId="0" hidden="1">#REF!</definedName>
    <definedName name="BEx5NIKBG2GDJOYGE3WCXKU7YY51" localSheetId="0" hidden="1">#REF!</definedName>
    <definedName name="BEx5NV06L5J5IMKGOMGKGJ4PBZCD" localSheetId="0" hidden="1">#REF!</definedName>
    <definedName name="BEx5NZSSQ6PY99ZX2D7Q9IGOR34W" localSheetId="0" hidden="1">#REF!</definedName>
    <definedName name="BEx5O3ZUQ2OARA1CDOZ3NC4UE5AA" localSheetId="0" hidden="1">#REF!</definedName>
    <definedName name="BEx5OAFS0NJ2CB86A02E1JYHMLQ1" localSheetId="0" hidden="1">#REF!</definedName>
    <definedName name="BEx5OG4RPU8W1ETWDWM234NYYYEN" localSheetId="0" hidden="1">#REF!</definedName>
    <definedName name="BEx5OP9Y43F99O2IT69MKCCXGL61" localSheetId="0" hidden="1">#REF!</definedName>
    <definedName name="BEx5P9Y9RDXNUAJ6CZ2LHMM8IM7T" localSheetId="0" hidden="1">#REF!</definedName>
    <definedName name="BEx5PHWB2C0D5QLP3BZIP3UO7DIZ" localSheetId="0" hidden="1">#REF!</definedName>
    <definedName name="BEx5PJP02W68K2E46L5C5YBSNU6T" localSheetId="0" hidden="1">#REF!</definedName>
    <definedName name="BEx5PLCA8DOMAU315YCS5275L2HS" localSheetId="0" hidden="1">#REF!</definedName>
    <definedName name="BEx5PRXMZ5M65Z732WNNGV564C2J" localSheetId="0" hidden="1">#REF!</definedName>
    <definedName name="BEx5QPSW4IPLH50WSR87HRER05RF" localSheetId="0" hidden="1">#REF!</definedName>
    <definedName name="BEx73V0EP8EMNRC3EZJJKKVKWQVB" localSheetId="0" hidden="1">#REF!</definedName>
    <definedName name="BEx741WJHIJVXUX131SBXTVW8D71" localSheetId="0" hidden="1">#REF!</definedName>
    <definedName name="BEx74ESIB9Y8KGETIERMKU5PLCQR" localSheetId="0" hidden="1">#REF!</definedName>
    <definedName name="BEx74Q6H3O7133AWQXWC21MI2UFT" localSheetId="0" hidden="1">#REF!</definedName>
    <definedName name="BEx74W6BJ8ENO3J25WNM5H5APKA3" localSheetId="0" hidden="1">#REF!</definedName>
    <definedName name="BEx755GRRD9BL27YHLH5QWIYLWB7" localSheetId="0" hidden="1">#REF!</definedName>
    <definedName name="BEx759D1D5SXS5ELLZVBI0SXYUNF" localSheetId="0" hidden="1">#REF!</definedName>
    <definedName name="BEx75GJZSZHUDN6OOAGQYFUDA2LP" localSheetId="0" hidden="1">#REF!</definedName>
    <definedName name="BEx75HGCCV5K4UCJWYV8EV9AG5YT" localSheetId="0" hidden="1">#REF!</definedName>
    <definedName name="BEx75PZT8TY5P13U978NVBUXKHT4" localSheetId="0" hidden="1">#REF!</definedName>
    <definedName name="BEx75T55F7GML8V1DMWL26WRT006" localSheetId="0" hidden="1">#REF!</definedName>
    <definedName name="BEx75VJGR07JY6UUWURQ4PJ29UKC" localSheetId="0" hidden="1">#REF!</definedName>
    <definedName name="BEx76S22AJU0ZMGB2AFB3OYC1ZYA" localSheetId="0" hidden="1">#REF!</definedName>
    <definedName name="BEx7741OUGLA0WJQLQRUJSL4DE00" localSheetId="0" hidden="1">#REF!</definedName>
    <definedName name="BEx774N83DXLJZ54Q42PWIJZ2DN1" localSheetId="0" hidden="1">#REF!</definedName>
    <definedName name="BEx779QNIY3061ZV9BR462WKEGRW" localSheetId="0" hidden="1">#REF!</definedName>
    <definedName name="BEx77G19QU9A95CNHE6QMVSQR2T3" localSheetId="0" hidden="1">#REF!</definedName>
    <definedName name="BEx77P0S3GVMS7BJUL9OWUGJ1B02" localSheetId="0" hidden="1">#REF!</definedName>
    <definedName name="BEx77QDESURI6WW5582YXSK3A972" localSheetId="0" hidden="1">#REF!</definedName>
    <definedName name="BEx77VBI9XOPFHKEWU5EHQ9J675Y" localSheetId="0" hidden="1">#REF!</definedName>
    <definedName name="BEx7809GQOCLHSNH95VOYIX7P1TV" localSheetId="0" hidden="1">#REF!</definedName>
    <definedName name="BEx780K8XAXUHGVZGZWQ74DK4CI3" localSheetId="0" hidden="1">#REF!</definedName>
    <definedName name="BEx78226TN58UE0CTY98YEDU0LSL" localSheetId="0" hidden="1">#REF!</definedName>
    <definedName name="BEx7881ZZBWHRAX6W2GY19J8MGEQ" localSheetId="0" hidden="1">#REF!</definedName>
    <definedName name="BEx78HHRIWDLHQX2LG0HWFRYEL1T" localSheetId="0" hidden="1">#REF!</definedName>
    <definedName name="BEx78QMXZ2P1ZB3HJ9O50DWHCMXR" localSheetId="0" hidden="1">#REF!</definedName>
    <definedName name="BEx78SFO5VR28677DWZEMDN7G86X" localSheetId="0" hidden="1">#REF!</definedName>
    <definedName name="BEx78SFOYH1Z0ZDTO47W2M60TW6K" localSheetId="0" hidden="1">#REF!</definedName>
    <definedName name="BEx79JK3E6JO8MX4O35A5G8NZCC8" localSheetId="0" hidden="1">#REF!</definedName>
    <definedName name="BEx79OCP4HQ6XP8EWNGEUDLOZBBS" localSheetId="0" hidden="1">#REF!</definedName>
    <definedName name="BEx79SEAYKUZB0H4LYBCD6WWJBG2" localSheetId="0" hidden="1">#REF!</definedName>
    <definedName name="BEx79SJRHTLS9PYM69O9BWW1FMJK" localSheetId="0" hidden="1">#REF!</definedName>
    <definedName name="BEx79YJJLBELICW9F9FRYSCQ101L" localSheetId="0" hidden="1">#REF!</definedName>
    <definedName name="BEx79YUC7B0V77FSBGIRCY1BR4VK" localSheetId="0" hidden="1">#REF!</definedName>
    <definedName name="BEx7A06T3RC2891FUX05G3QPRAUE" localSheetId="0" hidden="1">#REF!</definedName>
    <definedName name="BEx7A9S3JA1X7FH4CFSQLTZC4691" localSheetId="0" hidden="1">#REF!</definedName>
    <definedName name="BEx7ABA2C9IWH5VSLVLLLCY62161" localSheetId="0" hidden="1">#REF!</definedName>
    <definedName name="BEx7AE4LPLX8N85BYB0WCO5S7ZPV" localSheetId="0" hidden="1">#REF!</definedName>
    <definedName name="BEx7ASD1I654MEDCO6GGWA95PXSC" localSheetId="0" hidden="1">#REF!</definedName>
    <definedName name="BEx7AVCX9S5RJP3NSZ4QM4E6ERDT" localSheetId="0" hidden="1">#REF!</definedName>
    <definedName name="BEx7AVYIGP0930MV5JEBWRYCJN68" localSheetId="0" hidden="1">#REF!</definedName>
    <definedName name="BEx7B6LH6917TXOSAAQ6U7HVF018" localSheetId="0" hidden="1">#REF!</definedName>
    <definedName name="BEx7BPXFZXJ79FQ0E8AQE21PGVHA" localSheetId="0" hidden="1">#REF!</definedName>
    <definedName name="BEx7C04AM39DQMC1TIX7CFZ2ADHX" localSheetId="0" hidden="1">#REF!</definedName>
    <definedName name="BEx7C40F0PQURHPI6YQ39NFIR86Z" localSheetId="0" hidden="1">#REF!</definedName>
    <definedName name="BEx7C93VR7SYRIJS1JO8YZKSFAW9" localSheetId="0" hidden="1">#REF!</definedName>
    <definedName name="BEx7CCPC6R1KQQZ2JQU6EFI1G0RM" localSheetId="0" hidden="1">#REF!</definedName>
    <definedName name="BEx7CIJST9GLS2QD383UK7VUDTGL" localSheetId="0" hidden="1">#REF!</definedName>
    <definedName name="BEx7CO8T2XKC7GHDSYNAWTZ9L7YR" localSheetId="0" hidden="1">#REF!</definedName>
    <definedName name="BEx7CW1CF00DO8A36UNC2X7K65C2" localSheetId="0" hidden="1">#REF!</definedName>
    <definedName name="BEx7CW6NFRL2P4XWP0MWHIYA97KF" localSheetId="0" hidden="1">#REF!</definedName>
    <definedName name="BEx7D5RWKRS4W71J4NZ6ZSFHPKFT" localSheetId="0" hidden="1">#REF!</definedName>
    <definedName name="BEx7D8H1TPOX1UN17QZYEV7Q58GA" localSheetId="0" hidden="1">#REF!</definedName>
    <definedName name="BEx7DGF13H2074LRWFZQ45PZ6JPX" localSheetId="0" hidden="1">#REF!</definedName>
    <definedName name="BEx7DKWUXEDIISSX4GDD4YYT887F" localSheetId="0" hidden="1">#REF!</definedName>
    <definedName name="BEx7DMUYR2HC26WW7AOB1TULERMB" localSheetId="0" hidden="1">#REF!</definedName>
    <definedName name="BEx7DVJTRV44IMJIBFXELE67SZ7S" localSheetId="0" hidden="1">#REF!</definedName>
    <definedName name="BEx7DVUMFCI5INHMVFIJ44RTTSTT" localSheetId="0" hidden="1">#REF!</definedName>
    <definedName name="BEx7E2QT2U8THYOKBPXONB1B47WH" localSheetId="0" hidden="1">#REF!</definedName>
    <definedName name="BEx7E5QP7W6UKO74F5Y0VJ741HS5" localSheetId="0" hidden="1">#REF!</definedName>
    <definedName name="BEx7E6N29HGH3I47AFB2DCS6MVS6" localSheetId="0" hidden="1">#REF!</definedName>
    <definedName name="BEx7EBA8IYHQKT7IQAOAML660SYA" localSheetId="0" hidden="1">#REF!</definedName>
    <definedName name="BEx7EI6C8MCRZFEQYUBE5FSUTIHK" localSheetId="0" hidden="1">#REF!</definedName>
    <definedName name="BEx7EI6DL1Z6UWLFBXAKVGZTKHWJ" localSheetId="0" hidden="1">#REF!</definedName>
    <definedName name="BEx7EQKHX7GZYOLXRDU534TT4H64" localSheetId="0" hidden="1">#REF!</definedName>
    <definedName name="BEx7ETV6L1TM7JSXJIGK3FC6RVZW" localSheetId="0" hidden="1">#REF!</definedName>
    <definedName name="BEx7EWK9GUVV6FXWYIGH0TAI4V2O" localSheetId="0" hidden="1">#REF!</definedName>
    <definedName name="BEx7EYYLHMBYQTH6I377FCQS7CSX" localSheetId="0" hidden="1">#REF!</definedName>
    <definedName name="BEx7FCLG1RYI2SNOU1Y2GQZNZSWA" localSheetId="0" hidden="1">#REF!</definedName>
    <definedName name="BEx7FN32ZGWOAA4TTH79KINTDWR9" localSheetId="0" hidden="1">#REF!</definedName>
    <definedName name="BEx7G82CKM3NIY1PHNFK28M09PCH" localSheetId="0" hidden="1">#REF!</definedName>
    <definedName name="BEx7GR3ENYWRXXS5IT0UMEGOLGUH" localSheetId="0" hidden="1">#REF!</definedName>
    <definedName name="BEx7GSAL6P7TASL8MB63RFST1LJL" localSheetId="0" hidden="1">#REF!</definedName>
    <definedName name="BEx7H0JD6I5I8WQLLWOYWY5YWPQE" localSheetId="0" hidden="1">#REF!</definedName>
    <definedName name="BEx7H14XCXH7WEXEY1HVO53A6AGH" localSheetId="0" hidden="1">#REF!</definedName>
    <definedName name="BEx7HFTIA8AC8BR8HKIN81VE1SGW" localSheetId="0" hidden="1">#REF!</definedName>
    <definedName name="BEx7HGVBEF4LEIF6RC14N3PSU461" localSheetId="0" hidden="1">#REF!</definedName>
    <definedName name="BEx7HQ5T9FZ42QWS09UO4DT42Y0R" localSheetId="0" hidden="1">#REF!</definedName>
    <definedName name="BEx7HRCZE3CVGON1HV07MT5MNDZ3" localSheetId="0" hidden="1">#REF!</definedName>
    <definedName name="BEx7HWGE2CANG5M17X4C8YNC3N8F" localSheetId="0" hidden="1">#REF!</definedName>
    <definedName name="BEx7I8FZ96C5JAHXS18ZV0912LZP" localSheetId="0" hidden="1">#REF!</definedName>
    <definedName name="BEx7IBVYN47SFZIA0K4MDKQZNN9V" localSheetId="0" hidden="1">#REF!</definedName>
    <definedName name="BEx7IV2IJ5WT7UC0UG7WP0WF2JZI" localSheetId="0" hidden="1">#REF!</definedName>
    <definedName name="BEx7IXGU74GE5E4S6W4Z13AR092Y" localSheetId="0" hidden="1">#REF!</definedName>
    <definedName name="BEx7J4YL8Q3BI1MLH16YYQ18IJRD" localSheetId="0" hidden="1">#REF!</definedName>
    <definedName name="BEx7JH3HGBPI07OHZ5LFYK0UFZQR" localSheetId="0" hidden="1">#REF!</definedName>
    <definedName name="BEx7JV194190CNM6WWGQ3UBJ3CHH" localSheetId="0" hidden="1">#REF!</definedName>
    <definedName name="BEx7K7GZ607XQOGB81A1HINBTGOZ" localSheetId="0" hidden="1">#REF!</definedName>
    <definedName name="BEx7KEYPBDXSNROH8M6CDCBN6B50" localSheetId="0" hidden="1">#REF!</definedName>
    <definedName name="BEx7KSAS8BZT6H8OQCZ5DNSTMO07" localSheetId="0" hidden="1">#REF!</definedName>
    <definedName name="BEx7KWHTBD21COXVI4HNEQH0Z3L8" localSheetId="0" hidden="1">#REF!</definedName>
    <definedName name="BEx7KXUGRMRSUXCM97Z7VRZQ9JH2" localSheetId="0" hidden="1">#REF!</definedName>
    <definedName name="BEx7L21IQVP1N1TTQLRMANSSLSLE" localSheetId="0" hidden="1">#REF!</definedName>
    <definedName name="BEx7L5C6U8MP6IZ67BD649WQYJEK" localSheetId="0" hidden="1">#REF!</definedName>
    <definedName name="BEx7L8HEYEVTATR0OG5JJO647KNI" localSheetId="0" hidden="1">#REF!</definedName>
    <definedName name="BEx7L8XOV64OMS15ZFURFEUXLMWF" localSheetId="0" hidden="1">#REF!</definedName>
    <definedName name="BEx7LJVFQACL9F4DRS9YZQ9R2N30" localSheetId="0" hidden="1">#REF!</definedName>
    <definedName name="BEx7MAUI1JJFDIJGDW4RWY5384LY" localSheetId="0" hidden="1">#REF!</definedName>
    <definedName name="BEx7MJZO3UKAMJ53UWOJ5ZD4GGMQ" localSheetId="0" hidden="1">#REF!</definedName>
    <definedName name="BEx7MT4MFNXIVQGAT6D971GZW7CA" localSheetId="0" hidden="1">#REF!</definedName>
    <definedName name="BEx7NI062THZAM6I8AJWTFJL91CS" localSheetId="0" hidden="1">#REF!</definedName>
    <definedName name="BEx904S75BPRYMHF0083JF7ES4NG" localSheetId="0" hidden="1">#REF!</definedName>
    <definedName name="BEx90HDD4RWF7JZGA8GCGG7D63MG" localSheetId="0" hidden="1">#REF!</definedName>
    <definedName name="BEx90VGH5H09ON2QXYC9WIIEU98T" localSheetId="0" hidden="1">#REF!</definedName>
    <definedName name="BEx9175B70QXYAU5A8DJPGZQ46L9" localSheetId="0" hidden="1">#REF!</definedName>
    <definedName name="BEx91AQQRTV87AO27VWHSFZAD4ZR" localSheetId="0" hidden="1">#REF!</definedName>
    <definedName name="BEx91L8FLL5CWLA2CDHKCOMGVDZN" localSheetId="0" hidden="1">#REF!</definedName>
    <definedName name="BEx91OTVH9ZDBC3QTORU8RZX4EOC" localSheetId="0" hidden="1">#REF!</definedName>
    <definedName name="BEx91QH5JRZKQP1GPN2SQMR3CKAG" localSheetId="0" hidden="1">#REF!</definedName>
    <definedName name="BEx91ROALDNHO7FI4X8L61RH4UJE" localSheetId="0" hidden="1">#REF!</definedName>
    <definedName name="BEx91TMID71GVYH0U16QM1RV3PX0" localSheetId="0" hidden="1">#REF!</definedName>
    <definedName name="BEx91VF2D78PAF337E3L2L81K9W2" localSheetId="0" hidden="1">#REF!</definedName>
    <definedName name="BEx921PNZ46VORG2VRMWREWIC0SE" localSheetId="0" hidden="1">#REF!</definedName>
    <definedName name="BEx92DPEKL5WM5A3CN8674JI0PR3" localSheetId="0" hidden="1">#REF!</definedName>
    <definedName name="BEx92ER2RMY93TZK0D9L9T3H0GI5" localSheetId="0" hidden="1">#REF!</definedName>
    <definedName name="BEx92FI04PJT4LI23KKIHRXWJDTT" localSheetId="0" hidden="1">#REF!</definedName>
    <definedName name="BEx92HR14HQ9D5JXCSPA4SS4RT62" localSheetId="0" hidden="1">#REF!</definedName>
    <definedName name="BEx92HWA2D6A5EX9MFG68G0NOMSN" localSheetId="0" hidden="1">#REF!</definedName>
    <definedName name="BEx92PUBDIXAU1FW5ZAXECMAU0LN" localSheetId="0" hidden="1">#REF!</definedName>
    <definedName name="BEx92S8MHFFIVRQ2YSHZNQGOFUHD" localSheetId="0" hidden="1">#REF!</definedName>
    <definedName name="BEx93B9OULL2YGC896XXYAAJSTRK" localSheetId="0" hidden="1">#REF!</definedName>
    <definedName name="BEx93FRKF99NRT3LH99UTIH7AAYF" localSheetId="0" hidden="1">#REF!</definedName>
    <definedName name="BEx93M7FSHP50OG34A4W8W8DF12U" localSheetId="0" hidden="1">#REF!</definedName>
    <definedName name="BEx93OLWY2O3PRA74U41VG5RXT4Q" localSheetId="0" hidden="1">#REF!</definedName>
    <definedName name="BEx93RWFAF6YJGYUTITVM445C02U" localSheetId="0" hidden="1">#REF!</definedName>
    <definedName name="BEx93SY9RWG3HUV4YXQKXJH9FH14" localSheetId="0" hidden="1">#REF!</definedName>
    <definedName name="BEx93TJUX3U0FJDBG6DDSNQ91R5J" localSheetId="0" hidden="1">#REF!</definedName>
    <definedName name="BEx942UCRHMI4B0US31HO95GSC2X" localSheetId="0" hidden="1">#REF!</definedName>
    <definedName name="BEx948ZFFQWVIDNG4AZAUGGGEB5U" localSheetId="0" hidden="1">#REF!</definedName>
    <definedName name="BEx94CKXG92OMURH41SNU6IOHK4J" localSheetId="0" hidden="1">#REF!</definedName>
    <definedName name="BEx94GXG30CIVB6ZQN3X3IK6BZXQ" localSheetId="0" hidden="1">#REF!</definedName>
    <definedName name="BEx94HZ5LURYM9ST744ALV6ZCKYP" localSheetId="0" hidden="1">#REF!</definedName>
    <definedName name="BEx94IQ75E90YUMWJ9N591LR7DQQ" localSheetId="0" hidden="1">#REF!</definedName>
    <definedName name="BEx94L9TBK45AUQSX1IUZ86U1GPQ" localSheetId="0" hidden="1">#REF!</definedName>
    <definedName name="BEx94N7W5T3U7UOE97D6OVIBUCXS" localSheetId="0" hidden="1">#REF!</definedName>
    <definedName name="BEx953PB6S6ECMD8N0JSW0CBG0DA" localSheetId="0" hidden="1">#REF!</definedName>
    <definedName name="BEx955NIAWX5OLAHMTV6QFUZPR30" localSheetId="0" hidden="1">#REF!</definedName>
    <definedName name="BEx9581TYVI2M5TT4ISDAJV4W7Z6" localSheetId="0" hidden="1">#REF!</definedName>
    <definedName name="BEx95NHF4RVUE0YDOAFZEIVBYJXD" localSheetId="0" hidden="1">#REF!</definedName>
    <definedName name="BEx95QBZMG0E2KQ9BERJ861QLYN3" localSheetId="0" hidden="1">#REF!</definedName>
    <definedName name="BEx95QHBVDN795UNQJLRXG3RDU49" localSheetId="0" hidden="1">#REF!</definedName>
    <definedName name="BEx95TBVUWV7L7OMFMZDQEXGVHU6" localSheetId="0" hidden="1">#REF!</definedName>
    <definedName name="BEx95U89DZZSVO39TGS62CX8G9N4" localSheetId="0" hidden="1">#REF!</definedName>
    <definedName name="BEx9602K2GHNBUEUVT9ONRQU1GMD" localSheetId="0" hidden="1">#REF!</definedName>
    <definedName name="BEx962BL3Y4LA53EBYI64ZYMZE8U" localSheetId="0" hidden="1">#REF!</definedName>
    <definedName name="BEx96KR21O7H9R29TN0S45Y3QPUK" localSheetId="0" hidden="1">#REF!</definedName>
    <definedName name="BEx96SUFKHHFE8XQ6UUO6ILDOXHO" localSheetId="0" hidden="1">#REF!</definedName>
    <definedName name="BEx96UN4YWXBDEZ1U1ZUIPP41Z7I" localSheetId="0" hidden="1">#REF!</definedName>
    <definedName name="BEx970MYCPJ6DQ44TKLOIGZO5LHH" localSheetId="0" hidden="1">#REF!</definedName>
    <definedName name="BEx978KSD61YJH3S9DGO050R2EHA" localSheetId="0" hidden="1">#REF!</definedName>
    <definedName name="BEx97H9O1NAKAPK4MX4PKO34ICL5" localSheetId="0" hidden="1">#REF!</definedName>
    <definedName name="BEx97HVA5F2I0D6ID81KCUDEQOIH" localSheetId="0" hidden="1">#REF!</definedName>
    <definedName name="BEx97MNUZQ1Z0AO2FL7XQYVNCPR7" localSheetId="0" hidden="1">#REF!</definedName>
    <definedName name="BEx97NPQBACJVD9K1YXI08RTW9E2" localSheetId="0" hidden="1">#REF!</definedName>
    <definedName name="BEx97RWQLXS0OORDCN69IGA58CWU" localSheetId="0" hidden="1">#REF!</definedName>
    <definedName name="BEx97YNGGDFIXHTMGFL2IHAQX9MI" localSheetId="0" hidden="1">#REF!</definedName>
    <definedName name="BEx981HW73BUZWT14TBTZHC0ZTJ4" localSheetId="0" hidden="1">#REF!</definedName>
    <definedName name="BEx9871KU0N99P0900EAK69VFYT2" localSheetId="0" hidden="1">#REF!</definedName>
    <definedName name="BEx98IFKNJFGZFLID1YTRFEG1SXY" localSheetId="0" hidden="1">#REF!</definedName>
    <definedName name="BEx9915UVD4G7RA3IMLFZ0LG3UA2" localSheetId="0" hidden="1">#REF!</definedName>
    <definedName name="BEx992CZON8AO7U7V88VN1JBO0MG" localSheetId="0" hidden="1">#REF!</definedName>
    <definedName name="BEx9952469XMFGSPXL7CMXHPJF90" localSheetId="0" hidden="1">#REF!</definedName>
    <definedName name="BEx99B77I7TUSHRR4HIZ9FU2EIUT" localSheetId="0" hidden="1">#REF!</definedName>
    <definedName name="BEx99Q6PH5F3OQKCCAAO75PYDEFN" localSheetId="0" hidden="1">#REF!</definedName>
    <definedName name="BEx99WBYT2D6UUC1PT7A40ENYID4" localSheetId="0" hidden="1">#REF!</definedName>
    <definedName name="BEx99XOGHOM28CNCYKQWYGL56W2S" localSheetId="0" hidden="1">#REF!</definedName>
    <definedName name="BEx99ZRZ4I7FHDPGRAT5VW7NVBPU" localSheetId="0" hidden="1">#REF!</definedName>
    <definedName name="BEx9AT5E3ZSHKSOL35O38L8HF9TH" localSheetId="0" hidden="1">#REF!</definedName>
    <definedName name="BEx9AV8W1FAWF5BHATYEN47X12JN" localSheetId="0" hidden="1">#REF!</definedName>
    <definedName name="BEx9B8A5186FNTQQNLIO5LK02ABI" localSheetId="0" hidden="1">#REF!</definedName>
    <definedName name="BEx9B8VR20E2CILU4CDQUQQ9ONXK" localSheetId="0" hidden="1">#REF!</definedName>
    <definedName name="BEx9B917EUP13X6FQ3NPQL76XM5V" localSheetId="0" hidden="1">#REF!</definedName>
    <definedName name="BEx9BAJ5WYEQ623HUT9NNCMP3RUG" localSheetId="0" hidden="1">#REF!</definedName>
    <definedName name="BEx9BYSYW7QCPXS2NAVLFAU5Y2Z2" localSheetId="0" hidden="1">#REF!</definedName>
    <definedName name="BEx9C590HJ2O31IWJB73C1HR74AI" localSheetId="0" hidden="1">#REF!</definedName>
    <definedName name="BEx9CCQRMYYOGIOYTOM73VKDIPS1" localSheetId="0" hidden="1">#REF!</definedName>
    <definedName name="BEx9D1BC9FT19KY0INAABNDBAMR1" localSheetId="0" hidden="1">#REF!</definedName>
    <definedName name="BEx9DN6ZMF18Q39MPMXSDJTZQNJ3" localSheetId="0" hidden="1">#REF!</definedName>
    <definedName name="BEx9DUU8DALPSCW66GTMQRPXZ6GL" localSheetId="0" hidden="1">#REF!</definedName>
    <definedName name="BEx9E14TDNSEMI784W0OTIEQMWN6" localSheetId="0" hidden="1">#REF!</definedName>
    <definedName name="BEx9E2BZ2B1R41FMGJCJ7JLGLUAJ" localSheetId="0" hidden="1">#REF!</definedName>
    <definedName name="BEx9EG9KBJ77M8LEOR9ITOKN5KXY" localSheetId="0" hidden="1">#REF!</definedName>
    <definedName name="BEx9EMK6HAJJMVYZTN5AUIV7O1E6" localSheetId="0" hidden="1">#REF!</definedName>
    <definedName name="BEx9EQLVZHYQ1TPX7WH3SOWXCZLE" localSheetId="0" hidden="1">#REF!</definedName>
    <definedName name="BEx9ETLU0EK5LGEM1QCNYN2S8O5F" localSheetId="0" hidden="1">#REF!</definedName>
    <definedName name="BEx9F0Y2ESUNE3U7TQDLMPE9BO67" localSheetId="0" hidden="1">#REF!</definedName>
    <definedName name="BEx9F5W18ZGFOKGRE8PR6T1MO6GT" localSheetId="0" hidden="1">#REF!</definedName>
    <definedName name="BEx9F78N4HY0XFGBQ4UJRD52L1EI" localSheetId="0" hidden="1">#REF!</definedName>
    <definedName name="BEx9FF16LOQP5QIR4UHW5EIFGQB8" localSheetId="0" hidden="1">#REF!</definedName>
    <definedName name="BEx9FJTSRCZ3ZXT3QVBJT5NF8T7V" localSheetId="0" hidden="1">#REF!</definedName>
    <definedName name="BEx9FRBEEYPS5HLS3XT34AKZN94G" localSheetId="0" hidden="1">#REF!</definedName>
    <definedName name="BEx9GDY4D8ZPQJCYFIMYM0V0C51Y" localSheetId="0" hidden="1">#REF!</definedName>
    <definedName name="BEx9GGY04V0ZWI6O9KZH4KSBB389" localSheetId="0" hidden="1">#REF!</definedName>
    <definedName name="BEx9GNOPB6OZ2RH3FCDNJR38RJOS" localSheetId="0" hidden="1">#REF!</definedName>
    <definedName name="BEx9GUQALUWCD30UKUQGSWW8KBQ7" localSheetId="0" hidden="1">#REF!</definedName>
    <definedName name="BEx9GY6BVFQGCLMOWVT6PIC9WP5X" localSheetId="0" hidden="1">#REF!</definedName>
    <definedName name="BEx9GZ2P3FDHKXEBXX2VS0BG2NP2" localSheetId="0" hidden="1">#REF!</definedName>
    <definedName name="BEx9H04IB14E1437FF2OIRRWBSD7" localSheetId="0" hidden="1">#REF!</definedName>
    <definedName name="BEx9H5O1KDZJCW91Q29VRPY5YS6P" localSheetId="0" hidden="1">#REF!</definedName>
    <definedName name="BEx9H8YR0E906F1JXZMBX3LNT004" localSheetId="0" hidden="1">#REF!</definedName>
    <definedName name="BEx9I8XIG7E5NB48QQHXP23FIN60" localSheetId="0" hidden="1">#REF!</definedName>
    <definedName name="BEx9IQRF01ATLVK0YE60ARKQJ68L" localSheetId="0" hidden="1">#REF!</definedName>
    <definedName name="BEx9IT5QNZWKM6YQ5WER0DC2PMMU" localSheetId="0" hidden="1">#REF!</definedName>
    <definedName name="BEx9IW5MFLXTVCJHVUZTUH93AXOS" localSheetId="0" hidden="1">#REF!</definedName>
    <definedName name="BEx9IXCSPSZC80YZUPRCYTG326KV" localSheetId="0" hidden="1">#REF!</definedName>
    <definedName name="BEx9IZR39NHDGOM97H4E6F81RTQW" localSheetId="0" hidden="1">#REF!</definedName>
    <definedName name="BEx9J6CH5E7YZPER7HXEIOIKGPCA" localSheetId="0" hidden="1">#REF!</definedName>
    <definedName name="BEx9JJTZKVUJAVPTRE0RAVTEH41G" localSheetId="0" hidden="1">#REF!</definedName>
    <definedName name="BEx9JLBYK239B3F841C7YG1GT7ST" localSheetId="0" hidden="1">#REF!</definedName>
    <definedName name="BExAW4IIW5D0MDY6TJ3G4FOLPYIR" localSheetId="0" hidden="1">#REF!</definedName>
    <definedName name="BExAX410NB4F2XOB84OR2197H8M5" localSheetId="0" hidden="1">#REF!</definedName>
    <definedName name="BExAX8TNG8LQ5Q4904SAYQIPGBSV" localSheetId="0" hidden="1">#REF!</definedName>
    <definedName name="BExAY0EAT2LXR5MFGM0DLIB45PLO" localSheetId="0" hidden="1">#REF!</definedName>
    <definedName name="BExAYE6LNIEBR9DSNI5JGNITGKIT" localSheetId="0" hidden="1">#REF!</definedName>
    <definedName name="BExAYHMLXGGO25P8HYB2S75DEB4F" localSheetId="0" hidden="1">#REF!</definedName>
    <definedName name="BExAYKXAUWGDOPG952TEJ2UKZKWN" localSheetId="0" hidden="1">#REF!</definedName>
    <definedName name="BExAYP9TDTI2MBP6EYE0H39CPMXN" localSheetId="0" hidden="1">#REF!</definedName>
    <definedName name="BExAYPPWJPWDKU59O051WMGB7O0J" localSheetId="0" hidden="1">#REF!</definedName>
    <definedName name="BExAYR2JZCJBUH6F1LZC2A7JIVRJ" localSheetId="0" hidden="1">#REF!</definedName>
    <definedName name="BExAYTGVRD3DLKO75RFPMBKCIWB8" localSheetId="0" hidden="1">#REF!</definedName>
    <definedName name="BExAYY9H9COOT46HJLPVDLTO12UL" localSheetId="0" hidden="1">#REF!</definedName>
    <definedName name="BExAZCNEGB4JYHC8CZ51KTN890US" localSheetId="0" hidden="1">#REF!</definedName>
    <definedName name="BExAZFCI302YFYRDJYQDWQQL0Q0O" localSheetId="0" hidden="1">#REF!</definedName>
    <definedName name="BExAZLHLST9OP89R1HJMC1POQG8H" localSheetId="0" hidden="1">#REF!</definedName>
    <definedName name="BExAZMDYMIAA7RX1BMCKU1VLBRGY" localSheetId="0" hidden="1">#REF!</definedName>
    <definedName name="BExAZNL6BHI8DCQWXOX4I2P839UX" localSheetId="0" hidden="1">#REF!</definedName>
    <definedName name="BExAZRMWSONMCG9KDUM4KAQ7BONM" localSheetId="0" hidden="1">#REF!</definedName>
    <definedName name="BExAZTFG4SJRG4TW6JXRF7N08JFI" localSheetId="0" hidden="1">#REF!</definedName>
    <definedName name="BExAZUS4A8OHDZK0MWAOCCCKTH73" localSheetId="0" hidden="1">#REF!</definedName>
    <definedName name="BExAZX6FECVK3E07KXM2XPYKGM6U" localSheetId="0" hidden="1">#REF!</definedName>
    <definedName name="BExB012NJ8GASTNNPBRRFTLHIOC9" localSheetId="0" hidden="1">#REF!</definedName>
    <definedName name="BExB072HHXVMUC0VYNGG48GRSH5Q" localSheetId="0" hidden="1">#REF!</definedName>
    <definedName name="BExB0FRDEYDEUEAB1W8KD6D965XA" localSheetId="0" hidden="1">#REF!</definedName>
    <definedName name="BExB0KPCN7YJORQAYUCF4YKIKPMC" localSheetId="0" hidden="1">#REF!</definedName>
    <definedName name="BExB0WE4PI3NOBXXVO9CTEN4DIU2" localSheetId="0" hidden="1">#REF!</definedName>
    <definedName name="BExB10QNIVITUYS55OAEKK3VLJFE" localSheetId="0" hidden="1">#REF!</definedName>
    <definedName name="BExB15ZDRY4CIJ911DONP0KCY9KU" localSheetId="0" hidden="1">#REF!</definedName>
    <definedName name="BExB16VQY0O0RLZYJFU3OFEONVTE" localSheetId="0" hidden="1">#REF!</definedName>
    <definedName name="BExB1FKNY2UO4W5FUGFHJOA2WFGG" localSheetId="0" hidden="1">#REF!</definedName>
    <definedName name="BExB1GMD0PIDGTFBGQOPRWQSP9I4" localSheetId="0" hidden="1">#REF!</definedName>
    <definedName name="BExB1Q29OO6LNFNT1EQLA3KYE7MX" localSheetId="0" hidden="1">#REF!</definedName>
    <definedName name="BExB1TNRV5EBWZEHYLHI76T0FVA7" localSheetId="0" hidden="1">#REF!</definedName>
    <definedName name="BExB1WI6M8I0EEP1ANUQZCFY24EV" localSheetId="0" hidden="1">#REF!</definedName>
    <definedName name="BExB203OWC9QZA3BYOKQ18L4FUJE" localSheetId="0" hidden="1">#REF!</definedName>
    <definedName name="BExB2CJHTU7C591BR4WRL5L2F2K6" localSheetId="0" hidden="1">#REF!</definedName>
    <definedName name="BExB2K1AV4PGNS1O6C7D7AO411AX" localSheetId="0" hidden="1">#REF!</definedName>
    <definedName name="BExB2O2UYHKI324YE324E1N7FVIB" localSheetId="0" hidden="1">#REF!</definedName>
    <definedName name="BExB2Q0VJ0MU2URO3JOVUAVHEI3V" localSheetId="0" hidden="1">#REF!</definedName>
    <definedName name="BExB30IP1DNKNQ6PZ5ERUGR5MK4Z" localSheetId="0" hidden="1">#REF!</definedName>
    <definedName name="BExB442RX0T3L6HUL6X5T21CENW6" localSheetId="0" hidden="1">#REF!</definedName>
    <definedName name="BExB4ADD0L7417CII901XTFKXD1J" localSheetId="0" hidden="1">#REF!</definedName>
    <definedName name="BExB4DO1V1NL2AVK5YE1RSL5RYHL" localSheetId="0" hidden="1">#REF!</definedName>
    <definedName name="BExB4DYU06HCGRIPBSWRCXK804UM" localSheetId="0" hidden="1">#REF!</definedName>
    <definedName name="BExB4Z3EZBGYYI33U0KQ8NEIH8PY" localSheetId="0" hidden="1">#REF!</definedName>
    <definedName name="BExB55368XW7UX657ZSPC6BFE92S" localSheetId="0" hidden="1">#REF!</definedName>
    <definedName name="BExB57MZEPL2SA2ONPK66YFLZWJU" localSheetId="0" hidden="1">#REF!</definedName>
    <definedName name="BExB5833OAOJ22VK1YK47FHUSVK2" localSheetId="0" hidden="1">#REF!</definedName>
    <definedName name="BExB58JDIHS42JZT9DJJMKA8QFCO" localSheetId="0" hidden="1">#REF!</definedName>
    <definedName name="BExB58U5FQC5JWV9CGC83HLLZUZI" localSheetId="0" hidden="1">#REF!</definedName>
    <definedName name="BExB5EDO9XUKHF74X3HAU2WPPHZH" localSheetId="0" hidden="1">#REF!</definedName>
    <definedName name="BExB5G6EH68AYEP1UT0GHUEL3SLN" localSheetId="0" hidden="1">#REF!</definedName>
    <definedName name="BExB5QYVEZWFE5DQVHAM760EV05X" localSheetId="0" hidden="1">#REF!</definedName>
    <definedName name="BExB5U9IRH14EMOE0YGIE3WIVLFS" localSheetId="0" hidden="1">#REF!</definedName>
    <definedName name="BExB5VWYMOV6BAIH7XUBBVPU7MMD" localSheetId="0" hidden="1">#REF!</definedName>
    <definedName name="BExB610DZWIJP1B72U9QM42COH2B" localSheetId="0" hidden="1">#REF!</definedName>
    <definedName name="BExB6C3FUAKK9ML5T767NMWGA9YB" localSheetId="0" hidden="1">#REF!</definedName>
    <definedName name="BExB6C8X6JYRLKZKK17VE3QUNL3D" localSheetId="0" hidden="1">#REF!</definedName>
    <definedName name="BExB6HN3QRFPXM71MDUK21BKM7PF" localSheetId="0" hidden="1">#REF!</definedName>
    <definedName name="BExB6IZMHCZ3LB7N73KD90YB1HBZ" localSheetId="0" hidden="1">#REF!</definedName>
    <definedName name="BExB719SGNX4Y8NE6JEXC555K596" localSheetId="0" hidden="1">#REF!</definedName>
    <definedName name="BExB7265DCHKS7V2OWRBXCZTEIW9" localSheetId="0" hidden="1">#REF!</definedName>
    <definedName name="BExB74PS5P9G0P09Y6DZSCX0FLTJ" localSheetId="0" hidden="1">#REF!</definedName>
    <definedName name="BExB78RH79J0MIF7H8CAZ0CFE88Q" localSheetId="0" hidden="1">#REF!</definedName>
    <definedName name="BExB7ELT09HGDVO5BJC1ZY9D09GZ" localSheetId="0" hidden="1">#REF!</definedName>
    <definedName name="BExB806PAXX70XUTA3ZI7OORD78R" localSheetId="0" hidden="1">#REF!</definedName>
    <definedName name="BExB8HF4UBVZKQCSRFRUQL2EE6VL" localSheetId="0" hidden="1">#REF!</definedName>
    <definedName name="BExB8HKHKZ1ORJZUYGG2M4VSCC39" localSheetId="0" hidden="1">#REF!</definedName>
    <definedName name="BExB8QPH8DC5BESEVPSMBCWVN6PO" localSheetId="0" hidden="1">#REF!</definedName>
    <definedName name="BExB8U5N0D85YR8APKN3PPKG0FWP" localSheetId="0" hidden="1">#REF!</definedName>
    <definedName name="BExB9DHI5I2TJ2LXYPM98EE81L27" localSheetId="0" hidden="1">#REF!</definedName>
    <definedName name="BExB9Q2MZZHBGW8QQKVEYIMJBPIE" localSheetId="0" hidden="1">#REF!</definedName>
    <definedName name="BExBA1GON0EZRJ20UYPILAPLNQWM" localSheetId="0" hidden="1">#REF!</definedName>
    <definedName name="BExBA69ASGYRZW1G1DYIS9QRRTBN" localSheetId="0" hidden="1">#REF!</definedName>
    <definedName name="BExBA6K42582A14WFFWQ3Q8QQWB6" localSheetId="0" hidden="1">#REF!</definedName>
    <definedName name="BExBA8I5D4R8R2PYQ1K16TWGTOEP" localSheetId="0" hidden="1">#REF!</definedName>
    <definedName name="BExBA93PE0DGUUTA7LLSIGBIXWE5" localSheetId="0" hidden="1">#REF!</definedName>
    <definedName name="BExBAI8X0FKDQJ6YZJQDTTG4ZCWY" localSheetId="0" hidden="1">#REF!</definedName>
    <definedName name="BExBAKN7XIBAXCF9PCNVS038PCQO" localSheetId="0" hidden="1">#REF!</definedName>
    <definedName name="BExBAKXZ7PBW3DDKKA5MWC1ZUC7O" localSheetId="0" hidden="1">#REF!</definedName>
    <definedName name="BExBAO8NLXZXHO6KCIECSFCH3RR0" localSheetId="0" hidden="1">#REF!</definedName>
    <definedName name="BExBAOOT1KBSIEISN1ADL4RMY879" localSheetId="0" hidden="1">#REF!</definedName>
    <definedName name="BExBAVKX8Q09370X1GCZWJ4E91YJ" localSheetId="0" hidden="1">#REF!</definedName>
    <definedName name="BExBAX2X2ENJYO4QTR5VAIQ86L7B" localSheetId="0" hidden="1">#REF!</definedName>
    <definedName name="BExBAZ13D3F1DVJQ6YJ8JGUYEYJE" localSheetId="0" hidden="1">#REF!</definedName>
    <definedName name="BExBBTG649R9I0CT042JLL8LXV18" localSheetId="0" hidden="1">#REF!</definedName>
    <definedName name="BExBBUCJQRR74Q7GPWDEZXYK2KJL" localSheetId="0" hidden="1">#REF!</definedName>
    <definedName name="BExBBV8XVMD9CKZY711T0BN7H3PM" localSheetId="0" hidden="1">#REF!</definedName>
    <definedName name="BExBC78HXWXHO3XAB6E8NVTBGLJS" localSheetId="0" hidden="1">#REF!</definedName>
    <definedName name="BExBCKKJTIRKC1RZJRTK65HHLX4W" localSheetId="0" hidden="1">#REF!</definedName>
    <definedName name="BExBCLMEPAN3XXX174TU8SS0627Q" localSheetId="0" hidden="1">#REF!</definedName>
    <definedName name="BExBCRBEYR2KZ8FAQFZ2NHY13WIY" localSheetId="0" hidden="1">#REF!</definedName>
    <definedName name="BExBD4I559NXSV6J07Q343TKYMVJ" localSheetId="0" hidden="1">#REF!</definedName>
    <definedName name="BExBDBZQLTX3OGFYGULQFK5WEZU5" localSheetId="0" hidden="1">#REF!</definedName>
    <definedName name="BExBDJS9TUEU8Z84IV59E5V4T8K6" localSheetId="0" hidden="1">#REF!</definedName>
    <definedName name="BExBDKOMSVH4XMH52CFJ3F028I9R" localSheetId="0" hidden="1">#REF!</definedName>
    <definedName name="BExBDSRXVZQ0W5WXQMP5XD00GRRL" localSheetId="0" hidden="1">#REF!</definedName>
    <definedName name="BExBDUVGK3E1J4JY9ZYTS7V14BLY" localSheetId="0" hidden="1">#REF!</definedName>
    <definedName name="BExBE162OSBKD30I7T1DKKPT3I9I" localSheetId="0" hidden="1">#REF!</definedName>
    <definedName name="BExBE5YPUY1T7N7DHMMIGGXK8TMP" localSheetId="0" hidden="1">#REF!</definedName>
    <definedName name="BExBEC9ATLQZF86W1M3APSM4HEOH" localSheetId="0" hidden="1">#REF!</definedName>
    <definedName name="BExBEYFQJE9YK12A6JBMRFKEC7RN" localSheetId="0" hidden="1">#REF!</definedName>
    <definedName name="BExBG1ED81J2O4A2S5F5Y3BPHMCR" localSheetId="0" hidden="1">#REF!</definedName>
    <definedName name="BExCRLIHS7466WFJ3RPIUGGXYESZ" localSheetId="0" hidden="1">#REF!</definedName>
    <definedName name="BExCS1EDDUEAEWHVYXHIP9I1WCJH" localSheetId="0" hidden="1">#REF!</definedName>
    <definedName name="BExCS6SLRCBH006GNRE27HFRHP40" localSheetId="0" hidden="1">#REF!</definedName>
    <definedName name="BExCS7ZPMHFJ4UJDAL8CQOLSZ13B" localSheetId="0" hidden="1">#REF!</definedName>
    <definedName name="BExCS8W4NJUZH9S1CYB6XSDLEPBW" localSheetId="0" hidden="1">#REF!</definedName>
    <definedName name="BExCSAE1M6G20R41J0Y24YNN0YC1" localSheetId="0" hidden="1">#REF!</definedName>
    <definedName name="BExCSAOUZOYKHN7HV511TO8VDJ02" localSheetId="0" hidden="1">#REF!</definedName>
    <definedName name="BExCSMOFTXSUEC1T46LR1UPYRCX5" localSheetId="0" hidden="1">#REF!</definedName>
    <definedName name="BExCSSDG3TM6TPKS19E9QYJEELZ6" localSheetId="0" hidden="1">#REF!</definedName>
    <definedName name="BExCSZV7U67UWXL2HKJNM5W1E4OO" localSheetId="0" hidden="1">#REF!</definedName>
    <definedName name="BExCT4NSDT61OCH04Y2QIFIOP75H" localSheetId="0" hidden="1">#REF!</definedName>
    <definedName name="BExCTW8G3VCZ55S09HTUGXKB1P2M" localSheetId="0" hidden="1">#REF!</definedName>
    <definedName name="BExCTYS2KX0QANOLT8LGZ9WV3S3T" localSheetId="0" hidden="1">#REF!</definedName>
    <definedName name="BExCTZZ9JNES4EDHW97NP0EGQALX" localSheetId="0" hidden="1">#REF!</definedName>
    <definedName name="BExCU0A1V6NMZQ9ASYJ8QIVQ5UR2" localSheetId="0" hidden="1">#REF!</definedName>
    <definedName name="BExCU2834920JBHSPCRC4UF80OLL" localSheetId="0" hidden="1">#REF!</definedName>
    <definedName name="BExCU8O54I3P3WRYWY1CRP3S78QY" localSheetId="0" hidden="1">#REF!</definedName>
    <definedName name="BExCUDRJO23YOKT8GPWOVQ4XEHF5" localSheetId="0" hidden="1">#REF!</definedName>
    <definedName name="BExCUPAXFR16YMWL30ME3F3BSRDZ" localSheetId="0" hidden="1">#REF!</definedName>
    <definedName name="BExCUR94DHCE47PUUWEMT5QZOYR2" localSheetId="0" hidden="1">#REF!</definedName>
    <definedName name="BExCV634L7SVHGB0UDDTRRQ2Q72H" localSheetId="0" hidden="1">#REF!</definedName>
    <definedName name="BExCVBXGSXT9FWJRG62PX9S1RK83" localSheetId="0" hidden="1">#REF!</definedName>
    <definedName name="BExCVHBNLOHNFS0JAV3I1XGPNH9W" localSheetId="0" hidden="1">#REF!</definedName>
    <definedName name="BExCVI86R31A2IOZIEBY1FJLVILD" localSheetId="0" hidden="1">#REF!</definedName>
    <definedName name="BExCVKGZXE0I9EIXKBZVSGSEY2RR" localSheetId="0" hidden="1">#REF!</definedName>
    <definedName name="BExCVV44WY5807WGMTGKPW0GT256" localSheetId="0" hidden="1">#REF!</definedName>
    <definedName name="BExCVZ5PN4V6MRBZ04PZJW3GEF8S" localSheetId="0" hidden="1">#REF!</definedName>
    <definedName name="BExCW13R0GWJYGXZBNCPAHQN4NR2" localSheetId="0" hidden="1">#REF!</definedName>
    <definedName name="BExCW9Y5HWU4RJTNX74O6L24VGCK" localSheetId="0" hidden="1">#REF!</definedName>
    <definedName name="BExCWPDPESGZS07QGBLSBWDNVJLZ" localSheetId="0" hidden="1">#REF!</definedName>
    <definedName name="BExCWTVKHIVCRHF8GC39KI58YM5K" localSheetId="0" hidden="1">#REF!</definedName>
    <definedName name="BExCX2KGRZBRVLZNM8SUSIE6A0RL" localSheetId="0" hidden="1">#REF!</definedName>
    <definedName name="BExCX3X451T70LZ1VF95L7W4Y4TM" localSheetId="0" hidden="1">#REF!</definedName>
    <definedName name="BExCX4NZ2N1OUGXM7EV0U7VULJMM" localSheetId="0" hidden="1">#REF!</definedName>
    <definedName name="BExCXILMURGYMAH6N5LF5DV6K3GM" localSheetId="0" hidden="1">#REF!</definedName>
    <definedName name="BExCXQUFBMXQ1650735H48B1AZT3" localSheetId="0" hidden="1">#REF!</definedName>
    <definedName name="BExCY2DQO9VLA77Q7EG3T0XNXX4F" localSheetId="0" hidden="1">#REF!</definedName>
    <definedName name="BExCY6VMJ68MX3C981R5Q0BX5791" localSheetId="0" hidden="1">#REF!</definedName>
    <definedName name="BExCYAH2SAZCPW6XCB7V7PMMCAWO" localSheetId="0" hidden="1">#REF!</definedName>
    <definedName name="BExCYJBB52X8B3AREHCC1L5QNPX7" localSheetId="0" hidden="1">#REF!</definedName>
    <definedName name="BExCYPRC5HJE6N2XQTHCT6NXGP8N" localSheetId="0" hidden="1">#REF!</definedName>
    <definedName name="BExCYUK0I3UEXZNFDW71G6Z6D8XR" localSheetId="0" hidden="1">#REF!</definedName>
    <definedName name="BExCZFZCXMLY5DWESYJ9NGTJYQ8M" localSheetId="0" hidden="1">#REF!</definedName>
    <definedName name="BExCZJ4P8WS0BDT31WDXI0ROE7D6" localSheetId="0" hidden="1">#REF!</definedName>
    <definedName name="BExCZKH6NI0EE02L995IFVBD1J59" localSheetId="0" hidden="1">#REF!</definedName>
    <definedName name="BExCZUD9FEOJBKDJ51Z3JON9LKJ8" localSheetId="0" hidden="1">#REF!</definedName>
    <definedName name="BExD0508DAALLU00PHFPBC8SRRKT" localSheetId="0" hidden="1">#REF!</definedName>
    <definedName name="BExD0HALIN0JR4JTPGDEVAEE5EX5" localSheetId="0" hidden="1">#REF!</definedName>
    <definedName name="BExD0LCCDPG16YLY5WQSZF1XI5DA" localSheetId="0" hidden="1">#REF!</definedName>
    <definedName name="BExD0RMWSB4TRECEHTH6NN4K9DFZ" localSheetId="0" hidden="1">#REF!</definedName>
    <definedName name="BExD0U6KG10QGVDI1XSHK0J10A2V" localSheetId="0" hidden="1">#REF!</definedName>
    <definedName name="BExD13RUIBGRXDL4QDZ305UKUR12" localSheetId="0" hidden="1">#REF!</definedName>
    <definedName name="BExD14DETV5R4OOTMAXD5NAKWRO3" localSheetId="0" hidden="1">#REF!</definedName>
    <definedName name="BExD1OAU9OXQAZA4D70HP72CU6GB" localSheetId="0" hidden="1">#REF!</definedName>
    <definedName name="BExD1Y1JV61416YA1XRQHKWPZIE7" localSheetId="0" hidden="1">#REF!</definedName>
    <definedName name="BExD2CFHIRMBKN5KXE5QP4XXEWFS" localSheetId="0" hidden="1">#REF!</definedName>
    <definedName name="BExD2DMHH1HWXQ9W0YYMDP8AAX8Q" localSheetId="0" hidden="1">#REF!</definedName>
    <definedName name="BExD2HTPC7IWBAU6OSQ67MQA8BYZ" localSheetId="0" hidden="1">#REF!</definedName>
    <definedName name="BExD363H2VGFIQUCE6LS4AC5J0ZT" localSheetId="0" hidden="1">#REF!</definedName>
    <definedName name="BExD3A588E939V61P1XEW0FI5Q0S" localSheetId="0" hidden="1">#REF!</definedName>
    <definedName name="BExD3CJJDKVR9M18XI3WDZH80WL6" localSheetId="0" hidden="1">#REF!</definedName>
    <definedName name="BExD3ESD9WYJIB3TRDPJ1CKXRAVL" localSheetId="0" hidden="1">#REF!</definedName>
    <definedName name="BExD3F368X5S25MWSUNIV57RDB57" localSheetId="0" hidden="1">#REF!</definedName>
    <definedName name="BExD3IJ5IT335SOSNV9L85WKAOSI" localSheetId="0" hidden="1">#REF!</definedName>
    <definedName name="BExD3KBVUY57GMMQTOFEU6S6G1AY" localSheetId="0" hidden="1">#REF!</definedName>
    <definedName name="BExD3NMR7AW2Z6V8SC79VQR37NA6" localSheetId="0" hidden="1">#REF!</definedName>
    <definedName name="BExD3QXA2UQ2W4N7NYLUEOG40BZB" localSheetId="0" hidden="1">#REF!</definedName>
    <definedName name="BExD3U2N041TEJ7GCN005UTPHNXY" localSheetId="0" hidden="1">#REF!</definedName>
    <definedName name="BExD40O0CFTNJFOFMMM1KH0P7BUI" localSheetId="0" hidden="1">#REF!</definedName>
    <definedName name="BExD4BR9HJ3MWWZ5KLVZWX9FJAUS" localSheetId="0" hidden="1">#REF!</definedName>
    <definedName name="BExD4F1WTKT3H0N9MF4H1LX7MBSY" localSheetId="0" hidden="1">#REF!</definedName>
    <definedName name="BExD4H5GQWXBS6LUL3TSP36DVO38" localSheetId="0" hidden="1">#REF!</definedName>
    <definedName name="BExD4JJSS3QDBLABCJCHD45SRNPI" localSheetId="0" hidden="1">#REF!</definedName>
    <definedName name="BExD4R1I0MKF033I5LPUYIMTZ6E8" localSheetId="0" hidden="1">#REF!</definedName>
    <definedName name="BExD50MT3M6XZLNUP9JL93EG6D9R" localSheetId="0" hidden="1">#REF!</definedName>
    <definedName name="BExD5EV7KDSVF1CJT38M4IBPFLPY" localSheetId="0" hidden="1">#REF!</definedName>
    <definedName name="BExD5FRK547OESJRYAW574DZEZ7J" localSheetId="0" hidden="1">#REF!</definedName>
    <definedName name="BExD5I5X2YA2YNCTCDSMEL4CWF4N" localSheetId="0" hidden="1">#REF!</definedName>
    <definedName name="BExD5QUSRFJWRQ1ZM50WYLCF74DF" localSheetId="0" hidden="1">#REF!</definedName>
    <definedName name="BExD5SSUIF6AJQHBHK8PNMFBPRYB" localSheetId="0" hidden="1">#REF!</definedName>
    <definedName name="BExD623C9LRX18BE0W2V6SZLQUXX" localSheetId="0" hidden="1">#REF!</definedName>
    <definedName name="BExD6CQA7UMJBXV7AIFAIHUF2ICX" localSheetId="0" hidden="1">#REF!</definedName>
    <definedName name="BExD6FKVK8WJWNYPVENR7Q8Q30PK" localSheetId="0" hidden="1">#REF!</definedName>
    <definedName name="BExD6GMP0LK8WKVWMIT1NNH8CHLF" localSheetId="0" hidden="1">#REF!</definedName>
    <definedName name="BExD6H2TE0WWAUIWVSSCLPZ6B88N" localSheetId="0" hidden="1">#REF!</definedName>
    <definedName name="BExD71LTOE015TV5RSAHM8NT8GVW" localSheetId="0" hidden="1">#REF!</definedName>
    <definedName name="BExD72SYX8USY8O07JT0A8QRPSQ3" localSheetId="0" hidden="1">#REF!</definedName>
    <definedName name="BExD73USXVADC7EHGHVTQNCT06ZA" localSheetId="0" hidden="1">#REF!</definedName>
    <definedName name="BExD7GAIGULTB3YHM1OS9RBQOTEC" localSheetId="0" hidden="1">#REF!</definedName>
    <definedName name="BExD7IE1DHIS52UFDCTSKPJQNRD5" localSheetId="0" hidden="1">#REF!</definedName>
    <definedName name="BExD7IUBGUWHYC9UNZ1IY5XFYKQN" localSheetId="0" hidden="1">#REF!</definedName>
    <definedName name="BExD7JQOJ35HGL8U2OCEI2P2JT7I" localSheetId="0" hidden="1">#REF!</definedName>
    <definedName name="BExD7KSDKNDNH95NDT3S7GM3MUU2" localSheetId="0" hidden="1">#REF!</definedName>
    <definedName name="BExD8H5O087KQVWIVPUUID5VMGMS" localSheetId="0" hidden="1">#REF!</definedName>
    <definedName name="BExD8OCLZMFN5K3VZYI4Q4ITVKUA" localSheetId="0" hidden="1">#REF!</definedName>
    <definedName name="BExD93C1R6LC0631ECHVFYH0R0PD" localSheetId="0" hidden="1">#REF!</definedName>
    <definedName name="BExD97TXIO0COVNN4OH3DEJ33YLM" localSheetId="0" hidden="1">#REF!</definedName>
    <definedName name="BExD99RZ1RFIMK6O1ZHSPJ68X9Y5" localSheetId="0" hidden="1">#REF!</definedName>
    <definedName name="BExD9L0ID3VSOU609GKWYTA5BFMA" localSheetId="0" hidden="1">#REF!</definedName>
    <definedName name="BExD9M7SEMG0JK2FUTTZXWIEBTKB" localSheetId="0" hidden="1">#REF!</definedName>
    <definedName name="BExD9MNYBYB1AICQL5165G472IE2" localSheetId="0" hidden="1">#REF!</definedName>
    <definedName name="BExD9PNSYT7GASEGUVL48MUQ02WO" localSheetId="0" hidden="1">#REF!</definedName>
    <definedName name="BExD9TK2MIWFH5SKUYU9ZKF4NPHQ" localSheetId="0" hidden="1">#REF!</definedName>
    <definedName name="BExDA6LD9061UULVKUUI4QP8SK13" localSheetId="0" hidden="1">#REF!</definedName>
    <definedName name="BExDAGMVMNLQ6QXASB9R6D8DIT12" localSheetId="0" hidden="1">#REF!</definedName>
    <definedName name="BExDAYBHU9ADLXI8VRC7F608RVGM" localSheetId="0" hidden="1">#REF!</definedName>
    <definedName name="BExDBDR1XR0FV0CYUCB2OJ7CJCZU" localSheetId="0" hidden="1">#REF!</definedName>
    <definedName name="BExDC7F818VN0S18ID7XRCRVYPJ4" localSheetId="0" hidden="1">#REF!</definedName>
    <definedName name="BExDCL7K96PC9VZYB70ZW3QPVIJE" localSheetId="0" hidden="1">#REF!</definedName>
    <definedName name="BExDCP3UZ3C2O4C1F7KMU0Z9U32N" localSheetId="0" hidden="1">#REF!</definedName>
    <definedName name="BExEOBX3WECDMYCV9RLN49APTXMM" localSheetId="0" hidden="1">#REF!</definedName>
    <definedName name="BExEP4E4F36662JDI0TOD85OP7X9" localSheetId="0" hidden="1">#REF!</definedName>
    <definedName name="BExEPN9VIYI0FVL0HLZQXJFO6TT0" localSheetId="0" hidden="1">#REF!</definedName>
    <definedName name="BExEPYT6VDSMR8MU2341Q5GM2Y9V" localSheetId="0" hidden="1">#REF!</definedName>
    <definedName name="BExEQ2ENYLMY8K1796XBB31CJHNN" localSheetId="0" hidden="1">#REF!</definedName>
    <definedName name="BExEQ2PFE4N40LEPGDPS90WDL6BN" localSheetId="0" hidden="1">#REF!</definedName>
    <definedName name="BExEQ2PFURT24NQYGYVE8NKX1EGA" localSheetId="0" hidden="1">#REF!</definedName>
    <definedName name="BExEQB8ZWXO6IIGOEPWTLOJGE2NR" localSheetId="0" hidden="1">#REF!</definedName>
    <definedName name="BExEQBZX0EL6LIKPY01197ACK65H" localSheetId="0" hidden="1">#REF!</definedName>
    <definedName name="BExEQDXZALJLD4OBF74IKZBR13SR" localSheetId="0" hidden="1">#REF!</definedName>
    <definedName name="BExEQFLE2RPWGMWQAI4JMKUEFRPT" localSheetId="0" hidden="1">#REF!</definedName>
    <definedName name="BExEQTZAP8R69U31W4LKGTKKGKQE" localSheetId="0" hidden="1">#REF!</definedName>
    <definedName name="BExER1BK56YT6SUUC4NFZ7114Z7E" localSheetId="0" hidden="1">#REF!</definedName>
    <definedName name="BExER2O72H1F9WV6S1J04C15PXX7" localSheetId="0" hidden="1">#REF!</definedName>
    <definedName name="BExERRUIKIOATPZ9U4HQ0V52RJAU" localSheetId="0" hidden="1">#REF!</definedName>
    <definedName name="BExERSANFNM1O7T65PC5MJ301YET" localSheetId="0" hidden="1">#REF!</definedName>
    <definedName name="BExERWCEBKQRYWRQLYJ4UCMMKTHG" localSheetId="0" hidden="1">#REF!</definedName>
    <definedName name="BExES44RHHDL3V7FLV6M20834WF1" localSheetId="0" hidden="1">#REF!</definedName>
    <definedName name="BExES4A7VE2X3RYYTVRLKZD4I7WU" localSheetId="0" hidden="1">#REF!</definedName>
    <definedName name="BExES6ZC8R7PHJ21OVJFLIR7DY30" localSheetId="0" hidden="1">#REF!</definedName>
    <definedName name="BExESMKD95A649M0WRSG6CXXP326" localSheetId="0" hidden="1">#REF!</definedName>
    <definedName name="BExESR27ZXJG5VMY4PR9D940VS7T" localSheetId="0" hidden="1">#REF!</definedName>
    <definedName name="BExESZ03KXL8DQ2591HLR56ZML94" localSheetId="0" hidden="1">#REF!</definedName>
    <definedName name="BExESZAW5N443NRTKIP59OEI1CR6" localSheetId="0" hidden="1">#REF!</definedName>
    <definedName name="BExET3HXQ60A4O2OLKX8QNXRI6LQ" localSheetId="0" hidden="1">#REF!</definedName>
    <definedName name="BExETA3B1FCIOA80H94K90FWXQKE" localSheetId="0" hidden="1">#REF!</definedName>
    <definedName name="BExETAZOYT4CJIT8RRKC9F2HJG1D" localSheetId="0" hidden="1">#REF!</definedName>
    <definedName name="BExETF6QD5A9GEINE1KZRRC2LXWM" localSheetId="0" hidden="1">#REF!</definedName>
    <definedName name="BExETQ9XRXLUACN82805SPSPNKHI" localSheetId="0" hidden="1">#REF!</definedName>
    <definedName name="BExETR0YRMOR63E6DHLEHV9QVVON" localSheetId="0" hidden="1">#REF!</definedName>
    <definedName name="BExETVTGY38YXYYF7N73OYN6FYY3" localSheetId="0" hidden="1">#REF!</definedName>
    <definedName name="BExEUNE4T242Y59C6MS28MXEUGCP" localSheetId="0" hidden="1">#REF!</definedName>
    <definedName name="BExEV2TP7NA3ZR6RJGH5ER370OUM" localSheetId="0" hidden="1">#REF!</definedName>
    <definedName name="BExEV69USLNYO2QRJRC0J92XUF00" localSheetId="0" hidden="1">#REF!</definedName>
    <definedName name="BExEV6KNTQOCFD7GV726XQEVQ7R6" localSheetId="0" hidden="1">#REF!</definedName>
    <definedName name="BExEV6VGM4POO9QT9KH3QA3VYCWM" localSheetId="0" hidden="1">#REF!</definedName>
    <definedName name="BExEVET98G3FU6QBF9LHYWSAMV0O" localSheetId="0" hidden="1">#REF!</definedName>
    <definedName name="BExEVNCUT0PDUYNJH7G6BSEWZOT2" localSheetId="0" hidden="1">#REF!</definedName>
    <definedName name="BExEVPGF4V5J0WQRZKUM8F9TTKZJ" localSheetId="0" hidden="1">#REF!</definedName>
    <definedName name="BExEVPWH8S9GER9M14SPIT6XZ8SG" localSheetId="0" hidden="1">#REF!</definedName>
    <definedName name="BExEVVLIEVWYRF2UUC1H0H5QU1CP" localSheetId="0" hidden="1">#REF!</definedName>
    <definedName name="BExEVWCKO8T84GW9Z3X47915XKSH" localSheetId="0" hidden="1">#REF!</definedName>
    <definedName name="BExEVZSJWMZ5L2ZE7AZC57CXKW6T" localSheetId="0" hidden="1">#REF!</definedName>
    <definedName name="BExEW0JL1GFFCXMDGW54CI7Y8FZN" localSheetId="0" hidden="1">#REF!</definedName>
    <definedName name="BExEW68M9WL8214QH9C7VCK7BN08" localSheetId="0" hidden="1">#REF!</definedName>
    <definedName name="BExEW8HFKH6F47KIHYBDRUEFZ2ZZ" localSheetId="0" hidden="1">#REF!</definedName>
    <definedName name="BExEWLO75K95C6IRKHXSP7VP81T4" localSheetId="0" hidden="1">#REF!</definedName>
    <definedName name="BExEWNBGQS1U2LW3W84T4LSJ9K00" localSheetId="0" hidden="1">#REF!</definedName>
    <definedName name="BExEWO7STL7HNZSTY8VQBPTX1WK6" localSheetId="0" hidden="1">#REF!</definedName>
    <definedName name="BExEWQ0M1N3KMKTDJ73H10QSG4W1" localSheetId="0" hidden="1">#REF!</definedName>
    <definedName name="BExEX85F3OSW8NSCYGYPS9372Z1Q" localSheetId="0" hidden="1">#REF!</definedName>
    <definedName name="BExEX9HWY2G6928ZVVVQF77QCM2C" localSheetId="0" hidden="1">#REF!</definedName>
    <definedName name="BExEXBQWAYKMVBRJRHB8PFCSYFVN" localSheetId="0" hidden="1">#REF!</definedName>
    <definedName name="BExEXRBZ0DI9E2UFLLKYWGN66B61" localSheetId="0" hidden="1">#REF!</definedName>
    <definedName name="BExEYLG9FL9V1JPPNZ3FUDNSEJ4V" localSheetId="0" hidden="1">#REF!</definedName>
    <definedName name="BExEYOW8C1B3OUUCIGEC7L8OOW1Z" localSheetId="0" hidden="1">#REF!</definedName>
    <definedName name="BExEYUQJXZT6N5HJH8ACJF6SRWEE" localSheetId="0" hidden="1">#REF!</definedName>
    <definedName name="BExEZ1S6VZCG01ZPLBSS9Z1SBOJ2" localSheetId="0" hidden="1">#REF!</definedName>
    <definedName name="BExEZGBFNJR8DLPN0V11AU22L6WY" localSheetId="0" hidden="1">#REF!</definedName>
    <definedName name="BExF02Y3V3QEPO2XLDSK47APK9XJ" localSheetId="0" hidden="1">#REF!</definedName>
    <definedName name="BExF09OS91RT7N7IW8JLMZ121ZP3" localSheetId="0" hidden="1">#REF!</definedName>
    <definedName name="BExF0LOEHV42P2DV7QL8O7HOQ3N9" localSheetId="0" hidden="1">#REF!</definedName>
    <definedName name="BExF0WRM9VO25RLSO03ZOCE8H7K5" localSheetId="0" hidden="1">#REF!</definedName>
    <definedName name="BExF0ZRI7W4RSLIDLHTSM0AWXO3S" localSheetId="0" hidden="1">#REF!</definedName>
    <definedName name="BExF19CT3MMZZ2T5EWMDNG3UOJ01" localSheetId="0" hidden="1">#REF!</definedName>
    <definedName name="BExF1M38U6NX17YJA8YU359B5Z4M" localSheetId="0" hidden="1">#REF!</definedName>
    <definedName name="BExF1MU4W3NPEY0OHRDWP5IANCBB" localSheetId="0" hidden="1">#REF!</definedName>
    <definedName name="BExF1MZN8MWMOKOARHJ1QAF9HPGT" localSheetId="0" hidden="1">#REF!</definedName>
    <definedName name="BExF1US4ZIQYSU5LBFYNRA9N0K2O" localSheetId="0" hidden="1">#REF!</definedName>
    <definedName name="BExF2CWZN6E87RGTBMD4YQI2QT7R" localSheetId="0" hidden="1">#REF!</definedName>
    <definedName name="BExF2DYO1WQ7GMXSTAQRDBW1NSFG" localSheetId="0" hidden="1">#REF!</definedName>
    <definedName name="BExF2MSWNUY9Z6BZJQZ538PPTION" localSheetId="0" hidden="1">#REF!</definedName>
    <definedName name="BExF2QZYWHTYGUTTXR15CKCV3LS7" localSheetId="0" hidden="1">#REF!</definedName>
    <definedName name="BExF2T8Y6TSJ74RMSZOA9CEH4OZ6" localSheetId="0" hidden="1">#REF!</definedName>
    <definedName name="BExF31N3YM4F37EOOY8M8VI1KXN8" localSheetId="0" hidden="1">#REF!</definedName>
    <definedName name="BExF37C1YKBT79Z9SOJAG5MXQGTU" localSheetId="0" hidden="1">#REF!</definedName>
    <definedName name="BExF3A6HPA6DGYALZNHHJPMCUYZR" localSheetId="0" hidden="1">#REF!</definedName>
    <definedName name="BExF3I9T44X7DV9HHV51DVDDPPZG" localSheetId="0" hidden="1">#REF!</definedName>
    <definedName name="BExF3JMFX5DILOIFUDIO1HZUK875" localSheetId="0" hidden="1">#REF!</definedName>
    <definedName name="BExF3NTC4BGZEM6B87TCFX277QCS" localSheetId="0" hidden="1">#REF!</definedName>
    <definedName name="BExF3Q7NI90WT31QHYSJDIG0LLLJ" localSheetId="0" hidden="1">#REF!</definedName>
    <definedName name="BExF3QD55TIY1MSBSRK9TUJKBEWO" localSheetId="0" hidden="1">#REF!</definedName>
    <definedName name="BExF3QT8J6RIF1L3R700MBSKIOKW" localSheetId="0" hidden="1">#REF!</definedName>
    <definedName name="BExF42SSBVPMLK2UB3B7FPEIY9TU" localSheetId="0" hidden="1">#REF!</definedName>
    <definedName name="BExF4HXSWB50BKYPWA0HTT8W56H6" localSheetId="0" hidden="1">#REF!</definedName>
    <definedName name="BExF4KHF04IWW4LQ95FHQPFE4Y9K" localSheetId="0" hidden="1">#REF!</definedName>
    <definedName name="BExF4LU2NV3A47BCWPM3EZXUEH37" localSheetId="0" hidden="1">#REF!</definedName>
    <definedName name="BExF4MVQM5Y0QRDLDFSKWWTF709C" localSheetId="0" hidden="1">#REF!</definedName>
    <definedName name="BExF4PVMZYV36E8HOYY06J81AMBI" localSheetId="0" hidden="1">#REF!</definedName>
    <definedName name="BExF4SF9NEX1FZE9N8EXT89PM54D" localSheetId="0" hidden="1">#REF!</definedName>
    <definedName name="BExF52GTGP8MHGII4KJ8TJGR8W8U" localSheetId="0" hidden="1">#REF!</definedName>
    <definedName name="BExF57K7L3UC1I2FSAWURR4SN0UN" localSheetId="0" hidden="1">#REF!</definedName>
    <definedName name="BExF5D96JEPDW6LV89G2REZJ1ES7" localSheetId="0" hidden="1">#REF!</definedName>
    <definedName name="BExF5HR2GFV7O8LKG9SJ4BY78LYA" localSheetId="0" hidden="1">#REF!</definedName>
    <definedName name="BExF5ZFO2A29GHWR5ES64Z9OS16J" localSheetId="0" hidden="1">#REF!</definedName>
    <definedName name="BExF63S045JO7H2ZJCBTBVH3SUIF" localSheetId="0" hidden="1">#REF!</definedName>
    <definedName name="BExF642TEGTXCI9A61ZOONJCB0U1" localSheetId="0" hidden="1">#REF!</definedName>
    <definedName name="BExF67O951CF8UJF3KBDNR0E83C1" localSheetId="0" hidden="1">#REF!</definedName>
    <definedName name="BExF6EV7I35NVMIJGYTB6E24YVPA" localSheetId="0" hidden="1">#REF!</definedName>
    <definedName name="BExF6FGUF393KTMBT40S5BYAFG00" localSheetId="0" hidden="1">#REF!</definedName>
    <definedName name="BExF6GNYXWY8A0SY4PW1B6KJMMTM" localSheetId="0" hidden="1">#REF!</definedName>
    <definedName name="BExF6IB8K74Z0AFT05GPOKKZW7C9" localSheetId="0" hidden="1">#REF!</definedName>
    <definedName name="BExF6NUXJI11W2IAZNAM1QWC0459" localSheetId="0" hidden="1">#REF!</definedName>
    <definedName name="BExF6RR76KNVIXGJOVFO8GDILKGZ" localSheetId="0" hidden="1">#REF!</definedName>
    <definedName name="BExF6ZE8D5CMPJPRWT6S4HM56LPF" localSheetId="0" hidden="1">#REF!</definedName>
    <definedName name="BExF76FV8SF7AJK7B35AL7VTZF6D" localSheetId="0" hidden="1">#REF!</definedName>
    <definedName name="BExF7EOIMC1OYL1N7835KGOI0FIZ" localSheetId="0" hidden="1">#REF!</definedName>
    <definedName name="BExF7K88K7ASGV6RAOAGH52G04VR" localSheetId="0" hidden="1">#REF!</definedName>
    <definedName name="BExF7OVDRP3LHNAF2CX4V84CKKIR" localSheetId="0" hidden="1">#REF!</definedName>
    <definedName name="BExF7QO41X2A2SL8UXDNP99GY7U9" localSheetId="0" hidden="1">#REF!</definedName>
    <definedName name="BExF81GI8B8WBHXFTET68A9358BR" localSheetId="0" hidden="1">#REF!</definedName>
    <definedName name="BExGL97US0Y3KXXASUTVR26XLT70" localSheetId="0" hidden="1">#REF!</definedName>
    <definedName name="BExGLC7R4C33RO0PID97ZPPVCW4M" localSheetId="0" hidden="1">#REF!</definedName>
    <definedName name="BExGLFIF7HCFSHNQHKEV6RY0WCO3" localSheetId="0" hidden="1">#REF!</definedName>
    <definedName name="BExGLTARRL0J772UD2TXEYAVPY6E" localSheetId="0" hidden="1">#REF!</definedName>
    <definedName name="BExGLVP1IU8K5A8J1340XFMYPR88" localSheetId="0" hidden="1">#REF!</definedName>
    <definedName name="BExGLYE6RZTAAWHJBG2QFJPTDS2Q" localSheetId="0" hidden="1">#REF!</definedName>
    <definedName name="BExGM4DZ65OAQP7MA4LN6QMYZOFF" localSheetId="0" hidden="1">#REF!</definedName>
    <definedName name="BExGMCXCWEC9XNUOEMZ61TMI6CUO" localSheetId="0" hidden="1">#REF!</definedName>
    <definedName name="BExGMJDGIH0MEPC2TUSFUCY2ROTB" localSheetId="0" hidden="1">#REF!</definedName>
    <definedName name="BExGMKPW2HPKN0M0XKF3AZ8YP0D6" localSheetId="0" hidden="1">#REF!</definedName>
    <definedName name="BExGMP2F175LGL6QVSJGP6GKYHHA" localSheetId="0" hidden="1">#REF!</definedName>
    <definedName name="BExGMPIIP8GKML2VVA8OEFL43NCS" localSheetId="0" hidden="1">#REF!</definedName>
    <definedName name="BExGMZ3SRIXLXMWBVOXXV3M4U4YL" localSheetId="0" hidden="1">#REF!</definedName>
    <definedName name="BExGMZ3UBN48IXU1ZEFYECEMZ1IM" localSheetId="0" hidden="1">#REF!</definedName>
    <definedName name="BExGN4I0QATXNZCLZJM1KH1OIJQH" localSheetId="0" hidden="1">#REF!</definedName>
    <definedName name="BExGN9FZ2RWCMSY1YOBJKZMNIM9R" localSheetId="0" hidden="1">#REF!</definedName>
    <definedName name="BExGNASMQ33YKGIMF3J89WMBUJD1" localSheetId="0" hidden="1">#REF!</definedName>
    <definedName name="BExGNDSIMTHOCXXG6QOGR6DA8SGG" localSheetId="0" hidden="1">#REF!</definedName>
    <definedName name="BExGNN2YQ9BDAZXT2GLCSAPXKIM7" localSheetId="0" hidden="1">#REF!</definedName>
    <definedName name="BExGNSS0CKRPKHO25R3TDBEL2NHX" localSheetId="0" hidden="1">#REF!</definedName>
    <definedName name="BExGNYH0MO8NOVS85L15G0RWX4GW" localSheetId="0" hidden="1">#REF!</definedName>
    <definedName name="BExGNZO44DEG8CGIDYSEGDUQ531R" localSheetId="0" hidden="1">#REF!</definedName>
    <definedName name="BExGO2O0V6UYDY26AX8OSN72F77N" localSheetId="0" hidden="1">#REF!</definedName>
    <definedName name="BExGO2YUBOVLYHY1QSIHRE1KLAFV" localSheetId="0" hidden="1">#REF!</definedName>
    <definedName name="BExGO70E2O70LF46V8T26YFPL4V8" localSheetId="0" hidden="1">#REF!</definedName>
    <definedName name="BExGOB25QJMQCQE76MRW9X58OIOO" localSheetId="0" hidden="1">#REF!</definedName>
    <definedName name="BExGODAZKJ9EXMQZNQR5YDBSS525" localSheetId="0" hidden="1">#REF!</definedName>
    <definedName name="BExGODR8ZSMUC11I56QHSZ686XV5" localSheetId="0" hidden="1">#REF!</definedName>
    <definedName name="BExGOT6UXUX5FVTAYL9SOBZ1D0II" localSheetId="0" hidden="1">#REF!</definedName>
    <definedName name="BExGOXJDHUDPDT8I8IVGVW9J0R5Q" localSheetId="0" hidden="1">#REF!</definedName>
    <definedName name="BExGPHGT5KDOCMV2EFS4OVKTWBRD" localSheetId="0" hidden="1">#REF!</definedName>
    <definedName name="BExGPID72Y4Y619LWASUQZKZHJNC" localSheetId="0" hidden="1">#REF!</definedName>
    <definedName name="BExGPPENQIANVGLVQJ77DK5JPRTB" localSheetId="0" hidden="1">#REF!</definedName>
    <definedName name="BExGQ1ZU4967P72AHF4V1D0FOL5C" localSheetId="0" hidden="1">#REF!</definedName>
    <definedName name="BExGQ36ZOMR9GV8T05M605MMOY3Y" localSheetId="0" hidden="1">#REF!</definedName>
    <definedName name="BExGQ61DTJ0SBFMDFBAK3XZ9O0ZO" localSheetId="0" hidden="1">#REF!</definedName>
    <definedName name="BExGQ6SG9XEOD0VMBAR22YPZWSTA" localSheetId="0" hidden="1">#REF!</definedName>
    <definedName name="BExGQGJ1A7LNZUS8QSMOG8UNGLMK" localSheetId="0" hidden="1">#REF!</definedName>
    <definedName name="BExGQPO7ENFEQC0NC6MC9OZR2LHY" localSheetId="0" hidden="1">#REF!</definedName>
    <definedName name="BExGQX0H4EZMXBJTKJJE4ICJWN5O" localSheetId="0" hidden="1">#REF!</definedName>
    <definedName name="BExGR4CW3WRIID17GGX4MI9ZDHFE" localSheetId="0" hidden="1">#REF!</definedName>
    <definedName name="BExGR65GJX27MU2OL6NI5PB8XVB4" localSheetId="0" hidden="1">#REF!</definedName>
    <definedName name="BExGR6LQ97HETGS3CT96L4IK0JSH" localSheetId="0" hidden="1">#REF!</definedName>
    <definedName name="BExGR9ATP2LVT7B9OCPSLJ11H9SX" localSheetId="0" hidden="1">#REF!</definedName>
    <definedName name="BExGRUKVVKDL8483WI70VN2QZDGD" localSheetId="0" hidden="1">#REF!</definedName>
    <definedName name="BExGS2IWR5DUNJ1U9PAKIV8CMBNI" localSheetId="0" hidden="1">#REF!</definedName>
    <definedName name="BExGS69P9FFTEOPDS0MWFKF45G47" localSheetId="0" hidden="1">#REF!</definedName>
    <definedName name="BExGS6F1JFHM5MUJ1RFO50WP6D05" localSheetId="0" hidden="1">#REF!</definedName>
    <definedName name="BExGSA5YB5ZGE4NHDVCZ55TQAJTL" localSheetId="0" hidden="1">#REF!</definedName>
    <definedName name="BExGSCEUCQQVDEEKWJ677QTGUVTE" localSheetId="0" hidden="1">#REF!</definedName>
    <definedName name="BExGSQY65LH1PCKKM5WHDW83F35O" localSheetId="0" hidden="1">#REF!</definedName>
    <definedName name="BExGSYW1GKISF0PMUAK3XJK9PEW9" localSheetId="0" hidden="1">#REF!</definedName>
    <definedName name="BExGT0DZJB6LSF6L693UUB9EY1VQ" localSheetId="0" hidden="1">#REF!</definedName>
    <definedName name="BExGTGVFIF8HOQXR54SK065A8M4K" localSheetId="0" hidden="1">#REF!</definedName>
    <definedName name="BExGTIYX3OWPIINOGY1E4QQYSKHP" localSheetId="0" hidden="1">#REF!</definedName>
    <definedName name="BExGTKGUN0KUU3C0RL2LK98D8MEK" localSheetId="0" hidden="1">#REF!</definedName>
    <definedName name="BExGTZ046J7VMUG4YPKFN2K8TWB7" localSheetId="0" hidden="1">#REF!</definedName>
    <definedName name="BExGU2G9OPRZRIU9YGF6NX9FUW0J" localSheetId="0" hidden="1">#REF!</definedName>
    <definedName name="BExGU6HTKLRZO8UOI3DTAM5RFDBA" localSheetId="0" hidden="1">#REF!</definedName>
    <definedName name="BExGUDDZXFFQHAF4UZF8ZB1HO7H6" localSheetId="0" hidden="1">#REF!</definedName>
    <definedName name="BExGUIBXBRHGM97ZX6GBA4ZDQ79C" localSheetId="0" hidden="1">#REF!</definedName>
    <definedName name="BExGUM8D91UNPCOO4TKP9FGX85TF" localSheetId="0" hidden="1">#REF!</definedName>
    <definedName name="BExGUQF9N9FKI7S0H30WUAEB5LPD" localSheetId="0" hidden="1">#REF!</definedName>
    <definedName name="BExGUR6BA03XPBK60SQUW197GJ5X" localSheetId="0" hidden="1">#REF!</definedName>
    <definedName name="BExGUVIP60TA4B7X2PFGMBFUSKGX" localSheetId="0" hidden="1">#REF!</definedName>
    <definedName name="BExGUZKF06F209XL1IZWVJEQ82EE" localSheetId="0" hidden="1">#REF!</definedName>
    <definedName name="BExGV2EVT380QHD4AP2RL9MR8L5L" localSheetId="0" hidden="1">#REF!</definedName>
    <definedName name="BExGVV6OOLDQ3TXZK51TTF3YX0WN" localSheetId="0" hidden="1">#REF!</definedName>
    <definedName name="BExGW0KVS7U0C87XFZ78QW991IEV" localSheetId="0" hidden="1">#REF!</definedName>
    <definedName name="BExGW2Z7AMPG6H9EXA9ML6EZVGGA" localSheetId="0" hidden="1">#REF!</definedName>
    <definedName name="BExGWABG5VT5XO1A196RK61AXA8C" localSheetId="0" hidden="1">#REF!</definedName>
    <definedName name="BExGWEO0JDG84NYLEAV5NSOAGMJZ" localSheetId="0" hidden="1">#REF!</definedName>
    <definedName name="BExGWLEOC70Z8QAJTPT2PDHTNM4L" localSheetId="0" hidden="1">#REF!</definedName>
    <definedName name="BExGWNCXLCRTLBVMTXYJ5PHQI6SS" localSheetId="0" hidden="1">#REF!</definedName>
    <definedName name="BExGX6U988MCFIGDA1282F92U9AA" localSheetId="0" hidden="1">#REF!</definedName>
    <definedName name="BExGX7FTB1CKAT5HUW6H531FIY6I" localSheetId="0" hidden="1">#REF!</definedName>
    <definedName name="BExGX9DVACJQIZ4GH6YAD2A7F70O" localSheetId="0" hidden="1">#REF!</definedName>
    <definedName name="BExGXDVP2S2Y8Z8Q43I78RCIK3DD" localSheetId="0" hidden="1">#REF!</definedName>
    <definedName name="BExGXJ9W5JU7TT9S0BKL5Y6VVB39" localSheetId="0" hidden="1">#REF!</definedName>
    <definedName name="BExGXWB73RJ4BASBQTQ8EY0EC1EB" localSheetId="0" hidden="1">#REF!</definedName>
    <definedName name="BExGXZ0ABB43C7SMRKZHWOSU9EQX" localSheetId="0" hidden="1">#REF!</definedName>
    <definedName name="BExGY6SU3SYVCJ3AG2ITY59SAZ5A" localSheetId="0" hidden="1">#REF!</definedName>
    <definedName name="BExGY6YA4P5KMY2VHT0DYK3YTFAX" localSheetId="0" hidden="1">#REF!</definedName>
    <definedName name="BExGY8G88PVVRYHPHRPJZFSX6HSC" localSheetId="0" hidden="1">#REF!</definedName>
    <definedName name="BExGYC718HTZ80PNKYPVIYGRJVF6" localSheetId="0" hidden="1">#REF!</definedName>
    <definedName name="BExGYCNATXZY2FID93B17YWIPPRD" localSheetId="0" hidden="1">#REF!</definedName>
    <definedName name="BExGYGJJJ3BBCQAOA51WHP01HN73" localSheetId="0" hidden="1">#REF!</definedName>
    <definedName name="BExGYOS6TV2C72PLRFU8RP1I58GY" localSheetId="0" hidden="1">#REF!</definedName>
    <definedName name="BExGZ7NXZ0IBS44C2NZ9VMD6T6K2" localSheetId="0" hidden="1">#REF!</definedName>
    <definedName name="BExGZJ78ZWZCVHZ3BKEKFJZ6MAEO" localSheetId="0" hidden="1">#REF!</definedName>
    <definedName name="BExGZOLH2QV73J3M9IWDDPA62TP4" localSheetId="0" hidden="1">#REF!</definedName>
    <definedName name="BExGZP1PWGFKVVVN4YDIS22DZPCR" localSheetId="0" hidden="1">#REF!</definedName>
    <definedName name="BExH00L21GZX5YJJGVMOAWBERLP5" localSheetId="0" hidden="1">#REF!</definedName>
    <definedName name="BExH02ZD6VAY1KQLAQYBBI6WWIZB" localSheetId="0" hidden="1">#REF!</definedName>
    <definedName name="BExH08Z6LQCGGSGSAILMHX4X7JMD" localSheetId="0" hidden="1">#REF!</definedName>
    <definedName name="BExH0KT9Z8HEVRRQRGQ8YHXRLIJA" localSheetId="0" hidden="1">#REF!</definedName>
    <definedName name="BExH0M0FDN12YBOCKL3XL2Z7T7Y8" localSheetId="0" hidden="1">#REF!</definedName>
    <definedName name="BExH0O9G06YPZ5TN9RYT326I1CP2" localSheetId="0" hidden="1">#REF!</definedName>
    <definedName name="BExH0WNJAKTJRCKMTX8O4KNMIIJM" localSheetId="0" hidden="1">#REF!</definedName>
    <definedName name="BExH12Y4WX542WI3ZEM15AK4UM9J" localSheetId="0" hidden="1">#REF!</definedName>
    <definedName name="BExH1FDTQXR9QQ31WDB7OPXU7MPT" localSheetId="0" hidden="1">#REF!</definedName>
    <definedName name="BExH1FOMEUIJNIDJAUY0ZQFBJSY9" localSheetId="0" hidden="1">#REF!</definedName>
    <definedName name="BExH1JFFHEBFX9BWJMNIA3N66R3Z" localSheetId="0" hidden="1">#REF!</definedName>
    <definedName name="BExH1Z0GIUSVTF2H1G1I3PDGBNK2" localSheetId="0" hidden="1">#REF!</definedName>
    <definedName name="BExH225UTM6S9FW4MUDZS7F1PQSH" localSheetId="0" hidden="1">#REF!</definedName>
    <definedName name="BExH23271RF7AYZ542KHQTH68GQ7" localSheetId="0" hidden="1">#REF!</definedName>
    <definedName name="BExH2GJQR4JALNB314RY0LDI49VH" localSheetId="0" hidden="1">#REF!</definedName>
    <definedName name="BExH2JZR49T7644JFVE7B3N7RZM9" localSheetId="0" hidden="1">#REF!</definedName>
    <definedName name="BExH2UHF0QTJG107MULYB16WBJM9" localSheetId="0" hidden="1">#REF!</definedName>
    <definedName name="BExH2WKXV8X5S2GSBBTWGI0NLNAH" localSheetId="0" hidden="1">#REF!</definedName>
    <definedName name="BExH2XS1UFYFGU0S0EBXX90W2WE8" localSheetId="0" hidden="1">#REF!</definedName>
    <definedName name="BExH2XS2TND9SB0GC295R4FP6K5Y" localSheetId="0" hidden="1">#REF!</definedName>
    <definedName name="BExH2ZA0SZ4SSITL50NA8LZ3OEX6" localSheetId="0" hidden="1">#REF!</definedName>
    <definedName name="BExH31Z3JNVJPESWKXHILGXZHP2M" localSheetId="0" hidden="1">#REF!</definedName>
    <definedName name="BExH3E9HZ3QJCDZW7WI7YACFQCHE" localSheetId="0" hidden="1">#REF!</definedName>
    <definedName name="BExH3IRB6764RQ5HBYRLH6XCT29X" localSheetId="0" hidden="1">#REF!</definedName>
    <definedName name="BExIG2U8V6RSB47SXLCQG3Q68YRO" localSheetId="0" hidden="1">#REF!</definedName>
    <definedName name="BExIGJBO8R13LV7CZ7C1YCP974NN" localSheetId="0" hidden="1">#REF!</definedName>
    <definedName name="BExIGWT86FPOEYTI8GXCGU5Y3KGK" localSheetId="0" hidden="1">#REF!</definedName>
    <definedName name="BExIHBHXA7E7VUTBVHXXXCH3A5CL" localSheetId="0" hidden="1">#REF!</definedName>
    <definedName name="BExIHPQCQTGEW8QOJVIQ4VX0P6DX" localSheetId="0" hidden="1">#REF!</definedName>
    <definedName name="BExII1KN91Q7DLW0UB7W2TJ5ACT9" localSheetId="0" hidden="1">#REF!</definedName>
    <definedName name="BExII50LI8I0CDOOZEMIVHVA2V95" localSheetId="0" hidden="1">#REF!</definedName>
    <definedName name="BExIIXMY38TQD12CVV4S57L3I809" localSheetId="0" hidden="1">#REF!</definedName>
    <definedName name="BExIIY37NEVU2LGS1JE4VR9AN6W4" localSheetId="0" hidden="1">#REF!</definedName>
    <definedName name="BExIIYJAGXR8TPZ1KCYM7EGJ79UW" localSheetId="0" hidden="1">#REF!</definedName>
    <definedName name="BExIJ3160YCWGAVEU0208ZGXXG3P" localSheetId="0" hidden="1">#REF!</definedName>
    <definedName name="BExIJFGZJ5ED9D6KAY4PGQYLELAX" localSheetId="0" hidden="1">#REF!</definedName>
    <definedName name="BExIJQK80ZEKSTV62E59AYJYUNLI" localSheetId="0" hidden="1">#REF!</definedName>
    <definedName name="BExIJRLX3M0YQLU1D5Y9V7HM5QNM" localSheetId="0" hidden="1">#REF!</definedName>
    <definedName name="BExIJV22J0QA7286KNPMHO1ZUCB3" localSheetId="0" hidden="1">#REF!</definedName>
    <definedName name="BExIJVI6OC7B6ZE9V4PAOYZXKNER" localSheetId="0" hidden="1">#REF!</definedName>
    <definedName name="BExIJWK0NGTGQ4X7D5VIVXD14JHI" localSheetId="0" hidden="1">#REF!</definedName>
    <definedName name="BExIJWPCIYINEJUTXU74VK7WG031" localSheetId="0" hidden="1">#REF!</definedName>
    <definedName name="BExIKHTXPZR5A8OHB6HDP6QWDHAD" localSheetId="0" hidden="1">#REF!</definedName>
    <definedName name="BExIKMMJOETSAXJYY1SIKM58LMA2" localSheetId="0" hidden="1">#REF!</definedName>
    <definedName name="BExIKRF6AQ6VOO9KCIWSM6FY8M7D" localSheetId="0" hidden="1">#REF!</definedName>
    <definedName name="BExIKTYZESFT3LC0ASFMFKSE0D1X" localSheetId="0" hidden="1">#REF!</definedName>
    <definedName name="BExIKXVA6M8K0PTRYAGXS666L335" localSheetId="0" hidden="1">#REF!</definedName>
    <definedName name="BExIL0PMZ2SXK9R6MLP43KBU1J2P" localSheetId="0" hidden="1">#REF!</definedName>
    <definedName name="BExILAAXRTRAD18K74M6MGUEEPUM" localSheetId="0" hidden="1">#REF!</definedName>
    <definedName name="BExILG5F338C0FFLMVOKMKF8X5ZP" localSheetId="0" hidden="1">#REF!</definedName>
    <definedName name="BExILGQTQM0HOD0BJI90YO7GOIN3" localSheetId="0" hidden="1">#REF!</definedName>
    <definedName name="BExIM9DBUB7ZGF4B20FVUO9QGOX2" localSheetId="0" hidden="1">#REF!</definedName>
    <definedName name="BExIMGK9Z94TFPWWZFMD10HV0IF6" localSheetId="0" hidden="1">#REF!</definedName>
    <definedName name="BExIMPEGKG18TELVC33T4OQTNBWC" localSheetId="0" hidden="1">#REF!</definedName>
    <definedName name="BExIN4OR435DL1US13JQPOQK8GD5" localSheetId="0" hidden="1">#REF!</definedName>
    <definedName name="BExINADRFOELEB40GKQ9BXRQYGYO" localSheetId="0" hidden="1">#REF!</definedName>
    <definedName name="BExINI6A7H3KSFRFA6UBBDPKW37F" localSheetId="0" hidden="1">#REF!</definedName>
    <definedName name="BExINIMK8XC3JOBT2EXYFHHH52H0" localSheetId="0" hidden="1">#REF!</definedName>
    <definedName name="BExINLX401ZKEGWU168DS4JUM2J6" localSheetId="0" hidden="1">#REF!</definedName>
    <definedName name="BExINMYYJO1FTV1CZF6O5XCFAMQX" localSheetId="0" hidden="1">#REF!</definedName>
    <definedName name="BExINP2H4KI05FRFV5PKZFE00HKO" localSheetId="0" hidden="1">#REF!</definedName>
    <definedName name="BExINZELVWYGU876QUUZCIMXPBQC" localSheetId="0" hidden="1">#REF!</definedName>
    <definedName name="BExIOCQUQHKUU1KONGSDOLQTQEIC" localSheetId="0" hidden="1">#REF!</definedName>
    <definedName name="BExIOFL8Y5O61VLKTB4H20IJNWS1" localSheetId="0" hidden="1">#REF!</definedName>
    <definedName name="BExIOMBXRW5NS4ZPYX9G5QREZ5J6" localSheetId="0" hidden="1">#REF!</definedName>
    <definedName name="BExIORA3GK78T7C7SNBJJUONJ0LS" localSheetId="0" hidden="1">#REF!</definedName>
    <definedName name="BExIORFDXP4AVIEBLSTZ8ETSXMNM" localSheetId="0" hidden="1">#REF!</definedName>
    <definedName name="BExIOTZ5EFZ2NASVQ05RH15HRSW6" localSheetId="0" hidden="1">#REF!</definedName>
    <definedName name="BExIP8YNN6UUE1GZ223SWH7DLGKO" localSheetId="0" hidden="1">#REF!</definedName>
    <definedName name="BExIPAB4AOL592OJCC1CFAXTLF1A" localSheetId="0" hidden="1">#REF!</definedName>
    <definedName name="BExIPB25DKX4S2ZCKQN7KWSC3JBF" localSheetId="0" hidden="1">#REF!</definedName>
    <definedName name="BExIPDLT8JYAMGE5HTN4D1YHZF3V" localSheetId="0" hidden="1">#REF!</definedName>
    <definedName name="BExIPG040Q08EWIWL6CAVR3GRI43" localSheetId="0" hidden="1">#REF!</definedName>
    <definedName name="BExIPKNFUDPDKOSH5GHDVNA8D66S" localSheetId="0" hidden="1">#REF!</definedName>
    <definedName name="BExIQ1VS9A2FHVD9TUHKG9K8EVVP" localSheetId="0" hidden="1">#REF!</definedName>
    <definedName name="BExIQ3J19L30PSQ2CXNT6IHW0I7V" localSheetId="0" hidden="1">#REF!</definedName>
    <definedName name="BExIQ3OJ7M04XCY276IO0LJA5XUK" localSheetId="0" hidden="1">#REF!</definedName>
    <definedName name="BExIQ5S19ITB0NDRUN4XV7B905ED" localSheetId="0" hidden="1">#REF!</definedName>
    <definedName name="BExIQ9TMQT2EIXSVQW7GVSOAW2VJ" localSheetId="0" hidden="1">#REF!</definedName>
    <definedName name="BExIQBMDE1L6J4H27K1FMSHQKDSE" localSheetId="0" hidden="1">#REF!</definedName>
    <definedName name="BExIQE65LVXUOF3UZFO7SDHFJH22" localSheetId="0" hidden="1">#REF!</definedName>
    <definedName name="BExIQG9OO2KKBOWTMD1OXY36TEGA" localSheetId="0" hidden="1">#REF!</definedName>
    <definedName name="BExIQX1XBB31HZTYEEVOBSE3C5A6" localSheetId="0" hidden="1">#REF!</definedName>
    <definedName name="BExIQYP5T1TPAQYW7QU1Q98BKX7W" localSheetId="0" hidden="1">#REF!</definedName>
    <definedName name="BExIR2ALYRP9FW99DK2084J7IIDC" localSheetId="0" hidden="1">#REF!</definedName>
    <definedName name="BExIR8FQETPTQYW37DBVDWG3J4JW" localSheetId="0" hidden="1">#REF!</definedName>
    <definedName name="BExIRRBGTY01OQOI3U5SW59RFDFI" localSheetId="0" hidden="1">#REF!</definedName>
    <definedName name="BExIS4T0DRF57HYO7OGG72KBOFOI" localSheetId="0" hidden="1">#REF!</definedName>
    <definedName name="BExIS77BJDDK18PGI9DSEYZPIL7P" localSheetId="0" hidden="1">#REF!</definedName>
    <definedName name="BExIS8USL1T3Z97CZ30HJ98E2GXQ" localSheetId="0" hidden="1">#REF!</definedName>
    <definedName name="BExISC5B700MZUBFTQ9K4IKTF7HR" localSheetId="0" hidden="1">#REF!</definedName>
    <definedName name="BExISDHXS49S1H56ENBPRF1NLD5C" localSheetId="0" hidden="1">#REF!</definedName>
    <definedName name="BExISM1JLV54A21A164IURMPGUMU" localSheetId="0" hidden="1">#REF!</definedName>
    <definedName name="BExISRFKJYUZ4AKW44IJF7RF9Y90" localSheetId="0" hidden="1">#REF!</definedName>
    <definedName name="BExIT1MK8TBAK3SNP36A8FKDQSOK" localSheetId="0" hidden="1">#REF!</definedName>
    <definedName name="BExITBNYANV2S8KD56GOGCKW393R" localSheetId="0" hidden="1">#REF!</definedName>
    <definedName name="BExIUD4OJGH65NFNQ4VMCE3R4J1X" localSheetId="0" hidden="1">#REF!</definedName>
    <definedName name="BExIUTB5OAAXYW0OFMP0PS40SPOB" localSheetId="0" hidden="1">#REF!</definedName>
    <definedName name="BExIUUT2MHIOV6R3WHA0DPM1KBKY" localSheetId="0" hidden="1">#REF!</definedName>
    <definedName name="BExIUYPDT1AM6MWGWQS646PIZIWC" localSheetId="0" hidden="1">#REF!</definedName>
    <definedName name="BExIV0I2O9F8D1UK1SI8AEYR6U0A" localSheetId="0" hidden="1">#REF!</definedName>
    <definedName name="BExIV2LM38XPLRTWT0R44TMQ59E5" localSheetId="0" hidden="1">#REF!</definedName>
    <definedName name="BExIV3HY4S0YRV1F7XEMF2YHAR2I" localSheetId="0" hidden="1">#REF!</definedName>
    <definedName name="BExIV6HUZFRIFLXW2SICKGTAH1PV" localSheetId="0" hidden="1">#REF!</definedName>
    <definedName name="BExIVC6WZMHRBRGIBUVX0CO2RK05" localSheetId="0" hidden="1">#REF!</definedName>
    <definedName name="BExIVCXWL6H5LD9DHDIA4F5U9TQL" localSheetId="0" hidden="1">#REF!</definedName>
    <definedName name="BExIVMOIPSEWSIHIDDLOXESQ28A0" localSheetId="0" hidden="1">#REF!</definedName>
    <definedName name="BExIVNVNJX9BYDLC88NG09YF5XQ6" localSheetId="0" hidden="1">#REF!</definedName>
    <definedName name="BExIVQVKLMGSRYT1LFZH0KUIA4OR" localSheetId="0" hidden="1">#REF!</definedName>
    <definedName name="BExIVYTFI35KNR2XSA6N8OJYUTUR" localSheetId="0" hidden="1">#REF!</definedName>
    <definedName name="BExIWB3SY3WRIVIOF988DNNODBOA" localSheetId="0" hidden="1">#REF!</definedName>
    <definedName name="BExIWB99CG0H52LRD6QWPN4L6DV2" localSheetId="0" hidden="1">#REF!</definedName>
    <definedName name="BExIWG1W7XP9DFYYSZAIOSHM0QLQ" localSheetId="0" hidden="1">#REF!</definedName>
    <definedName name="BExIWH3KUK94B7833DD4TB0Y6KP9" localSheetId="0" hidden="1">#REF!</definedName>
    <definedName name="BExIWKE9MGIDWORBI43AWTUNYFAN" localSheetId="0" hidden="1">#REF!</definedName>
    <definedName name="BExIX34PM5DBTRHRQWP6PL6WIX88" localSheetId="0" hidden="1">#REF!</definedName>
    <definedName name="BExIX5OAP9KSUE5SIZCW9P39Q4WE" localSheetId="0" hidden="1">#REF!</definedName>
    <definedName name="BExIXGRJPVJMUDGSG7IHPXPNO69B" localSheetId="0" hidden="1">#REF!</definedName>
    <definedName name="BExIXM5R87ZL3FHALWZXYCPHGX3E" localSheetId="0" hidden="1">#REF!</definedName>
    <definedName name="BExIXS036ZCKT2Z8XZKLZ8PFWQGL" localSheetId="0" hidden="1">#REF!</definedName>
    <definedName name="BExIXY5CF9PFM0P40AZ4U51TMWV0" localSheetId="0" hidden="1">#REF!</definedName>
    <definedName name="BExIYEXJBK8JDWIRSVV4RJSKZVV1" localSheetId="0" hidden="1">#REF!</definedName>
    <definedName name="BExIYI2RH0K4225XO970K2IQ1E79" localSheetId="0" hidden="1">#REF!</definedName>
    <definedName name="BExIYMPZ0KS2KOJFQAUQJ77L7701" localSheetId="0" hidden="1">#REF!</definedName>
    <definedName name="BExIYP9Q6FV9T0R9G3UDKLS4TTYX" localSheetId="0" hidden="1">#REF!</definedName>
    <definedName name="BExIYZGLDQ1TN7BIIN4RLDP31GIM" localSheetId="0" hidden="1">#REF!</definedName>
    <definedName name="BExIZ4K0EZJK6PW3L8SVKTJFSWW9" localSheetId="0" hidden="1">#REF!</definedName>
    <definedName name="BExIZAECOEZGBAO29QMV14E6XDIV" localSheetId="0" hidden="1">#REF!</definedName>
    <definedName name="BExIZKVXYD5O2JBU81F2UFJZLLSI" localSheetId="0" hidden="1">#REF!</definedName>
    <definedName name="BExIZPZDHC8HGER83WHCZAHOX7LK" localSheetId="0" hidden="1">#REF!</definedName>
    <definedName name="BExIZY2PUZ0OF9YKK1B13IW0VS6G" localSheetId="0" hidden="1">#REF!</definedName>
    <definedName name="BExJ08KBRR2XMWW3VZMPSQKXHZUH" localSheetId="0" hidden="1">#REF!</definedName>
    <definedName name="BExJ0DYJWXGE7DA39PYL3WM05U9O" localSheetId="0" hidden="1">#REF!</definedName>
    <definedName name="BExJ0MY8SY5J5V50H3UKE78ODTVB" localSheetId="0" hidden="1">#REF!</definedName>
    <definedName name="BExJ0YC98G37ML4N8FLP8D95EFRF" localSheetId="0" hidden="1">#REF!</definedName>
    <definedName name="BExKCDYKAEV45AFXHVHZZ62E5BM3" localSheetId="0" hidden="1">#REF!</definedName>
    <definedName name="BExKDKO0W4AGQO1V7K6Q4VM750FT" localSheetId="0" hidden="1">#REF!</definedName>
    <definedName name="BExKDLF10G7W77J87QWH3ZGLUCLW" localSheetId="0" hidden="1">#REF!</definedName>
    <definedName name="BExKEFE0I3MT6ZLC4T1L9465HKTN" localSheetId="0" hidden="1">#REF!</definedName>
    <definedName name="BExKEK6O5BVJP4VY02FY7JNAZ6BT" localSheetId="0" hidden="1">#REF!</definedName>
    <definedName name="BExKEKXK6E6QX339ELPXDIRZSJE0" localSheetId="0" hidden="1">#REF!</definedName>
    <definedName name="BExKEOOIBMP7N8033EY2CJYCBX6H" localSheetId="0" hidden="1">#REF!</definedName>
    <definedName name="BExKEW0RR5LA3VC46A2BEOOMQE56" localSheetId="0" hidden="1">#REF!</definedName>
    <definedName name="BExKFA3VI1CZK21SM0N3LZWT9LA1" localSheetId="0" hidden="1">#REF!</definedName>
    <definedName name="BExKFINBFV5J2NFRCL4YUO3YF0ZE" localSheetId="0" hidden="1">#REF!</definedName>
    <definedName name="BExKFISRBFACTAMJSALEYMY66F6X" localSheetId="0" hidden="1">#REF!</definedName>
    <definedName name="BExKFOSK5DJ151C4E8544UWMYTOC" localSheetId="0" hidden="1">#REF!</definedName>
    <definedName name="BExKFYJC4EVEV54F82K6VKP7Q3OU" localSheetId="0" hidden="1">#REF!</definedName>
    <definedName name="BExKG4IYHBKQQ8J8FN10GB2IKO33" localSheetId="0" hidden="1">#REF!</definedName>
    <definedName name="BExKGF0L44S78D33WMQ1A75TRKB9" localSheetId="0" hidden="1">#REF!</definedName>
    <definedName name="BExKGFRN31B3G20LMQ4LRF879J68" localSheetId="0" hidden="1">#REF!</definedName>
    <definedName name="BExKGJD3U3ADZILP20U3EURP0UQP" localSheetId="0" hidden="1">#REF!</definedName>
    <definedName name="BExKGNK5YGKP0YHHTAAOV17Z9EIM" localSheetId="0" hidden="1">#REF!</definedName>
    <definedName name="BExKGV77YH9YXIQTRKK2331QGYKF" localSheetId="0" hidden="1">#REF!</definedName>
    <definedName name="BExKH3FTZ5VGTB86W9M4AB39R0G8" localSheetId="0" hidden="1">#REF!</definedName>
    <definedName name="BExKH3FV5U5O6XZM7STS3NZKQFGJ" localSheetId="0" hidden="1">#REF!</definedName>
    <definedName name="BExKHAMUH8NR3HRV0V6FHJE3ROLN" localSheetId="0" hidden="1">#REF!</definedName>
    <definedName name="BExKHCFKOWFHO2WW0N7Y5XDXEWAO" localSheetId="0" hidden="1">#REF!</definedName>
    <definedName name="BExKHIVLONZ46HLMR50DEXKEUNEP" localSheetId="0" hidden="1">#REF!</definedName>
    <definedName name="BExKHKDK2PRBCUJS8TEDP8K3VODQ" localSheetId="0" hidden="1">#REF!</definedName>
    <definedName name="BExKHPM9XA0ADDK7TUR0N38EXWEP" localSheetId="0" hidden="1">#REF!</definedName>
    <definedName name="BExKI4076KXCDE5KXL79KT36OKLO" localSheetId="0" hidden="1">#REF!</definedName>
    <definedName name="BExKI7LO70WYISR7Q0Y1ZDWO9M3B" localSheetId="0" hidden="1">#REF!</definedName>
    <definedName name="BExKIGQV6TXIZG039HBOJU62WP2U" localSheetId="0" hidden="1">#REF!</definedName>
    <definedName name="BExKILE008SF3KTAN8WML3XKI1NZ" localSheetId="0" hidden="1">#REF!</definedName>
    <definedName name="BExKINSBB6RS7I489QHMCOMU4Z2X" localSheetId="0" hidden="1">#REF!</definedName>
    <definedName name="BExKIU87ZKSOC2DYZWFK6SAK9I8E" localSheetId="0" hidden="1">#REF!</definedName>
    <definedName name="BExKJ449HLYX2DJ9UF0H9GTPSQ73" localSheetId="0" hidden="1">#REF!</definedName>
    <definedName name="BExKJELX2RUC8UEC56IZPYYZXHA7" localSheetId="0" hidden="1">#REF!</definedName>
    <definedName name="BExKJINMXS61G2TZEXCJAWVV4F57" localSheetId="0" hidden="1">#REF!</definedName>
    <definedName name="BExKJK5ME8KB7HA0180L7OUZDDGV" localSheetId="0" hidden="1">#REF!</definedName>
    <definedName name="BExKJN5IF0VMDILJ5K8ZENF2QYV1" localSheetId="0" hidden="1">#REF!</definedName>
    <definedName name="BExKJUSJPFUIK20FTVAFJWR2OUYX" localSheetId="0" hidden="1">#REF!</definedName>
    <definedName name="BExKK8VP5RS3D0UXZVKA37C4SYBP" localSheetId="0" hidden="1">#REF!</definedName>
    <definedName name="BExKKIM9NPF6B3SPMPIQB27HQME4" localSheetId="0" hidden="1">#REF!</definedName>
    <definedName name="BExKKIX1BCBQ4R3K41QD8NTV0OV0" localSheetId="0" hidden="1">#REF!</definedName>
    <definedName name="BExKKQ3ZWADYV03YHMXDOAMU90EB" localSheetId="0" hidden="1">#REF!</definedName>
    <definedName name="BExKKUGD2HMJWQEYZ8H3X1BMXFS9" localSheetId="0" hidden="1">#REF!</definedName>
    <definedName name="BExKKX05KCZZZPKOR1NE5A8RGVT4" localSheetId="0" hidden="1">#REF!</definedName>
    <definedName name="BExKLD6S9L66QYREYHBE5J44OK7X" localSheetId="0" hidden="1">#REF!</definedName>
    <definedName name="BExKLEZK32L28GYJWVO63BZ5E1JD" localSheetId="0" hidden="1">#REF!</definedName>
    <definedName name="BExKLLKVVHT06LA55JB2FC871DC5" localSheetId="0" hidden="1">#REF!</definedName>
    <definedName name="BExKMWBX4EH3EYJ07UFEM08NB40Z" localSheetId="0" hidden="1">#REF!</definedName>
    <definedName name="BExKNBGV2IR3S7M0BX4810KZB4V3" localSheetId="0" hidden="1">#REF!</definedName>
    <definedName name="BExKNCTBZTSY3MO42VU5PLV6YUHZ" localSheetId="0" hidden="1">#REF!</definedName>
    <definedName name="BExKNGV2YY749C42AQ2T9QNIE5C3" localSheetId="0" hidden="1">#REF!</definedName>
    <definedName name="BExKNV8UOHVWEHDJWI2WMJ9X6QHZ" localSheetId="0" hidden="1">#REF!</definedName>
    <definedName name="BExKNZLD7UATC1MYRNJD8H2NH4KU" localSheetId="0" hidden="1">#REF!</definedName>
    <definedName name="BExKNZQUKQQG2Y97R74G4O4BJP1L" localSheetId="0" hidden="1">#REF!</definedName>
    <definedName name="BExKO06X0EAD3ABEG1E8PWLDWHBA" localSheetId="0" hidden="1">#REF!</definedName>
    <definedName name="BExKO2AHHSGNI1AZOIOW21KPXKPE" localSheetId="0" hidden="1">#REF!</definedName>
    <definedName name="BExKO2FXWJWC5IZLDN8JHYILQJ2N" localSheetId="0" hidden="1">#REF!</definedName>
    <definedName name="BExKO438WZ8FKOU00NURGFMOYXWN" localSheetId="0" hidden="1">#REF!</definedName>
    <definedName name="BExKODIZGWW2EQD0FEYW6WK6XLCM" localSheetId="0" hidden="1">#REF!</definedName>
    <definedName name="BExKOPO2HPWVQGAKW8LOZMPIDEFG" localSheetId="0" hidden="1">#REF!</definedName>
    <definedName name="BExKPEZP0QTKOTLIMMIFSVTHQEEK" localSheetId="0" hidden="1">#REF!</definedName>
    <definedName name="BExKPLQJX0HJ8OTXBXH9IC9J2V0W" localSheetId="0" hidden="1">#REF!</definedName>
    <definedName name="BExKPN8C7GN36ZJZHLOB74LU6KT0" localSheetId="0" hidden="1">#REF!</definedName>
    <definedName name="BExKPX9VZ1J5021Q98K60HMPJU58" localSheetId="0" hidden="1">#REF!</definedName>
    <definedName name="BExKQC9EF1LVEEP83KLDUTR6ZZH4" localSheetId="0" hidden="1">#REF!</definedName>
    <definedName name="BExKQJGAAWNM3NT19E9I0CQDBTU0" localSheetId="0" hidden="1">#REF!</definedName>
    <definedName name="BExKQM5GJ1ZN5REKFE7YVBQ0KXWF" localSheetId="0" hidden="1">#REF!</definedName>
    <definedName name="BExKQOEA7HV9U5DH9C8JXFD62EKH" localSheetId="0" hidden="1">#REF!</definedName>
    <definedName name="BExKQQ71278061G7ZFYGPWOMOMY2" localSheetId="0" hidden="1">#REF!</definedName>
    <definedName name="BExKQTXRG3ECU8NT47UR7643LO5G" localSheetId="0" hidden="1">#REF!</definedName>
    <definedName name="BExKQVL7HPOIZ4FHANDFMVOJLEPR" localSheetId="0" hidden="1">#REF!</definedName>
    <definedName name="BExKR32XG1WY77WDT8KW9FJPGQTU" localSheetId="0" hidden="1">#REF!</definedName>
    <definedName name="BExKR8RZSEHW184G0Z56B4EGNU72" localSheetId="0" hidden="1">#REF!</definedName>
    <definedName name="BExKRVUSQ6PA7ZYQSTEQL3X7PB9P" localSheetId="0" hidden="1">#REF!</definedName>
    <definedName name="BExKRY3KZ7F7RB2KH8HXSQ85IEQO" localSheetId="0" hidden="1">#REF!</definedName>
    <definedName name="BExKSA37DZTCK6H13HPIKR0ZFVL8" localSheetId="0" hidden="1">#REF!</definedName>
    <definedName name="BExKSFMOMSZYDE0WNC94F40S6636" localSheetId="0" hidden="1">#REF!</definedName>
    <definedName name="BExKSHQ9K79S8KYUWIV5M5LAHHF1" localSheetId="0" hidden="1">#REF!</definedName>
    <definedName name="BExKSIS3VA1NCEFCZZSIK8B3YIBZ" localSheetId="0" hidden="1">#REF!</definedName>
    <definedName name="BExKSJTWG9L3FCX8FLK4EMUJMF27" localSheetId="0" hidden="1">#REF!</definedName>
    <definedName name="BExKSU0MKNAVZYYPKCYTZDWQX4R8" localSheetId="0" hidden="1">#REF!</definedName>
    <definedName name="BExKSX60G1MUS689FXIGYP2F7C62" localSheetId="0" hidden="1">#REF!</definedName>
    <definedName name="BExKT2UZ7Y2VWF5NQE18SJRLD2RN" localSheetId="0" hidden="1">#REF!</definedName>
    <definedName name="BExKT3GJFNGAM09H5F615E36A38C" localSheetId="0" hidden="1">#REF!</definedName>
    <definedName name="BExKTQZGN8GI3XGSEXMPCCA3S19H" localSheetId="0" hidden="1">#REF!</definedName>
    <definedName name="BExKTUKYYU0F6TUW1RXV24LRAZFE" localSheetId="0" hidden="1">#REF!</definedName>
    <definedName name="BExKU3FBLHQBIUTN6XEZW5GC9OG1" localSheetId="0" hidden="1">#REF!</definedName>
    <definedName name="BExKU82I99FEUIZLODXJDOJC96CQ" localSheetId="0" hidden="1">#REF!</definedName>
    <definedName name="BExKUDM0DFSCM3D91SH0XLXJSL18" localSheetId="0" hidden="1">#REF!</definedName>
    <definedName name="BExKULEKJLA77AUQPDUHSM94Y76Z" localSheetId="0" hidden="1">#REF!</definedName>
    <definedName name="BExKV08R85MKI3MAX9E2HERNQUNL" localSheetId="0" hidden="1">#REF!</definedName>
    <definedName name="BExKV4AAUNNJL5JWD7PX6BFKVS6O" localSheetId="0" hidden="1">#REF!</definedName>
    <definedName name="BExKVDVK6HN74GQPTXICP9BFC8CF" localSheetId="0" hidden="1">#REF!</definedName>
    <definedName name="BExKVFZ3ZZGIC1QI8XN6BYFWN0ZY" localSheetId="0" hidden="1">#REF!</definedName>
    <definedName name="BExKVG4KGO28KPGTAFL1R8TTZ10N" localSheetId="0" hidden="1">#REF!</definedName>
    <definedName name="BExKW0CSH7DA02YSNV64PSEIXB2P" localSheetId="0" hidden="1">#REF!</definedName>
    <definedName name="BExM9NUG3Q31X01AI9ZJCZIX25CS" localSheetId="0" hidden="1">#REF!</definedName>
    <definedName name="BExM9OG182RP30MY23PG49LVPZ1C" localSheetId="0" hidden="1">#REF!</definedName>
    <definedName name="BExMA64MW1S18NH8DCKPCCEI5KCB" localSheetId="0" hidden="1">#REF!</definedName>
    <definedName name="BExMALEWFUEM8Y686IT03ECURUBR" localSheetId="0" hidden="1">#REF!</definedName>
    <definedName name="BExMAR3XSK6RSFLHP7ZX1EWGHASI" localSheetId="0" hidden="1">#REF!</definedName>
    <definedName name="BExMAXJS82ZJ8RS22VLE0V0LDUII" localSheetId="0" hidden="1">#REF!</definedName>
    <definedName name="BExMB4QRS0R3MTB4CMUHFZ84LNZQ" localSheetId="0" hidden="1">#REF!</definedName>
    <definedName name="BExMBC35WKQY5CWQJLV4D05O6971" localSheetId="0" hidden="1">#REF!</definedName>
    <definedName name="BExMBFTZV4Q1A5KG25C1N9PHQNSW" localSheetId="0" hidden="1">#REF!</definedName>
    <definedName name="BExMBK6ISK3U7KHZKUJXIDKGF6VW" localSheetId="0" hidden="1">#REF!</definedName>
    <definedName name="BExMBYPQDG9AYDQ5E8IECVFREPO6" localSheetId="0" hidden="1">#REF!</definedName>
    <definedName name="BExMC8AZUTX8LG89K2JJR7ZG62XX" localSheetId="0" hidden="1">#REF!</definedName>
    <definedName name="BExMCA96YR10V72G2R0SCIKPZLIZ" localSheetId="0" hidden="1">#REF!</definedName>
    <definedName name="BExMCB5JU5I2VQDUBS4O42BTEVKI" localSheetId="0" hidden="1">#REF!</definedName>
    <definedName name="BExMCFSQFSEMPY5IXDIRKZDASDBR" localSheetId="0" hidden="1">#REF!</definedName>
    <definedName name="BExMCMZOEYWVOOJ98TBHTTCS7XB8" localSheetId="0" hidden="1">#REF!</definedName>
    <definedName name="BExMCS8EF2W3FS9QADNKREYSI8P0" localSheetId="0" hidden="1">#REF!</definedName>
    <definedName name="BExMCUS7GSOM96J0HJ7EH0FFM2AC" localSheetId="0" hidden="1">#REF!</definedName>
    <definedName name="BExMCYTT6TVDWMJXO1NZANRTVNAN" localSheetId="0" hidden="1">#REF!</definedName>
    <definedName name="BExMD5F6IAV108XYJLXUO9HD0IT6" localSheetId="0" hidden="1">#REF!</definedName>
    <definedName name="BExMDANV66W9T3XAXID40XFJ0J93" localSheetId="0" hidden="1">#REF!</definedName>
    <definedName name="BExMDGD1KQP7NNR78X2ZX4FCBQ1S" localSheetId="0" hidden="1">#REF!</definedName>
    <definedName name="BExMDIRDK0DI8P86HB7WPH8QWLSQ" localSheetId="0" hidden="1">#REF!</definedName>
    <definedName name="BExMDPI2FVMORSWDDCVAJ85WYAYO" localSheetId="0" hidden="1">#REF!</definedName>
    <definedName name="BExMDUWB7VWHFFR266QXO46BNV2S" localSheetId="0" hidden="1">#REF!</definedName>
    <definedName name="BExME2U47N8LZG0BPJ49ANY5QVV2" localSheetId="0" hidden="1">#REF!</definedName>
    <definedName name="BExME88DH5DUKMUFI9FNVECXFD2E" localSheetId="0" hidden="1">#REF!</definedName>
    <definedName name="BExME9A7MOGAK7YTTQYXP5DL6VYA" localSheetId="0" hidden="1">#REF!</definedName>
    <definedName name="BExMEOV9YFRY5C3GDLU60GIX10BY" localSheetId="0" hidden="1">#REF!</definedName>
    <definedName name="BExMEY09ESM4H2YGKEQQRYUD114R" localSheetId="0" hidden="1">#REF!</definedName>
    <definedName name="BExMF4G4IUPQY1Y5GEY5N3E04CL6" localSheetId="0" hidden="1">#REF!</definedName>
    <definedName name="BExMF9UIGYMOAQK0ELUWP0S0HZZY" localSheetId="0" hidden="1">#REF!</definedName>
    <definedName name="BExMFDLBSWFMRDYJ2DZETI3EXKN2" localSheetId="0" hidden="1">#REF!</definedName>
    <definedName name="BExMFLDTMRTCHKA37LQW67BG8D5C" localSheetId="0" hidden="1">#REF!</definedName>
    <definedName name="BExMG9NSK30KD01QX0UBN2VNRTG4" localSheetId="0" hidden="1">#REF!</definedName>
    <definedName name="BExMGG3PFIHPHX7NXB7HDFI3N12L" localSheetId="0" hidden="1">#REF!</definedName>
    <definedName name="BExMH3H9TW5TJCNU5Z1EWXP3BAEP" localSheetId="0" hidden="1">#REF!</definedName>
    <definedName name="BExMHOWPB34KPZ76M2KIX2C9R2VB" localSheetId="0" hidden="1">#REF!</definedName>
    <definedName name="BExMHSSYC6KVHA3QDTSYPN92TWMI" localSheetId="0" hidden="1">#REF!</definedName>
    <definedName name="BExMI0WA793SF41LQ40A28U8OXQY" localSheetId="0" hidden="1">#REF!</definedName>
    <definedName name="BExMI3AJ9477KDL4T9DHET4LJJTW" localSheetId="0" hidden="1">#REF!</definedName>
    <definedName name="BExMI6L9KX05GAK523JFKICJMTA5" localSheetId="0" hidden="1">#REF!</definedName>
    <definedName name="BExMI6QQ20XHD0NWJUN741B37182" localSheetId="0" hidden="1">#REF!</definedName>
    <definedName name="BExMI8JB94SBD9EMNJEK7Y2T6GYU" localSheetId="0" hidden="1">#REF!</definedName>
    <definedName name="BExMI8OS85YTW3KYVE4YD0R7Z6UV" localSheetId="0" hidden="1">#REF!</definedName>
    <definedName name="BExMIBOOZU40JS3F89OMPSRCE9MM" localSheetId="0" hidden="1">#REF!</definedName>
    <definedName name="BExMIIQ5MBWSIHTFWAQADXMZC22Q" localSheetId="0" hidden="1">#REF!</definedName>
    <definedName name="BExMIL4I2GE866I25CR5JBLJWJ6A" localSheetId="0" hidden="1">#REF!</definedName>
    <definedName name="BExMIRKIPF27SNO82SPFSB3T5U17" localSheetId="0" hidden="1">#REF!</definedName>
    <definedName name="BExMIV0KC8555D5E42ZGWG15Y0MO" localSheetId="0" hidden="1">#REF!</definedName>
    <definedName name="BExMIZT6AN7E6YMW2S87CTCN2UXH" localSheetId="0" hidden="1">#REF!</definedName>
    <definedName name="BExMJ15T9F3475M0896SG60TN0SR" localSheetId="0" hidden="1">#REF!</definedName>
    <definedName name="BExMJNC8ZFB9DRFOJ961ZAJ8U3A8" localSheetId="0" hidden="1">#REF!</definedName>
    <definedName name="BExMJTBV8A3D31W2IQHP9RDFPPHQ" localSheetId="0" hidden="1">#REF!</definedName>
    <definedName name="BExMK2RTXN4QJWEUNX002XK8VQP8" localSheetId="0" hidden="1">#REF!</definedName>
    <definedName name="BExMKBGQDUZ8AWXYHA3QVMSDVZ3D" localSheetId="0" hidden="1">#REF!</definedName>
    <definedName name="BExMKBM1467553LDFZRRKVSHN374" localSheetId="0" hidden="1">#REF!</definedName>
    <definedName name="BExMKGK5FJUC0AU8MABRGDC5ZM70" localSheetId="0" hidden="1">#REF!</definedName>
    <definedName name="BExMKTW7R5SOV4PHAFGHU3W73DYE" localSheetId="0" hidden="1">#REF!</definedName>
    <definedName name="BExMKU7051J2W1RQXGZGE62NBRUZ" localSheetId="0" hidden="1">#REF!</definedName>
    <definedName name="BExMKUN3WPECJR2XRID2R7GZRGNX" localSheetId="0" hidden="1">#REF!</definedName>
    <definedName name="BExMKZ535P011X4TNV16GCOH4H21" localSheetId="0" hidden="1">#REF!</definedName>
    <definedName name="BExML3XQNDIMX55ZCHHXKUV3D6E6" localSheetId="0" hidden="1">#REF!</definedName>
    <definedName name="BExML5QGSWHLI18BGY4CGOTD3UWH" localSheetId="0" hidden="1">#REF!</definedName>
    <definedName name="BExMLO5Z61RE85X8HHX2G4IU3AZW" localSheetId="0" hidden="1">#REF!</definedName>
    <definedName name="BExMLVI7UORSHM9FMO8S2EI0TMTS" localSheetId="0" hidden="1">#REF!</definedName>
    <definedName name="BExMM5UCOT2HSSN0ZIPZW55GSOVO" localSheetId="0" hidden="1">#REF!</definedName>
    <definedName name="BExMM8ZRS5RQ8H1H55RVPVTDL5NL" localSheetId="0" hidden="1">#REF!</definedName>
    <definedName name="BExMMH8EAZB09XXQ5X4LR0P4NHG9" localSheetId="0" hidden="1">#REF!</definedName>
    <definedName name="BExMMIQH5BABNZVCIQ7TBCQ10AY5" localSheetId="0" hidden="1">#REF!</definedName>
    <definedName name="BExMMNIZ2T7M22WECMUQXEF4NJ71" localSheetId="0" hidden="1">#REF!</definedName>
    <definedName name="BExMMPMIOU7BURTV0L1K6ACW9X73" localSheetId="0" hidden="1">#REF!</definedName>
    <definedName name="BExMMQ835AJDHS4B419SS645P67Q" localSheetId="0" hidden="1">#REF!</definedName>
    <definedName name="BExMMQIUVPCOBISTEJJYNCCLUCPY" localSheetId="0" hidden="1">#REF!</definedName>
    <definedName name="BExMMTIXETA5VAKBSOFDD5SRU887" localSheetId="0" hidden="1">#REF!</definedName>
    <definedName name="BExMMV0P6P5YS3C35G0JYYHI7992" localSheetId="0" hidden="1">#REF!</definedName>
    <definedName name="BExMNDR4V2VG5RFZDGTAGD3Q9PPG" localSheetId="0" hidden="1">#REF!</definedName>
    <definedName name="BExMNJLFWZBRN9PZF1IO9CYWV1B2" localSheetId="0" hidden="1">#REF!</definedName>
    <definedName name="BExMNKCJ0FA57YEUUAJE43U1QN5P" localSheetId="0" hidden="1">#REF!</definedName>
    <definedName name="BExMNKN5D1WEF2OOJVP6LZ6DLU3Y" localSheetId="0" hidden="1">#REF!</definedName>
    <definedName name="BExMNR38HMPLWAJRQ9MMS3ZAZ9IU" localSheetId="0" hidden="1">#REF!</definedName>
    <definedName name="BExMNRDZULKJMVY2VKIIRM2M5A1M" localSheetId="0" hidden="1">#REF!</definedName>
    <definedName name="BExMO9IOWKTWHO8LQJJQI5P3INWY" localSheetId="0" hidden="1">#REF!</definedName>
    <definedName name="BExMOI29DOEK5R1A5QZPUDKF7N6T" localSheetId="0" hidden="1">#REF!</definedName>
    <definedName name="BExMPAJ5AJAXGKGK3F6H3ODS6RF4" localSheetId="0" hidden="1">#REF!</definedName>
    <definedName name="BExMPD2X55FFBVJ6CBUKNPROIOEU" localSheetId="0" hidden="1">#REF!</definedName>
    <definedName name="BExMPGZ848E38FUH1JBQN97DGWAT" localSheetId="0" hidden="1">#REF!</definedName>
    <definedName name="BExMPMTICOSMQENOFKQ18K0ZT4S8" localSheetId="0" hidden="1">#REF!</definedName>
    <definedName name="BExMPMZ07II0R4KGWQQ7PGS3RZS4" localSheetId="0" hidden="1">#REF!</definedName>
    <definedName name="BExMPOBH04JMDO6Z8DMSEJZM4ANN" localSheetId="0" hidden="1">#REF!</definedName>
    <definedName name="BExMPSD77XQ3HA6A4FZOJK8G2JP3" localSheetId="0" hidden="1">#REF!</definedName>
    <definedName name="BExMQ4I3Q7F0BMPHSFMFW9TZ87UD" localSheetId="0" hidden="1">#REF!</definedName>
    <definedName name="BExMQ4SWDWI4N16AZ0T5CJ6HH8WC" localSheetId="0" hidden="1">#REF!</definedName>
    <definedName name="BExMQ71WHW50GVX45JU951AGPLFQ" localSheetId="0" hidden="1">#REF!</definedName>
    <definedName name="BExMQGXSLPT4A6N47LE6FBVHWBOF" localSheetId="0" hidden="1">#REF!</definedName>
    <definedName name="BExMQSBR7PL4KLB1Q4961QO45Y4G" localSheetId="0" hidden="1">#REF!</definedName>
    <definedName name="BExMR1MA4I1X77714ZEPUVC8W398" localSheetId="0" hidden="1">#REF!</definedName>
    <definedName name="BExMR8YQHA7N77HGHY4Y6R30I3XT" localSheetId="0" hidden="1">#REF!</definedName>
    <definedName name="BExMRENOIARWRYOIVPDIEBVNRDO7" localSheetId="0" hidden="1">#REF!</definedName>
    <definedName name="BExMRQHUEHGF2FS4LCB0THFELGDI" localSheetId="0" hidden="1">#REF!</definedName>
    <definedName name="BExMRRJNUMGRSDD5GGKKGEIZ6FTS" localSheetId="0" hidden="1">#REF!</definedName>
    <definedName name="BExMRU3ACIU0RD2BNWO55LH5U2BR" localSheetId="0" hidden="1">#REF!</definedName>
    <definedName name="BExMSQRCC40AP8BDUPL2I2DNC210" localSheetId="0" hidden="1">#REF!</definedName>
    <definedName name="BExO4J9LR712G00TVA82VNTG8O7H" localSheetId="0" hidden="1">#REF!</definedName>
    <definedName name="BExO55G2KVZ7MIJ30N827CLH0I2A" localSheetId="0" hidden="1">#REF!</definedName>
    <definedName name="BExO5A8PZD9EUHC5CMPU6N3SQ15L" localSheetId="0" hidden="1">#REF!</definedName>
    <definedName name="BExO5XMAHL7CY3X0B1OPKZ28DCJ5" localSheetId="0" hidden="1">#REF!</definedName>
    <definedName name="BExO66LZJKY4PTQVREELI6POS4AY" localSheetId="0" hidden="1">#REF!</definedName>
    <definedName name="BExO6LLHCYTF7CIVHKAO0NMET14Q" localSheetId="0" hidden="1">#REF!</definedName>
    <definedName name="BExO7OUQS3XTUQ2LDKGQ8AAQ3OJJ" localSheetId="0" hidden="1">#REF!</definedName>
    <definedName name="BExO7RUSODZC2NQZMT2AFSMV2ONF" localSheetId="0" hidden="1">#REF!</definedName>
    <definedName name="BExO85HMYXZJ7SONWBKKIAXMCI3C" localSheetId="0" hidden="1">#REF!</definedName>
    <definedName name="BExO863922O4PBGQMUNEQKGN3K96" localSheetId="0" hidden="1">#REF!</definedName>
    <definedName name="BExO89ZIOXN0HOKHY24F7HDZ87UT" localSheetId="0" hidden="1">#REF!</definedName>
    <definedName name="BExO8CDTBCABLEUD6PE2UM2EZ6C4" localSheetId="0" hidden="1">#REF!</definedName>
    <definedName name="BExO8IZ05ZG0XVOL3W41KBQE176A" localSheetId="0" hidden="1">#REF!</definedName>
    <definedName name="BExO8UTAGQWDBQZEEF4HUNMLQCVU" localSheetId="0" hidden="1">#REF!</definedName>
    <definedName name="BExO937E20IHMGQOZMECL3VZC7OX" localSheetId="0" hidden="1">#REF!</definedName>
    <definedName name="BExO94UTJKQQ7TJTTJRTSR70YVJC" localSheetId="0" hidden="1">#REF!</definedName>
    <definedName name="BExO9J3A438976RXIUX5U9SU5T55" localSheetId="0" hidden="1">#REF!</definedName>
    <definedName name="BExO9RS5RXFJ1911HL3CCK6M74EP" localSheetId="0" hidden="1">#REF!</definedName>
    <definedName name="BExO9SDRI1M6KMHXSG3AE5L0F2U3" localSheetId="0" hidden="1">#REF!</definedName>
    <definedName name="BExO9V2U2YXAY904GYYGU6TD8Y7M" localSheetId="0" hidden="1">#REF!</definedName>
    <definedName name="BExOAQ3GKCT7YZW1EMVU3EILSZL2" localSheetId="0" hidden="1">#REF!</definedName>
    <definedName name="BExOB9KT2THGV4SPLDVFTFXS4B14" localSheetId="0" hidden="1">#REF!</definedName>
    <definedName name="BExOBEZ0IE2WBEYY3D3CMRI72N1K" localSheetId="0" hidden="1">#REF!</definedName>
    <definedName name="BExOBIPU8760ITY0C8N27XZ3KWEF" localSheetId="0" hidden="1">#REF!</definedName>
    <definedName name="BExOBM0I5L0MZ1G4H9MGMD87SBMZ" localSheetId="0" hidden="1">#REF!</definedName>
    <definedName name="BExOBOUXMP88KJY2BX2JLUJH5N0K" localSheetId="0" hidden="1">#REF!</definedName>
    <definedName name="BExOBP0FKQ4SVR59FB48UNLKCOR6" localSheetId="0" hidden="1">#REF!</definedName>
    <definedName name="BExOBYAVUCQ0IGM0Y6A75QHP0Q1A" localSheetId="0" hidden="1">#REF!</definedName>
    <definedName name="BExOC3UEHB1CZNINSQHZANWJYKR8" localSheetId="0" hidden="1">#REF!</definedName>
    <definedName name="BExOCBSF3XGO9YJ23LX2H78VOUR7" localSheetId="0" hidden="1">#REF!</definedName>
    <definedName name="BExOCKXFMOW6WPFEVX1I7R7FNDSS" localSheetId="0" hidden="1">#REF!</definedName>
    <definedName name="BExOCYEXOB95DH5NOB0M5NOYX398" localSheetId="0" hidden="1">#REF!</definedName>
    <definedName name="BExOD4ERMDMFD8X1016N4EXOUR0S" localSheetId="0" hidden="1">#REF!</definedName>
    <definedName name="BExOD55RS7BQUHRQ6H3USVGKR0P7" localSheetId="0" hidden="1">#REF!</definedName>
    <definedName name="BExODEWDDEABM4ZY3XREJIBZ8IVP" localSheetId="0" hidden="1">#REF!</definedName>
    <definedName name="BExODNLAA1L7WQ9ZQX6A1ZOXK9VR" localSheetId="0" hidden="1">#REF!</definedName>
    <definedName name="BExODZFEIWV26E8RFU7XQYX1J458" localSheetId="0" hidden="1">#REF!</definedName>
    <definedName name="BExOEBKG55EROA2VL360A06LKASE" localSheetId="0" hidden="1">#REF!</definedName>
    <definedName name="BExOERG5LWXYYEN1DY1H2FWRJS9T" localSheetId="0" hidden="1">#REF!</definedName>
    <definedName name="BExOEV1S6JJVO5PP4BZ20SNGZR7D" localSheetId="0" hidden="1">#REF!</definedName>
    <definedName name="BExOFEDNCYI2TPTMQ8SJN3AW4YMF" localSheetId="0" hidden="1">#REF!</definedName>
    <definedName name="BExOFVLXVD6RVHSQO8KZOOACSV24" localSheetId="0" hidden="1">#REF!</definedName>
    <definedName name="BExOG2SW3XOGP9VAPQ3THV3VWV12" localSheetId="0" hidden="1">#REF!</definedName>
    <definedName name="BExOG45J81K4OPA40KW5VQU54KY3" localSheetId="0" hidden="1">#REF!</definedName>
    <definedName name="BExOGFE2SCL8HHT4DFAXKLUTJZOG" localSheetId="0" hidden="1">#REF!</definedName>
    <definedName name="BExOGT6D0LJ3C22RDW8COECKB1J5" localSheetId="0" hidden="1">#REF!</definedName>
    <definedName name="BExOGTMI1HT31M1RGWVRAVHAK7DE" localSheetId="0" hidden="1">#REF!</definedName>
    <definedName name="BExOGXO9JE5XSE9GC3I6O21UEKAO" localSheetId="0" hidden="1">#REF!</definedName>
    <definedName name="BExOH9ICZ13C1LAW8OTYTR9S7ZP3" localSheetId="0" hidden="1">#REF!</definedName>
    <definedName name="BExOHL75H3OT4WAKKPUXIVXWFVDS" localSheetId="0" hidden="1">#REF!</definedName>
    <definedName name="BExOHLHXXJL6363CC082M9M5VVXQ" localSheetId="0" hidden="1">#REF!</definedName>
    <definedName name="BExOHNAO5UDXSO73BK2ARHWKS90Y" localSheetId="0" hidden="1">#REF!</definedName>
    <definedName name="BExOHR1G1I9A9CI1HG94EWBLWNM2" localSheetId="0" hidden="1">#REF!</definedName>
    <definedName name="BExOHTQPP8LQ98L6PYUI6QW08YID" localSheetId="0" hidden="1">#REF!</definedName>
    <definedName name="BExOHX6Q6NJI793PGX59O5EKTP4G" localSheetId="0" hidden="1">#REF!</definedName>
    <definedName name="BExOI5VMTHH7Y8MQQ1N635CHYI0P" localSheetId="0" hidden="1">#REF!</definedName>
    <definedName name="BExOIEVCP4Y6VDS23AK84MCYYHRT" localSheetId="0" hidden="1">#REF!</definedName>
    <definedName name="BExOIHPQIXR0NDR5WD01BZKPKEO3" localSheetId="0" hidden="1">#REF!</definedName>
    <definedName name="BExOIM7L0Z3LSII9P7ZTV4KJ8RMA" localSheetId="0" hidden="1">#REF!</definedName>
    <definedName name="BExOIWJVMJ6MG6JC4SPD1L00OHU1" localSheetId="0" hidden="1">#REF!</definedName>
    <definedName name="BExOIYCN8Z4JK3OOG86KYUCV0ME8" localSheetId="0" hidden="1">#REF!</definedName>
    <definedName name="BExOJ3AKZ9BCBZT3KD8WMSLK6MN2" localSheetId="0" hidden="1">#REF!</definedName>
    <definedName name="BExOJ7XQK71I4YZDD29AKOOWZ47E" localSheetId="0" hidden="1">#REF!</definedName>
    <definedName name="BExOJM0W6XGSW5MXPTTX0GNF6SFT" localSheetId="0" hidden="1">#REF!</definedName>
    <definedName name="BExOJXEUJJ9SYRJXKYYV2NCCDT2R" localSheetId="0" hidden="1">#REF!</definedName>
    <definedName name="BExOK0EQYM9JUMAGWOUN7QDH7VMZ" localSheetId="0" hidden="1">#REF!</definedName>
    <definedName name="BExOK4WM9O7QNG6O57FOASI5QSN1" localSheetId="0" hidden="1">#REF!</definedName>
    <definedName name="BExOKKHOPWUVRJGQJ5ONR2U40JX8" localSheetId="0" hidden="1">#REF!</definedName>
    <definedName name="BExOKTXMJP351VXKH8VT6SXUNIMF" localSheetId="0" hidden="1">#REF!</definedName>
    <definedName name="BExOKU8GMLOCNVORDE329819XN67" localSheetId="0" hidden="1">#REF!</definedName>
    <definedName name="BExOL0Z3Z7IAMHPB91EO2MF49U57" localSheetId="0" hidden="1">#REF!</definedName>
    <definedName name="BExOL7KH12VAR0LG741SIOJTLWFD" localSheetId="0" hidden="1">#REF!</definedName>
    <definedName name="BExOLICXFHJLILCJVFMJE5MGGWKR" localSheetId="0" hidden="1">#REF!</definedName>
    <definedName name="BExOLOI0WJS3QC12I3ISL0D9AWOF" localSheetId="0" hidden="1">#REF!</definedName>
    <definedName name="BExOLYZNG5RBD0BTS1OEZJNU92Q5" localSheetId="0" hidden="1">#REF!</definedName>
    <definedName name="BExOM3HIJ3UZPOKJI68KPBJAHPDC" localSheetId="0" hidden="1">#REF!</definedName>
    <definedName name="BExOMKPURE33YQ3K1JG9NVQD4W49" localSheetId="0" hidden="1">#REF!</definedName>
    <definedName name="BExOMP7NGCLUNFK50QD2LPKRG078" localSheetId="0" hidden="1">#REF!</definedName>
    <definedName name="BExOMU0A6XMY48SZRYL4WQZD13BI" localSheetId="0" hidden="1">#REF!</definedName>
    <definedName name="BExOMVT0HSNC59DJP4CLISASGHKL" localSheetId="0" hidden="1">#REF!</definedName>
    <definedName name="BExON0AX35F2SI0UCVMGWGVIUNI3" localSheetId="0" hidden="1">#REF!</definedName>
    <definedName name="BExON41U4296DV3DPG6I5EF3OEYF" localSheetId="0" hidden="1">#REF!</definedName>
    <definedName name="BExONB3A7CO4YD8RB41PHC93BQ9M" localSheetId="0" hidden="1">#REF!</definedName>
    <definedName name="BExONFQH6UUXF8V0GI4BRIST9RFO" localSheetId="0" hidden="1">#REF!</definedName>
    <definedName name="BExONIL31DZWU7IFVN3VV0XTXJA1" localSheetId="0" hidden="1">#REF!</definedName>
    <definedName name="BExONJ1BU17R0F5A2UP1UGJBOGKS" localSheetId="0" hidden="1">#REF!</definedName>
    <definedName name="BExONNZ9VMHVX3J6NLNJY7KZA61O" localSheetId="0" hidden="1">#REF!</definedName>
    <definedName name="BExONRQ1BAA4F3TXP2MYQ4YCZ09S" localSheetId="0" hidden="1">#REF!</definedName>
    <definedName name="BExOO1WWIZSGB0YTGKESB45TSVMZ" localSheetId="0" hidden="1">#REF!</definedName>
    <definedName name="BExOO40FFUETZYWSLV41VAZ1G9A9" localSheetId="0" hidden="1">#REF!</definedName>
    <definedName name="BExOO4B8FPAFYPHCTYTX37P1TQM5" localSheetId="0" hidden="1">#REF!</definedName>
    <definedName name="BExOOIULUDOJRMYABWV5CCL906X6" localSheetId="0" hidden="1">#REF!</definedName>
    <definedName name="BExOOTN0KTXJCL7E476XBN1CJ553" localSheetId="0" hidden="1">#REF!</definedName>
    <definedName name="BExOP9DEBV5W5P4Q25J3XCJBP5S9" localSheetId="0" hidden="1">#REF!</definedName>
    <definedName name="BExOPFNYRBL0BFM23LZBJTADNOE4" localSheetId="0" hidden="1">#REF!</definedName>
    <definedName name="BExOPINVFSIZMCVT9YGT2AODVCX3" localSheetId="0" hidden="1">#REF!</definedName>
    <definedName name="BExOQ1JN4SAC44RTMZIGHSW023WA" localSheetId="0" hidden="1">#REF!</definedName>
    <definedName name="BExOQ256YMF115DJL3KBPNKABJ90" localSheetId="0" hidden="1">#REF!</definedName>
    <definedName name="BExQ19DEUOLC11IW32E2AMVZLFF1" localSheetId="0" hidden="1">#REF!</definedName>
    <definedName name="BExQ1FD6KISGYU1JWEQ4G243ZPVD" localSheetId="0" hidden="1">#REF!</definedName>
    <definedName name="BExQ29C73XR33S3668YYSYZAIHTG" localSheetId="0" hidden="1">#REF!</definedName>
    <definedName name="BExQ2FS228IUDUP2023RA1D4AO4C" localSheetId="0" hidden="1">#REF!</definedName>
    <definedName name="BExQ2L0XYWLY9VPZWXYYFRIRQRJ1" localSheetId="0" hidden="1">#REF!</definedName>
    <definedName name="BExQ2M841F5Z1BQYR8DG5FKK0LIU" localSheetId="0" hidden="1">#REF!</definedName>
    <definedName name="BExQ300G8I8TK45A0MVHV15422EU" localSheetId="0" hidden="1">#REF!</definedName>
    <definedName name="BExQ39R28MXSG2SEV956F0KZ20AN" localSheetId="0" hidden="1">#REF!</definedName>
    <definedName name="BExQ3D1P3M5Z3HLMEZ17E0BLEE4U" localSheetId="0" hidden="1">#REF!</definedName>
    <definedName name="BExQ3O4W7QF8BOXTUT4IOGF6YKUD" localSheetId="0" hidden="1">#REF!</definedName>
    <definedName name="BExQ3PXOWSN8561ZR8IEY8ZASI3B" localSheetId="0" hidden="1">#REF!</definedName>
    <definedName name="BExQ3TZF04IPY0B0UG9CQQ5736UA" localSheetId="0" hidden="1">#REF!</definedName>
    <definedName name="BExQ42IU9MNDYLODP41DL6YTZMAR" localSheetId="0" hidden="1">#REF!</definedName>
    <definedName name="BExQ452HF7N1HYPXJXQ8WD6SOWUV" localSheetId="0" hidden="1">#REF!</definedName>
    <definedName name="BExQ499KBJ5W7A1G293A0K14EVQB" localSheetId="0" hidden="1">#REF!</definedName>
    <definedName name="BExQ4BTBSHPHVEDRCXC2ROW8PLFC" localSheetId="0" hidden="1">#REF!</definedName>
    <definedName name="BExQ4DGKF54SRKQUTUT4B1CZSS62" localSheetId="0" hidden="1">#REF!</definedName>
    <definedName name="BExQ4T74LQ5PYTV1MUQUW75A4BDY" localSheetId="0" hidden="1">#REF!</definedName>
    <definedName name="BExQ4XJHD7EJCNH7S1MJDZJ2MNWG" localSheetId="0" hidden="1">#REF!</definedName>
    <definedName name="BExQ5039ZCEWBUJHU682G4S89J03" localSheetId="0" hidden="1">#REF!</definedName>
    <definedName name="BExQ56Z9W6YHZHRXOFFI8EFA7CDI" localSheetId="0" hidden="1">#REF!</definedName>
    <definedName name="BExQ5KX3Z668H1KUCKZ9J24HUQ1F" localSheetId="0" hidden="1">#REF!</definedName>
    <definedName name="BExQ5SPMSOCJYLAY20NB5A6O32RE" localSheetId="0" hidden="1">#REF!</definedName>
    <definedName name="BExQ5UICMGTMK790KTLK49MAGXRC" localSheetId="0" hidden="1">#REF!</definedName>
    <definedName name="BExQ5VEQEIJO7YY80OJTA3XRQYJ9" localSheetId="0" hidden="1">#REF!</definedName>
    <definedName name="BExQ5YUUK9FD0QGTY4WD0W90O7OL" localSheetId="0" hidden="1">#REF!</definedName>
    <definedName name="BExQ63793YQ9BH7JLCNRIATIGTRG" localSheetId="0" hidden="1">#REF!</definedName>
    <definedName name="BExQ6CN1EF2UPZ57ZYMGK8TUJQSS" localSheetId="0" hidden="1">#REF!</definedName>
    <definedName name="BExQ6M2YXJ8AMRJF3QGHC40ADAHZ" localSheetId="0" hidden="1">#REF!</definedName>
    <definedName name="BExQ6M8B0X44N9TV56ATUVHGDI00" localSheetId="0" hidden="1">#REF!</definedName>
    <definedName name="BExQ6POH065GV0I74XXVD0VUPBJW" localSheetId="0" hidden="1">#REF!</definedName>
    <definedName name="BExQ6WV9KPSMXPPLGZ3KK4WNYTHU" localSheetId="0" hidden="1">#REF!</definedName>
    <definedName name="BExQ783XTMM2A9I3UKCFWJH1PP2N" localSheetId="0" hidden="1">#REF!</definedName>
    <definedName name="BExQ79LX01ZPQB8EGD1ZHR2VK2H3" localSheetId="0" hidden="1">#REF!</definedName>
    <definedName name="BExQ7B3V9MGDK2OIJ61XXFBFLJFZ" localSheetId="0" hidden="1">#REF!</definedName>
    <definedName name="BExQ7CB046NVPF9ZXDGA7OXOLSLX" localSheetId="0" hidden="1">#REF!</definedName>
    <definedName name="BExQ7IWDCGGOO1HTJ97YGO1CK3R9" localSheetId="0" hidden="1">#REF!</definedName>
    <definedName name="BExQ7JNFIEGS2HKNBALH3Q2N5G7Z" localSheetId="0" hidden="1">#REF!</definedName>
    <definedName name="BExQ7MY3U2Z1IZ71U5LJUD00VVB4" localSheetId="0" hidden="1">#REF!</definedName>
    <definedName name="BExQ7XL2Q1GVUFL1F9KK0K0EXMWG" localSheetId="0" hidden="1">#REF!</definedName>
    <definedName name="BExQ8469L3ZRZ3KYZPYMSJIDL7Y5" localSheetId="0" hidden="1">#REF!</definedName>
    <definedName name="BExQ84MJB94HL3BWRN50M4NCB6Z0" localSheetId="0" hidden="1">#REF!</definedName>
    <definedName name="BExQ8583ZE00NW7T9OF11OT9IA14" localSheetId="0" hidden="1">#REF!</definedName>
    <definedName name="BExQ899VFSKCAROFBQACUDVOJAIY" localSheetId="0" hidden="1">#REF!</definedName>
    <definedName name="BExQ8A0RPE3IMIFIZLUE7KD2N21W" localSheetId="0" hidden="1">#REF!</definedName>
    <definedName name="BExQ8ABK6H1ADV2R2OYT8NFFYG2N" localSheetId="0" hidden="1">#REF!</definedName>
    <definedName name="BExQ8DM90XJ6GCJIK9LC5O82I2TJ" localSheetId="0" hidden="1">#REF!</definedName>
    <definedName name="BExQ8G0K46ZORA0QVQTDI7Z8LXGF" localSheetId="0" hidden="1">#REF!</definedName>
    <definedName name="BExQ8O3WEU8HNTTGKTW5T0QSKCLP" localSheetId="0" hidden="1">#REF!</definedName>
    <definedName name="BExQ8ZCEDBOBJA3D9LDP5TU2WYGR" localSheetId="0" hidden="1">#REF!</definedName>
    <definedName name="BExQ94LAW6MAQBWY25WTBFV5PPZJ" localSheetId="0" hidden="1">#REF!</definedName>
    <definedName name="BExQ97QIPOSSRK978N8P234Y1XA4" localSheetId="0" hidden="1">#REF!</definedName>
    <definedName name="BExQ9E6FBAXTHGF3RXANFIA77GXP" localSheetId="0" hidden="1">#REF!</definedName>
    <definedName name="BExQ9F2YH4UUCCMQITJ475B3S3NP" localSheetId="0" hidden="1">#REF!</definedName>
    <definedName name="BExQ9KX9734KIAK7IMRLHCPYDHO2" localSheetId="0" hidden="1">#REF!</definedName>
    <definedName name="BExQ9L81FF4I7816VTPFBDWVU4CW" localSheetId="0" hidden="1">#REF!</definedName>
    <definedName name="BExQ9M4E2ACZOWWWP1JJIQO8AHUM" localSheetId="0" hidden="1">#REF!</definedName>
    <definedName name="BExQ9UTANMJCK7LJ4OQMD6F2Q01L" localSheetId="0" hidden="1">#REF!</definedName>
    <definedName name="BExQ9ZLYHWABXAA9NJDW8ZS0UQ9P" localSheetId="0" hidden="1">#REF!</definedName>
    <definedName name="BExQA324HSCK40ENJUT9CS9EC71B" localSheetId="0" hidden="1">#REF!</definedName>
    <definedName name="BExQA55GY0STSNBWQCWN8E31ZXCS" localSheetId="0" hidden="1">#REF!</definedName>
    <definedName name="BExQA9HZIN9XEMHEEVHT99UU9Z82" localSheetId="0" hidden="1">#REF!</definedName>
    <definedName name="BExQAELFYH92K8CJL155181UDORO" localSheetId="0" hidden="1">#REF!</definedName>
    <definedName name="BExQAG8PP8R5NJKNQD1U4QOSD6X5" localSheetId="0" hidden="1">#REF!</definedName>
    <definedName name="BExQBDICMZTSA1X73TMHNO4JSFLN" localSheetId="0" hidden="1">#REF!</definedName>
    <definedName name="BExQBEER6CRCRPSSL61S0OMH57ZA" localSheetId="0" hidden="1">#REF!</definedName>
    <definedName name="BExQBIGGY5TXI2FJVVZSLZ0LTZYH" localSheetId="0" hidden="1">#REF!</definedName>
    <definedName name="BExQBM1RUSIQ85LLMM2159BYDPIP" localSheetId="0" hidden="1">#REF!</definedName>
    <definedName name="BExQBPSOZ47V81YAEURP0NQJNTJH" localSheetId="0" hidden="1">#REF!</definedName>
    <definedName name="BExQC5TWT21CGBKD0IHAXTIN2QB8" localSheetId="0" hidden="1">#REF!</definedName>
    <definedName name="BExQC94JL9F5GW4S8DQCAF4WB2DA" localSheetId="0" hidden="1">#REF!</definedName>
    <definedName name="BExQCKTD8AT0824LGWREXM1B5D1X" localSheetId="0" hidden="1">#REF!</definedName>
    <definedName name="BExQD571YWOXKR2SX85K5MKQ0AO2" localSheetId="0" hidden="1">#REF!</definedName>
    <definedName name="BExQDB6VCHN8PNX8EA6JNIEQ2JC2" localSheetId="0" hidden="1">#REF!</definedName>
    <definedName name="BExQDE1B6U2Q9B73KBENABP71YM1" localSheetId="0" hidden="1">#REF!</definedName>
    <definedName name="BExQDGQCN7ZW41QDUHOBJUGQAX40" localSheetId="0" hidden="1">#REF!</definedName>
    <definedName name="BExQEC7BRIJ30PTU3UPFOIP2HPE3" localSheetId="0" hidden="1">#REF!</definedName>
    <definedName name="BExQEMUA4HEFM4OVO8M8MA8PIAW1" localSheetId="0" hidden="1">#REF!</definedName>
    <definedName name="BExQEQ4XZQFIKUXNU9H7WE7AMZ1U" localSheetId="0" hidden="1">#REF!</definedName>
    <definedName name="BExQF1OEB07CRAP6ALNNMJNJ3P2D" localSheetId="0" hidden="1">#REF!</definedName>
    <definedName name="BExQF9X2AQPFJZTCHTU5PTTR0JAH" localSheetId="0" hidden="1">#REF!</definedName>
    <definedName name="BExQFC0M9KKFMQKPLPEO2RQDB7MM" localSheetId="0" hidden="1">#REF!</definedName>
    <definedName name="BExQFEEV7627R8TYZCM28C6V6WHE" localSheetId="0" hidden="1">#REF!</definedName>
    <definedName name="BExQFEK8NUD04X2OBRA275ADPSDL" localSheetId="0" hidden="1">#REF!</definedName>
    <definedName name="BExQFGYIWDR4W0YF7XR6E4EWWJ02" localSheetId="0" hidden="1">#REF!</definedName>
    <definedName name="BExQFPNFKA36IAPS22LAUMBDI4KE" localSheetId="0" hidden="1">#REF!</definedName>
    <definedName name="BExQFPSWEMA8WBUZ4WK20LR13VSU" localSheetId="0" hidden="1">#REF!</definedName>
    <definedName name="BExQFVSPOSCCPF1TLJPIWYWYB8A9" localSheetId="0" hidden="1">#REF!</definedName>
    <definedName name="BExQFWJQXNQAW6LUMOEDS6KMJMYL" localSheetId="0" hidden="1">#REF!</definedName>
    <definedName name="BExQG8TYRD2G42UA5ZPCRLNKUDMX" localSheetId="0" hidden="1">#REF!</definedName>
    <definedName name="BExQGO48J9MPCDQ96RBB9UN9AIGT" localSheetId="0" hidden="1">#REF!</definedName>
    <definedName name="BExQGSBB6MJWDW7AYWA0MSFTXKRR" localSheetId="0" hidden="1">#REF!</definedName>
    <definedName name="BExQH0UURAJ13AVO5UI04HSRGVYW" localSheetId="0" hidden="1">#REF!</definedName>
    <definedName name="BExQH6ZZY0NR8SE48PSI9D0CU1TC" localSheetId="0" hidden="1">#REF!</definedName>
    <definedName name="BExQH9P2MCXAJOVEO4GFQT6MNW22" localSheetId="0" hidden="1">#REF!</definedName>
    <definedName name="BExQHCZSBYUY8OKKJXFYWKBBM6AH" localSheetId="0" hidden="1">#REF!</definedName>
    <definedName name="BExQHPKXZ1K33V2F90NZIQRZYIAW" localSheetId="0" hidden="1">#REF!</definedName>
    <definedName name="BExQHVF9KD06AG2RXUQJ9X4PVGX4" localSheetId="0" hidden="1">#REF!</definedName>
    <definedName name="BExQHZBHVN2L4HC7ACTR73T5OCV0" localSheetId="0" hidden="1">#REF!</definedName>
    <definedName name="BExQI85V9TNLDJT5LTRZS10Y26SG" localSheetId="0" hidden="1">#REF!</definedName>
    <definedName name="BExQIAPKHVEV8CU1L3TTHJW67FJ5" localSheetId="0" hidden="1">#REF!</definedName>
    <definedName name="BExQIBB4I3Z6AUU0HYV1DHRS13M4" localSheetId="0" hidden="1">#REF!</definedName>
    <definedName name="BExQIBWPAXU7HJZLKGJZY3EB7MIS" localSheetId="0" hidden="1">#REF!</definedName>
    <definedName name="BExQIS8O6R36CI01XRY9ISM99TW9" localSheetId="0" hidden="1">#REF!</definedName>
    <definedName name="BExQIVJB9MJ25NDUHTCVMSODJY2C" localSheetId="0" hidden="1">#REF!</definedName>
    <definedName name="BExQJBF7LAX128WR7VTMJC88ZLPG" localSheetId="0" hidden="1">#REF!</definedName>
    <definedName name="BExQJEVCKX6KZHNCLYXY7D0MX5KN" localSheetId="0" hidden="1">#REF!</definedName>
    <definedName name="BExQJJYSDX8B0J1QGF2HL071KKA3" localSheetId="0" hidden="1">#REF!</definedName>
    <definedName name="BExQK1HV6SQQ7CP8H8IUKI9TYXTD" localSheetId="0" hidden="1">#REF!</definedName>
    <definedName name="BExQK3LE5CSBW1E4H4KHW548FL2R" localSheetId="0" hidden="1">#REF!</definedName>
    <definedName name="BExQKG6LD6PLNDGNGO9DJXY865BR" localSheetId="0" hidden="1">#REF!</definedName>
    <definedName name="BExQLE1TOW3A287TQB0AVWENT8O1" localSheetId="0" hidden="1">#REF!</definedName>
    <definedName name="BExRYOYB4A3E5F6MTROY69LR0PMG" localSheetId="0" hidden="1">#REF!</definedName>
    <definedName name="BExRYZLA9EW71H4SXQR525S72LLP" localSheetId="0" hidden="1">#REF!</definedName>
    <definedName name="BExRZ66M8G9FQ0VFP077QSZBSOA5" localSheetId="0" hidden="1">#REF!</definedName>
    <definedName name="BExRZ8FMQQL46I8AQWU17LRNZD5T" localSheetId="0" hidden="1">#REF!</definedName>
    <definedName name="BExRZIRRIXRUMZ5GOO95S7460BMP" localSheetId="0" hidden="1">#REF!</definedName>
    <definedName name="BExRZK9RAHMM0ZLTNSK7A4LDC42D" localSheetId="0" hidden="1">#REF!</definedName>
    <definedName name="BExRZOGSR69INI6GAEPHDWSNK5Q4" localSheetId="0" hidden="1">#REF!</definedName>
    <definedName name="BExS0ASQBKRTPDWFK0KUDFOS9LE5" localSheetId="0" hidden="1">#REF!</definedName>
    <definedName name="BExS0GHQUF6YT0RU3TKDEO8CSJYB" localSheetId="0" hidden="1">#REF!</definedName>
    <definedName name="BExS0K8IHC45I78DMZBOJ1P13KQA" localSheetId="0" hidden="1">#REF!</definedName>
    <definedName name="BExS152B2LFCRAUHSLI5T6QRNII0" localSheetId="0" hidden="1">#REF!</definedName>
    <definedName name="BExS15IJV0WW662NXQUVT3FGP4ST" localSheetId="0" hidden="1">#REF!</definedName>
    <definedName name="BExS194110MR25BYJI3CJ2EGZ8XT" localSheetId="0" hidden="1">#REF!</definedName>
    <definedName name="BExS1BNVGNSGD4EP90QL8WXYWZ66" localSheetId="0" hidden="1">#REF!</definedName>
    <definedName name="BExS1UE39N6NCND7MAARSBWXS6HU" localSheetId="0" hidden="1">#REF!</definedName>
    <definedName name="BExS226HTWL5WVC76MP5A1IBI8WD" localSheetId="0" hidden="1">#REF!</definedName>
    <definedName name="BExS26OI2QNNAH2WMDD95Z400048" localSheetId="0" hidden="1">#REF!</definedName>
    <definedName name="BExS2DF6B4ZUF3VZLI4G6LJ3BF38" localSheetId="0" hidden="1">#REF!</definedName>
    <definedName name="BExS2QB5FS5LYTFYO4BROTWG3OV5" localSheetId="0" hidden="1">#REF!</definedName>
    <definedName name="BExS2TLU1HONYV6S3ZD9T12D7CIG" localSheetId="0" hidden="1">#REF!</definedName>
    <definedName name="BExS318UV9I2FXPQQWUKKX00QLPJ" localSheetId="0" hidden="1">#REF!</definedName>
    <definedName name="BExS3LBS0SMTHALVM4NRI1BAV1NP" localSheetId="0" hidden="1">#REF!</definedName>
    <definedName name="BExS3MTQ75VBXDGEBURP6YT8RROE" localSheetId="0" hidden="1">#REF!</definedName>
    <definedName name="BExS3OMGYO0DFN5186UFKEXZ2RX3" localSheetId="0" hidden="1">#REF!</definedName>
    <definedName name="BExS3SDERJ27OER67TIGOVZU13A2" localSheetId="0" hidden="1">#REF!</definedName>
    <definedName name="BExS46R5WDNU5KL04FKY5LHJUCB8" localSheetId="0" hidden="1">#REF!</definedName>
    <definedName name="BExS4ASWKM93XA275AXHYP8AG6SU" localSheetId="0" hidden="1">#REF!</definedName>
    <definedName name="BExS4JN3Y6SVBKILQK0R9HS45Y52" localSheetId="0" hidden="1">#REF!</definedName>
    <definedName name="BExS4P6S41O6Z6BED77U3GD9PNH1" localSheetId="0" hidden="1">#REF!</definedName>
    <definedName name="BExS51H0N51UT0FZOPZRCF1GU063" localSheetId="0" hidden="1">#REF!</definedName>
    <definedName name="BExS54X72TJFC41FJK72MLRR2OO7" localSheetId="0" hidden="1">#REF!</definedName>
    <definedName name="BExS59F0PA1V2ZC7S5TN6IT41SXP" localSheetId="0" hidden="1">#REF!</definedName>
    <definedName name="BExS5DRER9US6NXY9ATYT41KZII3" localSheetId="0" hidden="1">#REF!</definedName>
    <definedName name="BExS5L3TGB8JVW9ROYWTKYTUPW27" localSheetId="0" hidden="1">#REF!</definedName>
    <definedName name="BExS6GKQ96EHVLYWNJDWXZXUZW90" localSheetId="0" hidden="1">#REF!</definedName>
    <definedName name="BExS6ITKSZFRR01YD5B0F676SYN7" localSheetId="0" hidden="1">#REF!</definedName>
    <definedName name="BExS6N0LI574IAC89EFW6CLTCQ33" localSheetId="0" hidden="1">#REF!</definedName>
    <definedName name="BExS6WRDBF3ST86ZOBBUL3GTCR11" localSheetId="0" hidden="1">#REF!</definedName>
    <definedName name="BExS6XNRKR0C3MTA0LV5B60UB908" localSheetId="0" hidden="1">#REF!</definedName>
    <definedName name="BExS7TKQYLRZGM93UY3ZJZJBQNFJ" localSheetId="0" hidden="1">#REF!</definedName>
    <definedName name="BExS7Y2LNGVHSIBKC7C3R6X4LDR6" localSheetId="0" hidden="1">#REF!</definedName>
    <definedName name="BExS81TE0EY44Y3W2M4Z4MGNP5OM" localSheetId="0" hidden="1">#REF!</definedName>
    <definedName name="BExS81YPDZDVJJVS15HV2HDXAC3Y" localSheetId="0" hidden="1">#REF!</definedName>
    <definedName name="BExS82PRVNUTEKQZS56YT2DVF6C2" localSheetId="0" hidden="1">#REF!</definedName>
    <definedName name="BExS8BPG5A0GR5AO1U951NDGGR0L" localSheetId="0" hidden="1">#REF!</definedName>
    <definedName name="BExS8GSUS17UY50TEM2AWF36BR9Z" localSheetId="0" hidden="1">#REF!</definedName>
    <definedName name="BExS8HJRBVG0XI6PWA9KTMJZMQXK" localSheetId="0" hidden="1">#REF!</definedName>
    <definedName name="BExS8R51C8RM2FS6V6IRTYO9GA4A" localSheetId="0" hidden="1">#REF!</definedName>
    <definedName name="BExS8WDX408F60MH1X9B9UZ2H4R7" localSheetId="0" hidden="1">#REF!</definedName>
    <definedName name="BExS8Z2W2QEC3MH0BZIYLDFQNUIP" localSheetId="0" hidden="1">#REF!</definedName>
    <definedName name="BExS92DKGRFFCIA9C0IXDOLO57EP" localSheetId="0" hidden="1">#REF!</definedName>
    <definedName name="BExS98OB4321YCHLCQ022PXKTT2W" localSheetId="0" hidden="1">#REF!</definedName>
    <definedName name="BExS9C9N8GFISC6HUERJ0EI06GB2" localSheetId="0" hidden="1">#REF!</definedName>
    <definedName name="BExS9DX13CACP3J8JDREK30JB1SQ" localSheetId="0" hidden="1">#REF!</definedName>
    <definedName name="BExS9FPRS2KRRCS33SE6WFNF5GYL" localSheetId="0" hidden="1">#REF!</definedName>
    <definedName name="BExS9WI0A6PSEB8N9GPXF2Z7MWHM" localSheetId="0" hidden="1">#REF!</definedName>
    <definedName name="BExSA5HP306TN9XJS0TU619DLRR7" localSheetId="0" hidden="1">#REF!</definedName>
    <definedName name="BExSAAVWQOOIA6B3JHQVGP08HFEM" localSheetId="0" hidden="1">#REF!</definedName>
    <definedName name="BExSAFJ3IICU2M7QPVE4ARYMXZKX" localSheetId="0" hidden="1">#REF!</definedName>
    <definedName name="BExSAH6ID8OHX379UXVNGFO8J6KQ" localSheetId="0" hidden="1">#REF!</definedName>
    <definedName name="BExSAQBHIXGQRNIRGCJMBXUPCZQA" localSheetId="0" hidden="1">#REF!</definedName>
    <definedName name="BExSAUTCT4P7JP57NOR9MTX33QJZ" localSheetId="0" hidden="1">#REF!</definedName>
    <definedName name="BExSAY9CA9TFXQ9M9FBJRGJO9T9E" localSheetId="0" hidden="1">#REF!</definedName>
    <definedName name="BExSB4JYKQ3MINI7RAYK5M8BLJDC" localSheetId="0" hidden="1">#REF!</definedName>
    <definedName name="BExSBMOS41ZRLWYLOU29V6Y7YORR" localSheetId="0" hidden="1">#REF!</definedName>
    <definedName name="BExSBRBXXQMBU1TYDW1BXTEVEPRU" localSheetId="0" hidden="1">#REF!</definedName>
    <definedName name="BExSC54998WTZ21DSL0R8UN0Y9JH" localSheetId="0" hidden="1">#REF!</definedName>
    <definedName name="BExSC60N7WR9PJSNC9B7ORCX9NGY" localSheetId="0" hidden="1">#REF!</definedName>
    <definedName name="BExSCE99EZTILTTCE4NJJF96OYYM" localSheetId="0" hidden="1">#REF!</definedName>
    <definedName name="BExSCHUQZ2HFEWS54X67DIS8OSXZ" localSheetId="0" hidden="1">#REF!</definedName>
    <definedName name="BExSCOG41SKKG4GYU76WRWW1CTE6" localSheetId="0" hidden="1">#REF!</definedName>
    <definedName name="BExSCVC9P86YVFMRKKUVRV29MZXZ" localSheetId="0" hidden="1">#REF!</definedName>
    <definedName name="BExSD233CH4MU9ZMGNRF97ZV7KWU" localSheetId="0" hidden="1">#REF!</definedName>
    <definedName name="BExSD2U0F3BN6IN9N4R2DTTJG15H" localSheetId="0" hidden="1">#REF!</definedName>
    <definedName name="BExSD6A6NY15YSMFH51ST6XJY429" localSheetId="0" hidden="1">#REF!</definedName>
    <definedName name="BExSD9VH6PF6RQ135VOEE08YXPAW" localSheetId="0" hidden="1">#REF!</definedName>
    <definedName name="BExSDP5Y04WWMX2WWRITWOX8R5I9" localSheetId="0" hidden="1">#REF!</definedName>
    <definedName name="BExSDRV0OOT4D90R6OJ24C64MBQX" localSheetId="0" hidden="1">#REF!</definedName>
    <definedName name="BExSDSGM203BJTNS9MKCBX453HMD" localSheetId="0" hidden="1">#REF!</definedName>
    <definedName name="BExSDT20XUFXTDM37M148AXAP7HN" localSheetId="0" hidden="1">#REF!</definedName>
    <definedName name="BExSEEHK1VLWD7JBV9SVVVIKQZ3I" localSheetId="0" hidden="1">#REF!</definedName>
    <definedName name="BExSEJKZLX37P3V33TRTFJ30BFRK" localSheetId="0" hidden="1">#REF!</definedName>
    <definedName name="BExSEP9UVOAI6TMXKNK587PQ3328" localSheetId="0" hidden="1">#REF!</definedName>
    <definedName name="BExSERZ34ETZF8OI93MYIVZX4RDV" localSheetId="0" hidden="1">#REF!</definedName>
    <definedName name="BExSF07QFLZCO4P6K6QF05XG7PH1" localSheetId="0" hidden="1">#REF!</definedName>
    <definedName name="BExSFELNPJYUZX393PKWKNNZYV1N" localSheetId="0" hidden="1">#REF!</definedName>
    <definedName name="BExSFJ8ZAGQ63A4MVMZRQWLVRGQ5" localSheetId="0" hidden="1">#REF!</definedName>
    <definedName name="BExSFKQRST2S9KXWWLCXYLKSF4G1" localSheetId="0" hidden="1">#REF!</definedName>
    <definedName name="BExSFYDRRTAZVPXRWUF5PDQ97WFF" localSheetId="0" hidden="1">#REF!</definedName>
    <definedName name="BExSFZVPFTXA3F0IJ2NGH1GXX9R7" localSheetId="0" hidden="1">#REF!</definedName>
    <definedName name="BExSG90Q4ZUU2IPGDYOM169NJV9S" localSheetId="0" hidden="1">#REF!</definedName>
    <definedName name="BExSG9X3DU845PNXYJGGLBQY2UHG" localSheetId="0" hidden="1">#REF!</definedName>
    <definedName name="BExSGE45J27MDUUNXW7Z8Q33UAON" localSheetId="0" hidden="1">#REF!</definedName>
    <definedName name="BExSGE9LY91Q0URHB4YAMX0UAMYI" localSheetId="0" hidden="1">#REF!</definedName>
    <definedName name="BExSGLB2URTLBCKBB4Y885W925F2" localSheetId="0" hidden="1">#REF!</definedName>
    <definedName name="BExSGOAYG73SFWOPAQV80P710GID" localSheetId="0" hidden="1">#REF!</definedName>
    <definedName name="BExSGOWJHRW7FWKLO2EHUOOGHNAF" localSheetId="0" hidden="1">#REF!</definedName>
    <definedName name="BExSGOWJTAP41ZV5Q23H7MI9C76W" localSheetId="0" hidden="1">#REF!</definedName>
    <definedName name="BExSGR5JQVX2HQ0PKCGZNSSUM1RV" localSheetId="0" hidden="1">#REF!</definedName>
    <definedName name="BExSGVHX69GJZHD99DKE4RZ042B1" localSheetId="0" hidden="1">#REF!</definedName>
    <definedName name="BExSGZJO4J4ZO04E2N2ECVYS9DEZ" localSheetId="0" hidden="1">#REF!</definedName>
    <definedName name="BExSHAHFHS7MMNJR8JPVABRGBVIT" localSheetId="0" hidden="1">#REF!</definedName>
    <definedName name="BExSHGH88QZWW4RNAX4YKAZ5JEBL" localSheetId="0" hidden="1">#REF!</definedName>
    <definedName name="BExSHOKK1OO3CX9Z28C58E5J1D9W" localSheetId="0" hidden="1">#REF!</definedName>
    <definedName name="BExSHQD8KYLTQGDXIRKCHQQ7MKIH" localSheetId="0" hidden="1">#REF!</definedName>
    <definedName name="BExSHVGPIAHXI97UBLI9G4I4M29F" localSheetId="0" hidden="1">#REF!</definedName>
    <definedName name="BExSI0K2YL3HTCQAD8A7TR4QCUR6" localSheetId="0" hidden="1">#REF!</definedName>
    <definedName name="BExSIFUDNRWXWIWNGCCFOOD8WIAZ" localSheetId="0" hidden="1">#REF!</definedName>
    <definedName name="BExTTWD2PGX3Y9FR5F2MRNLY1DIY" localSheetId="0" hidden="1">#REF!</definedName>
    <definedName name="BExTTZNS2PBCR93C9IUW49UZ4I6T" localSheetId="0" hidden="1">#REF!</definedName>
    <definedName name="BExTU2YFQ25JQ6MEMRHHN66VLTPJ" localSheetId="0" hidden="1">#REF!</definedName>
    <definedName name="BExTU75IOII1V5O0C9X2VAYYVJUG" localSheetId="0" hidden="1">#REF!</definedName>
    <definedName name="BExTUA5F7V4LUIIAM17J3A8XF3JE" localSheetId="0" hidden="1">#REF!</definedName>
    <definedName name="BExTUJ53ANGZ3H1KDK4CR4Q0OD6P" localSheetId="0" hidden="1">#REF!</definedName>
    <definedName name="BExTUKXSZBM7C57G6NGLWGU4WOHY" localSheetId="0" hidden="1">#REF!</definedName>
    <definedName name="BExTUSQCFFYZCDNHWHADBC2E1ZP1" localSheetId="0" hidden="1">#REF!</definedName>
    <definedName name="BExTUVFGOJEYS28JURA5KHQFDU5J" localSheetId="0" hidden="1">#REF!</definedName>
    <definedName name="BExTUW10U40QCYGHM5NJ3YR1O5SP" localSheetId="0" hidden="1">#REF!</definedName>
    <definedName name="BExTUWXFQHINU66YG82BI20ATMB5" localSheetId="0" hidden="1">#REF!</definedName>
    <definedName name="BExTUY9WNSJ91GV8CP0SKJTEIV82" localSheetId="0" hidden="1">#REF!</definedName>
    <definedName name="BExTV67VIM8PV6KO253M4DUBJQLC" localSheetId="0" hidden="1">#REF!</definedName>
    <definedName name="BExTVELZCF2YA5L6F23BYZZR6WHF" localSheetId="0" hidden="1">#REF!</definedName>
    <definedName name="BExTVGPIQZ99YFXUC8OONUX5BD42" localSheetId="0" hidden="1">#REF!</definedName>
    <definedName name="BExTVZQLP9VFLEYQ9280W13X7E8K" localSheetId="0" hidden="1">#REF!</definedName>
    <definedName name="BExTWB4LA1PODQOH4LDTHQKBN16K" localSheetId="0" hidden="1">#REF!</definedName>
    <definedName name="BExTWF0UM0XSY2878LVA07SDBVBL" localSheetId="0" hidden="1">#REF!</definedName>
    <definedName name="BExTWI0Q8AWXUA3ZN7I5V3QK2KM1" localSheetId="0" hidden="1">#REF!</definedName>
    <definedName name="BExTWJTIA3WUW1PUWXAOP9O8NKLZ" localSheetId="0" hidden="1">#REF!</definedName>
    <definedName name="BExTWW95OX07FNA01WF5MSSSFQLX" localSheetId="0" hidden="1">#REF!</definedName>
    <definedName name="BExTX476KI0RNB71XI5TYMANSGBG" localSheetId="0" hidden="1">#REF!</definedName>
    <definedName name="BExTXJ6HBAIXMMWKZTJNFDYVZCAY" localSheetId="0" hidden="1">#REF!</definedName>
    <definedName name="BExTXT812NQT8GAEGH738U29BI0D" localSheetId="0" hidden="1">#REF!</definedName>
    <definedName name="BExTXWIP2TFPTQ76NHFOB72NICRZ" localSheetId="0" hidden="1">#REF!</definedName>
    <definedName name="BExTY5T62H651VC86QM4X7E28JVA" localSheetId="0" hidden="1">#REF!</definedName>
    <definedName name="BExTYHCJJ2NWRM1RV59FYR41534U" localSheetId="0" hidden="1">#REF!</definedName>
    <definedName name="BExTYKCEFJ83LZM95M1V7CSFQVEA" localSheetId="0" hidden="1">#REF!</definedName>
    <definedName name="BExTYPLA9N640MFRJJQPKXT7P88M" localSheetId="0" hidden="1">#REF!</definedName>
    <definedName name="BExTZ7F71SNTOX4LLZCK5R9VUMIJ" localSheetId="0" hidden="1">#REF!</definedName>
    <definedName name="BExTZ8X5G9S3PA4FPSNK7T69W7QT" localSheetId="0" hidden="1">#REF!</definedName>
    <definedName name="BExTZ97Y0RMR8V5BI9F2H4MFB77O" localSheetId="0" hidden="1">#REF!</definedName>
    <definedName name="BExTZK5PMCAXJL4DUIGL6H9Y8U4C" localSheetId="0" hidden="1">#REF!</definedName>
    <definedName name="BExTZKB6L5SXV5UN71YVTCBEIGWY" localSheetId="0" hidden="1">#REF!</definedName>
    <definedName name="BExTZLICVKK4NBJFEGL270GJ2VQO" localSheetId="0" hidden="1">#REF!</definedName>
    <definedName name="BExTZO2596CBZKPI7YNA1QQNPAIJ" localSheetId="0" hidden="1">#REF!</definedName>
    <definedName name="BExTZY8TDV4U7FQL7O10G6VKWKPJ" localSheetId="0" hidden="1">#REF!</definedName>
    <definedName name="BExU02QNT4LT7H9JPUC4FXTLVGZT" localSheetId="0" hidden="1">#REF!</definedName>
    <definedName name="BExU0BFJJQO1HJZKI14QGOQ6JROO" localSheetId="0" hidden="1">#REF!</definedName>
    <definedName name="BExU0FH5WTGW8MRFUFMDDSMJ6YQ5" localSheetId="0" hidden="1">#REF!</definedName>
    <definedName name="BExU0GDOIL9U33QGU9ZU3YX3V1I4" localSheetId="0" hidden="1">#REF!</definedName>
    <definedName name="BExU0HKTO8WJDQDWRTUK5TETM3HS" localSheetId="0" hidden="1">#REF!</definedName>
    <definedName name="BExU0MTJQPE041ZN7H8UKGV6MZT7" localSheetId="0" hidden="1">#REF!</definedName>
    <definedName name="BExU0XB6XCXI4SZ92YEUFMW4TAXF" localSheetId="0" hidden="1">#REF!</definedName>
    <definedName name="BExU0ZUUFYHLUK4M4E8GLGIBBNT0" localSheetId="0" hidden="1">#REF!</definedName>
    <definedName name="BExU147D6RPG6ZVTSXRKFSVRHSBG" localSheetId="0" hidden="1">#REF!</definedName>
    <definedName name="BExU16R10W1SOAPNG4CDJ01T7JRE" localSheetId="0" hidden="1">#REF!</definedName>
    <definedName name="BExU17CKOR3GNIHDNVLH9L1IOJS9" localSheetId="0" hidden="1">#REF!</definedName>
    <definedName name="BExU1GXUTLRPJN4MRINLAPHSZQFG" localSheetId="0" hidden="1">#REF!</definedName>
    <definedName name="BExU1IL9AOHFO85BZB6S60DK3N8H" localSheetId="0" hidden="1">#REF!</definedName>
    <definedName name="BExU1NOPS09CLFZL1O31RAF9BQNQ" localSheetId="0" hidden="1">#REF!</definedName>
    <definedName name="BExU1PH9MOEX1JZVZ3D5M9DXB191" localSheetId="0" hidden="1">#REF!</definedName>
    <definedName name="BExU1QZEEKJA35IMEOLOJ3ODX0ZA" localSheetId="0" hidden="1">#REF!</definedName>
    <definedName name="BExU1VRURIWWVJ95O40WA23LMTJD" localSheetId="0" hidden="1">#REF!</definedName>
    <definedName name="BExU2M5CK6XK55UIHDVYRXJJJRI4" localSheetId="0" hidden="1">#REF!</definedName>
    <definedName name="BExU2TXVT25ZTOFQAF6CM53Z1RLF" localSheetId="0" hidden="1">#REF!</definedName>
    <definedName name="BExU2XZLYIU19G7358W5T9E87AFR" localSheetId="0" hidden="1">#REF!</definedName>
    <definedName name="BExU3B66MCKJFSKT3HL8B5EJGVX0" localSheetId="0" hidden="1">#REF!</definedName>
    <definedName name="BExU3UNI9NR1RNZR07NSLSZMDOQQ" localSheetId="0" hidden="1">#REF!</definedName>
    <definedName name="BExU401R18N6XKZKL7CNFOZQCM14" localSheetId="0" hidden="1">#REF!</definedName>
    <definedName name="BExU42QVGY7TK39W1BIN6CDRG2OE" localSheetId="0" hidden="1">#REF!</definedName>
    <definedName name="BExU44P2AEX6PD8VC4ISCROUCQSP" localSheetId="0" hidden="1">#REF!</definedName>
    <definedName name="BExU47OZMS6TCWMEHHF0UCSFLLPI" localSheetId="0" hidden="1">#REF!</definedName>
    <definedName name="BExU4D36E8TXN0M8KSNGEAFYP4DQ" localSheetId="0" hidden="1">#REF!</definedName>
    <definedName name="BExU4G31RRVLJ3AC6E1FNEFMXM3O" localSheetId="0" hidden="1">#REF!</definedName>
    <definedName name="BExU4GDVLPUEWBA4MRYRTQAUNO7B" localSheetId="0" hidden="1">#REF!</definedName>
    <definedName name="BExU4I148DA7PRCCISLWQ6ABXFK6" localSheetId="0" hidden="1">#REF!</definedName>
    <definedName name="BExU4L101H2KQHVKCKQ4PBAWZV6K" localSheetId="0" hidden="1">#REF!</definedName>
    <definedName name="BExU4NA00RRRBGRT6TOB0MXZRCRZ" localSheetId="0" hidden="1">#REF!</definedName>
    <definedName name="BExU51IFNZXPBDES28457LR8X60M" localSheetId="0" hidden="1">#REF!</definedName>
    <definedName name="BExU529I6YHVOG83TJHWSILIQU1S" localSheetId="0" hidden="1">#REF!</definedName>
    <definedName name="BExU57YCIKPRD8QWL6EU0YR3NG3J" localSheetId="0" hidden="1">#REF!</definedName>
    <definedName name="BExU5DSTBWXLN6E59B757KRWRI6E" localSheetId="0" hidden="1">#REF!</definedName>
    <definedName name="BExU5TDWM8NNDHYPQ7OQODTQ368A" localSheetId="0" hidden="1">#REF!</definedName>
    <definedName name="BExU5X4OX1V1XHS6WSSORVQPP6Z3" localSheetId="0" hidden="1">#REF!</definedName>
    <definedName name="BExU5XVPARTFMRYHNUTBKDIL4UJN" localSheetId="0" hidden="1">#REF!</definedName>
    <definedName name="BExU66KMFBAP8JCVG9VM1RD1TNFF" localSheetId="0" hidden="1">#REF!</definedName>
    <definedName name="BExU68IOM3CB3TACNAE9565TW7SH" localSheetId="0" hidden="1">#REF!</definedName>
    <definedName name="BExU6AM82KN21E82HMWVP3LWP9IL" localSheetId="0" hidden="1">#REF!</definedName>
    <definedName name="BExU6FEU1MRHU98R9YOJC5OKUJ6L" localSheetId="0" hidden="1">#REF!</definedName>
    <definedName name="BExU6KIAJ663Y8W8QMU4HCF183DF" localSheetId="0" hidden="1">#REF!</definedName>
    <definedName name="BExU6KT19B4PG6SHXFBGBPLM66KT" localSheetId="0" hidden="1">#REF!</definedName>
    <definedName name="BExU6PAVKIOAIMQ9XQIHHF1SUAGO" localSheetId="0" hidden="1">#REF!</definedName>
    <definedName name="BExU6WXXC7SSQDMHSLUN5C2V4IYX" localSheetId="0" hidden="1">#REF!</definedName>
    <definedName name="BExU73387E74XE8A9UKZLZNJYY65" localSheetId="0" hidden="1">#REF!</definedName>
    <definedName name="BExU76ZHCJM8I7VSICCMSTC33O6U" localSheetId="0" hidden="1">#REF!</definedName>
    <definedName name="BExU7BBTUF8BQ42DSGM94X5TG5GF" localSheetId="0" hidden="1">#REF!</definedName>
    <definedName name="BExU7HH4EAHFQHT4AXKGWAWZP3I0" localSheetId="0" hidden="1">#REF!</definedName>
    <definedName name="BExU7MF1ZVPDHOSMCAXOSYICHZ4I" localSheetId="0" hidden="1">#REF!</definedName>
    <definedName name="BExU7O2BJ6D5YCKEL6FD2EFCWYRX" localSheetId="0" hidden="1">#REF!</definedName>
    <definedName name="BExU7Q0JS9YIUKUPNSSAIDK2KJAV" localSheetId="0" hidden="1">#REF!</definedName>
    <definedName name="BExU80I6AE5OU7P7F5V7HWIZBJ4P" localSheetId="0" hidden="1">#REF!</definedName>
    <definedName name="BExU86NB26MCPYIISZ36HADONGT2" localSheetId="0" hidden="1">#REF!</definedName>
    <definedName name="BExU885EZZNSZV3GP298UJ8LB7OL" localSheetId="0" hidden="1">#REF!</definedName>
    <definedName name="BExU8FSAUP9TUZ1NO9WXK80QPHWV" localSheetId="0" hidden="1">#REF!</definedName>
    <definedName name="BExU8KFLAN778MBN93NYZB0FV30G" localSheetId="0" hidden="1">#REF!</definedName>
    <definedName name="BExU8UX9JX3XLB47YZ8GFXE0V7R2" localSheetId="0" hidden="1">#REF!</definedName>
    <definedName name="BExU91DC3DGKPZD6LTER2IRTF89C" localSheetId="0" hidden="1">#REF!</definedName>
    <definedName name="BExU96M1J7P9DZQ3S9H0C12KGYTW" localSheetId="0" hidden="1">#REF!</definedName>
    <definedName name="BExU9F05OR1GZ3057R6UL3WPEIYI" localSheetId="0" hidden="1">#REF!</definedName>
    <definedName name="BExU9GCSO5YILIKG6VAHN13DL75K" localSheetId="0" hidden="1">#REF!</definedName>
    <definedName name="BExU9KJOZLO15N11MJVN782NFGJ0" localSheetId="0" hidden="1">#REF!</definedName>
    <definedName name="BExU9LG29XU2K1GNKRO4438JYQZE" localSheetId="0" hidden="1">#REF!</definedName>
    <definedName name="BExU9RW36I5Z6JIXUIUB3PJH86LT" localSheetId="0" hidden="1">#REF!</definedName>
    <definedName name="BExUA28AO7OWDG3H23Q0CL4B7BHW" localSheetId="0" hidden="1">#REF!</definedName>
    <definedName name="BExUA5O923FFNEBY8BPO1TU3QGBM" localSheetId="0" hidden="1">#REF!</definedName>
    <definedName name="BExUA6Q4K25VH452AQ3ZIRBCMS61" localSheetId="0" hidden="1">#REF!</definedName>
    <definedName name="BExUAFV4JMBSM2SKBQL9NHL0NIBS" localSheetId="0" hidden="1">#REF!</definedName>
    <definedName name="BExUAMWQODKBXMRH1QCMJLJBF8M7" localSheetId="0" hidden="1">#REF!</definedName>
    <definedName name="BExUAX8WS5OPVLCDXRGKTU2QMTFO" localSheetId="0" hidden="1">#REF!</definedName>
    <definedName name="BExUB8HLEXSBVPZ5AXNQEK96F1N4" localSheetId="0" hidden="1">#REF!</definedName>
    <definedName name="BExUBCDVZIEA7YT0LPSMHL5ZSERQ" localSheetId="0" hidden="1">#REF!</definedName>
    <definedName name="BExUBJVM2RBCZWA887ZK5TPXLB6N" localSheetId="0" hidden="1">#REF!</definedName>
    <definedName name="BExUBKXBUCN760QYU7Q8GESBWOQH" localSheetId="0" hidden="1">#REF!</definedName>
    <definedName name="BExUBL83ED0P076RN9RJ8P1MZ299" localSheetId="0" hidden="1">#REF!</definedName>
    <definedName name="BExUC623BDYEODBN0N4DO6PJQ7NU" localSheetId="0" hidden="1">#REF!</definedName>
    <definedName name="BExUC8WH8TCKBB5313JGYYQ1WFLT" localSheetId="0" hidden="1">#REF!</definedName>
    <definedName name="BExUCFCDK6SPH86I6STXX8X3WMC4" localSheetId="0" hidden="1">#REF!</definedName>
    <definedName name="BExUCLC6AQ5KR6LXSAXV4QQ8ASVG" localSheetId="0" hidden="1">#REF!</definedName>
    <definedName name="BExUD4IOJ12X3PJG5WXNNGDRCKAP" localSheetId="0" hidden="1">#REF!</definedName>
    <definedName name="BExUD4IQBW72IRUV3EG6L38ATPGI" localSheetId="0" hidden="1">#REF!</definedName>
    <definedName name="BExUD9WX9BWK72UWVSLYZJLAY5VY" localSheetId="0" hidden="1">#REF!</definedName>
    <definedName name="BExUDBEUJH9IACZDBL1VAUWPG0QW" localSheetId="0" hidden="1">#REF!</definedName>
    <definedName name="BExUDEV0CYVO7Y5IQQBEJ6FUY9S6" localSheetId="0" hidden="1">#REF!</definedName>
    <definedName name="BExUDWOXQGIZW0EAIIYLQUPXF8YV" localSheetId="0" hidden="1">#REF!</definedName>
    <definedName name="BExUDXAIC17W1FUU8Z10XUAVB7CS" localSheetId="0" hidden="1">#REF!</definedName>
    <definedName name="BExUE5OMY7OAJQ9WR8C8HG311ORP" localSheetId="0" hidden="1">#REF!</definedName>
    <definedName name="BExUEFKOQWXXGRNLAOJV2BJ66UB8" localSheetId="0" hidden="1">#REF!</definedName>
    <definedName name="BExUEJGX3OQQP5KFRJSRCZ70EI9V" localSheetId="0" hidden="1">#REF!</definedName>
    <definedName name="BExUEYR71COFS2X8PDNU21IPMQEU" localSheetId="0" hidden="1">#REF!</definedName>
    <definedName name="BExVPRLJ9I6RX45EDVFSQGCPJSOK" localSheetId="0" hidden="1">#REF!</definedName>
    <definedName name="BExVR0URK2DHXB3KB9IHWDDGM6Y9" localSheetId="0" hidden="1">#REF!</definedName>
    <definedName name="BExVSL787C8E4HFQZ2NVLT35I2XV" localSheetId="0" hidden="1">#REF!</definedName>
    <definedName name="BExVSTFTVV14SFGHQUOJL5SQ5TX9" localSheetId="0" hidden="1">#REF!</definedName>
    <definedName name="BExVT3MPE8LQ5JFN3HQIFKSQ80U4" localSheetId="0" hidden="1">#REF!</definedName>
    <definedName name="BExVT7TRK3NZHPME2TFBXOF1WBR9" localSheetId="0" hidden="1">#REF!</definedName>
    <definedName name="BExVT9H0R0T7WGQAAC0HABMG54YM" localSheetId="0" hidden="1">#REF!</definedName>
    <definedName name="BExVTCMDDEDGLUIMUU6BSFHEWTOP" localSheetId="0" hidden="1">#REF!</definedName>
    <definedName name="BExVTCMDQMLKRA2NQR72XU6Y54IK" localSheetId="0" hidden="1">#REF!</definedName>
    <definedName name="BExVTCRV8FQ5U9OYWWL44N6KFNHU" localSheetId="0" hidden="1">#REF!</definedName>
    <definedName name="BExVTNESHPVG0A0KZ7BRX26MS0PF" localSheetId="0" hidden="1">#REF!</definedName>
    <definedName name="BExVTTJVTNRSBHBTUZ78WG2JM5MK" localSheetId="0" hidden="1">#REF!</definedName>
    <definedName name="BExVTXLMYR87BC04D1ERALPUFVPG" localSheetId="0" hidden="1">#REF!</definedName>
    <definedName name="BExVUL9V3H8ZF6Y72LQBBN639YAA" localSheetId="0" hidden="1">#REF!</definedName>
    <definedName name="BExVV5T14N2HZIK7HQ4P2KG09U0J" localSheetId="0" hidden="1">#REF!</definedName>
    <definedName name="BExVV7R410VYLADLX9LNG63ID6H1" localSheetId="0" hidden="1">#REF!</definedName>
    <definedName name="BExVVCEED4JEKF59OV0G3T4XFMFO" localSheetId="0" hidden="1">#REF!</definedName>
    <definedName name="BExVVPFO2J7FMSRPD36909HN4BZJ" localSheetId="0" hidden="1">#REF!</definedName>
    <definedName name="BExVVQ19AQ3VCARJOC38SF7OYE9Y" localSheetId="0" hidden="1">#REF!</definedName>
    <definedName name="BExVVQ19TAECID45CS4HXT1RD3AQ" localSheetId="0" hidden="1">#REF!</definedName>
    <definedName name="BExVW3YV5XGIVJ97UUPDJGJ2P15B" localSheetId="0" hidden="1">#REF!</definedName>
    <definedName name="BExVW5X571GEYR5SCU1Z2DHKWM79" localSheetId="0" hidden="1">#REF!</definedName>
    <definedName name="BExVW6YTKA098AF57M4PHNQ54XMH" localSheetId="0" hidden="1">#REF!</definedName>
    <definedName name="BExVWINKCH0V0NUWH363SMXAZE62" localSheetId="0" hidden="1">#REF!</definedName>
    <definedName name="BExVWYU8EK669NP172GEIGCTVPPA" localSheetId="0" hidden="1">#REF!</definedName>
    <definedName name="BExVX3MVJ0GHWPP1EL59ZQNKMX0B" localSheetId="0" hidden="1">#REF!</definedName>
    <definedName name="BExVX3XN2DRJKL8EDBIG58RYQ36R" localSheetId="0" hidden="1">#REF!</definedName>
    <definedName name="BExVXDZ63PUART77BBR5SI63TPC6" localSheetId="0" hidden="1">#REF!</definedName>
    <definedName name="BExVXHKI6LFYMGWISMPACMO247HL" localSheetId="0" hidden="1">#REF!</definedName>
    <definedName name="BExVXLX2BZ5EF2X6R41BTKRJR1NM" localSheetId="0" hidden="1">#REF!</definedName>
    <definedName name="BExVY11V7U1SAY4QKYE0PBSPD7LW" localSheetId="0" hidden="1">#REF!</definedName>
    <definedName name="BExVY1SV37DL5YU59HS4IG3VBCP4" localSheetId="0" hidden="1">#REF!</definedName>
    <definedName name="BExVY3WFGJKSQA08UF9NCMST928Y" localSheetId="0" hidden="1">#REF!</definedName>
    <definedName name="BExVY954UOEVQEIC5OFO4NEWVKAQ" localSheetId="0" hidden="1">#REF!</definedName>
    <definedName name="BExVYHDYIV5397LC02V4FEP8VD6W" localSheetId="0" hidden="1">#REF!</definedName>
    <definedName name="BExVYOVIZDA18YIQ0A30Q052PCAK" localSheetId="0" hidden="1">#REF!</definedName>
    <definedName name="BExVYQIXPEM6J4JVP78BRHIC05PV" localSheetId="0" hidden="1">#REF!</definedName>
    <definedName name="BExVYVGWN7SONLVDH9WJ2F1JS264" localSheetId="0" hidden="1">#REF!</definedName>
    <definedName name="BExVZ9EO732IK6MNMG17Y1EFTJQC" localSheetId="0" hidden="1">#REF!</definedName>
    <definedName name="BExVZB1Y5J4UL2LKK0363EU7GIJ1" localSheetId="0" hidden="1">#REF!</definedName>
    <definedName name="BExVZJQVO5LQ0BJH5JEN5NOBIAF6" localSheetId="0" hidden="1">#REF!</definedName>
    <definedName name="BExVZNXWS91RD7NXV5NE2R3C8WW7" localSheetId="0" hidden="1">#REF!</definedName>
    <definedName name="BExW0386REQRCQCVT9BCX80UPTRY" localSheetId="0" hidden="1">#REF!</definedName>
    <definedName name="BExW0FYP4WXY71CYUG40SUBG9UWU" localSheetId="0" hidden="1">#REF!</definedName>
    <definedName name="BExW0RI61B4VV0ARXTFVBAWRA1C5" localSheetId="0" hidden="1">#REF!</definedName>
    <definedName name="BExW1BVUYQTKMOR56MW7RVRX4L1L" localSheetId="0" hidden="1">#REF!</definedName>
    <definedName name="BExW1F1220628FOMTW5UAATHRJHK" localSheetId="0" hidden="1">#REF!</definedName>
    <definedName name="BExW1IH2OYSPUPZ9A59T9X04O4IT" localSheetId="0" hidden="1">#REF!</definedName>
    <definedName name="BExW1TKA0Z9OP2DTG50GZR5EG8C7" localSheetId="0" hidden="1">#REF!</definedName>
    <definedName name="BExW1U0JLKQ094DW5MMOI8UHO09V" localSheetId="0" hidden="1">#REF!</definedName>
    <definedName name="BExW283NP9D366XFPXLGSCI5UB0L" localSheetId="0" hidden="1">#REF!</definedName>
    <definedName name="BExW2H3C8WJSBW5FGTFKVDVJC4CL" localSheetId="0" hidden="1">#REF!</definedName>
    <definedName name="BExW2MSCKPGF5K3I7TL4KF5ISUOL" localSheetId="0" hidden="1">#REF!</definedName>
    <definedName name="BExW2SMO90FU9W8DVVES6Q4E6BZR" localSheetId="0" hidden="1">#REF!</definedName>
    <definedName name="BExW36V9N91OHCUMGWJQL3I5P4JK" localSheetId="0" hidden="1">#REF!</definedName>
    <definedName name="BExW3EIBA1J9Q9NA9VCGZGRS8WV7" localSheetId="0" hidden="1">#REF!</definedName>
    <definedName name="BExW3FEO8FI8N6AGQKYEG4SQVJWB" localSheetId="0" hidden="1">#REF!</definedName>
    <definedName name="BExW3GB28STOMJUSZEIA7YKYNS4Y" localSheetId="0" hidden="1">#REF!</definedName>
    <definedName name="BExW3T1K638HT5E0Y8MMK108P5JT" localSheetId="0" hidden="1">#REF!</definedName>
    <definedName name="BExW4217ZHL9VO39POSTJOD090WU" localSheetId="0" hidden="1">#REF!</definedName>
    <definedName name="BExW4GPW71EBF8XPS2QGVQHBCDX3" localSheetId="0" hidden="1">#REF!</definedName>
    <definedName name="BExW4JKC5837JBPCOJV337ZVYYY3" localSheetId="0" hidden="1">#REF!</definedName>
    <definedName name="BExW4QR9FV9MP5K610THBSM51RYO" localSheetId="0" hidden="1">#REF!</definedName>
    <definedName name="BExW4Z029R9E19ZENN3WEA3VDAD1" localSheetId="0" hidden="1">#REF!</definedName>
    <definedName name="BExW5AZNT6IAZGNF2C879ODHY1B8" localSheetId="0" hidden="1">#REF!</definedName>
    <definedName name="BExW5WPU27WD4NWZOT0ZEJIDLX5J" localSheetId="0" hidden="1">#REF!</definedName>
    <definedName name="BExW660AV1TUV2XNUPD65RZR3QOO" localSheetId="0" hidden="1">#REF!</definedName>
    <definedName name="BExW66LVVZK656PQY1257QMHP2AY" localSheetId="0" hidden="1">#REF!</definedName>
    <definedName name="BExW6EJPHAP1TWT380AZLXNHR22P" localSheetId="0" hidden="1">#REF!</definedName>
    <definedName name="BExW6G1PJ38H10DVLL8WPQ736OEB" localSheetId="0" hidden="1">#REF!</definedName>
    <definedName name="BExW75DHU6XMKF8RH2P9Z4T0G1Q9" localSheetId="0" hidden="1">#REF!</definedName>
    <definedName name="BExW794A74Z5F2K8LVQLD6VSKXUE" localSheetId="0" hidden="1">#REF!</definedName>
    <definedName name="BExW8K0SSIPSKBVP06IJ71600HJZ" localSheetId="0" hidden="1">#REF!</definedName>
    <definedName name="BExW8NM8DJJESE7GF7VGTO2XO6P1" localSheetId="0" hidden="1">#REF!</definedName>
    <definedName name="BExW8T0GVY3ZYO4ACSBLHS8SH895" localSheetId="0" hidden="1">#REF!</definedName>
    <definedName name="BExW8YEP73JMMU9HZ08PM4WHJQZ4" localSheetId="0" hidden="1">#REF!</definedName>
    <definedName name="BExW937AT53OZQRHNWQZ5BVH24IE" localSheetId="0" hidden="1">#REF!</definedName>
    <definedName name="BExW95LN5N0LYFFVP7GJEGDVDLF0" localSheetId="0" hidden="1">#REF!</definedName>
    <definedName name="BExW967733Q8RAJOHR2GJ3HO8JIW" localSheetId="0" hidden="1">#REF!</definedName>
    <definedName name="BExW9POK1KIOI0ALS5MZIKTDIYMA" localSheetId="0" hidden="1">#REF!</definedName>
    <definedName name="BExW9TVLB7OIHTG98I7I4EXBL61S" localSheetId="0" hidden="1">#REF!</definedName>
    <definedName name="BExXLDE6PN4ESWT3LXJNQCY94NE4" localSheetId="0" hidden="1">#REF!</definedName>
    <definedName name="BExXLQVPK2H3IF0NDDA5CT612EUK" localSheetId="0" hidden="1">#REF!</definedName>
    <definedName name="BExXLR6IO70TYTACKQH9M5PGV24J" localSheetId="0" hidden="1">#REF!</definedName>
    <definedName name="BExXM065WOLYRYHGHOJE0OOFXA4M" localSheetId="0" hidden="1">#REF!</definedName>
    <definedName name="BExXM3GUNXVDM82KUR17NNUMQCNI" localSheetId="0" hidden="1">#REF!</definedName>
    <definedName name="BExXMA28M8SH7MKIGETSDA72WUIZ" localSheetId="0" hidden="1">#REF!</definedName>
    <definedName name="BExXMOLHIAHDLFSA31PUB36SC3I9" localSheetId="0" hidden="1">#REF!</definedName>
    <definedName name="BExXMT8T5Z3M2JBQN65X2LKH0YQI" localSheetId="0" hidden="1">#REF!</definedName>
    <definedName name="BExXN1XNO7H60M9X1E7EVWFJDM5N" localSheetId="0" hidden="1">#REF!</definedName>
    <definedName name="BExXN22ZOTIW49GPLWFYKVM90FNZ" localSheetId="0" hidden="1">#REF!</definedName>
    <definedName name="BExXN4C031W9DK73MJHKL8YT1QA8" localSheetId="0" hidden="1">#REF!</definedName>
    <definedName name="BExXN6QAP8UJQVN4R4BQKPP4QK35" localSheetId="0" hidden="1">#REF!</definedName>
    <definedName name="BExXNBOA39T2X6Y5Y5GZ5DDNA1AX" localSheetId="0" hidden="1">#REF!</definedName>
    <definedName name="BExXND6872VJ3M2PGT056WQMWBHD" localSheetId="0" hidden="1">#REF!</definedName>
    <definedName name="BExXNPM24UN2PGVL9D1TUBFRIKR4" localSheetId="0" hidden="1">#REF!</definedName>
    <definedName name="BExXNWYB165VO9MHARCL5WLCHWS0" localSheetId="0" hidden="1">#REF!</definedName>
    <definedName name="BExXO278QHQN8JDK5425EJ615ECC" localSheetId="0" hidden="1">#REF!</definedName>
    <definedName name="BExXOBHOP0WGFHI2Y9AO4L440UVQ" localSheetId="0" hidden="1">#REF!</definedName>
    <definedName name="BExXOHSAD2NSHOLLMZ2JWA4I3I1R" localSheetId="0" hidden="1">#REF!</definedName>
    <definedName name="BExXP80B5FGA00JCM7UXKPI3PB7Y" localSheetId="0" hidden="1">#REF!</definedName>
    <definedName name="BExXP85M4WXYVN1UVHUTOEKEG5XS" localSheetId="0" hidden="1">#REF!</definedName>
    <definedName name="BExXPELOTHOAG0OWILLAH94OZV5J" localSheetId="0" hidden="1">#REF!</definedName>
    <definedName name="BExXPS31W1VD2NMIE4E37LHVDF0L" localSheetId="0" hidden="1">#REF!</definedName>
    <definedName name="BExXPZKYEMVF5JOC14HYOOYQK6JK" localSheetId="0" hidden="1">#REF!</definedName>
    <definedName name="BExXQ89PA10X79WBWOEP1AJX1OQM" localSheetId="0" hidden="1">#REF!</definedName>
    <definedName name="BExXQCGQGGYSI0LTRVR73MUO50AW" localSheetId="0" hidden="1">#REF!</definedName>
    <definedName name="BExXQEEXFHDQ8DSRAJSB5ET6J004" localSheetId="0" hidden="1">#REF!</definedName>
    <definedName name="BExXQH41O5HZAH8BO6HCFY8YC3TU" localSheetId="0" hidden="1">#REF!</definedName>
    <definedName name="BExXQIRBLQSLAJTFL7224FCFUTKH" localSheetId="0" hidden="1">#REF!</definedName>
    <definedName name="BExXQJIEF5R3QQ6D8HO3NGPU0IQC" localSheetId="0" hidden="1">#REF!</definedName>
    <definedName name="BExXQU00K9ER4I1WM7T9J0W1E7ZC" localSheetId="0" hidden="1">#REF!</definedName>
    <definedName name="BExXQU00KOR7XLM8B13DGJ1MIQDY" localSheetId="0" hidden="1">#REF!</definedName>
    <definedName name="BExXQXG18PS8HGBOS03OSTQ0KEYC" localSheetId="0" hidden="1">#REF!</definedName>
    <definedName name="BExXQXQT4OAFQT5B0YB3USDJOJOB" localSheetId="0" hidden="1">#REF!</definedName>
    <definedName name="BExXR3FSEXAHSXEQNJORWFCPX86N" localSheetId="0" hidden="1">#REF!</definedName>
    <definedName name="BExXR3W3FKYQBLR299HO9RZ70C43" localSheetId="0" hidden="1">#REF!</definedName>
    <definedName name="BExXR46U23CRRBV6IZT982MAEQKI" localSheetId="0" hidden="1">#REF!</definedName>
    <definedName name="BExXR8OKAVX7O70V5IYG2PRKXSTI" localSheetId="0" hidden="1">#REF!</definedName>
    <definedName name="BExXRA6N6XCLQM6XDV724ZIH6G93" localSheetId="0" hidden="1">#REF!</definedName>
    <definedName name="BExXRABZ1CNKCG6K1MR6OUFHF7J9" localSheetId="0" hidden="1">#REF!</definedName>
    <definedName name="BExXRBOFETC0OTJ6WY3VPMFH03VB" localSheetId="0" hidden="1">#REF!</definedName>
    <definedName name="BExXRD13K1S9Y3JGR7CXSONT7RJZ" localSheetId="0" hidden="1">#REF!</definedName>
    <definedName name="BExXRIFB4QQ87QIGA9AG0NXP577K" localSheetId="0" hidden="1">#REF!</definedName>
    <definedName name="BExXRIQ2JF2CVTRDQX2D9SPH7FTN" localSheetId="0" hidden="1">#REF!</definedName>
    <definedName name="BExXRO4A6VUH1F4XV8N1BRJ4896W" localSheetId="0" hidden="1">#REF!</definedName>
    <definedName name="BExXRO9N1SNJZGKD90P4K7FU1J0P" localSheetId="0" hidden="1">#REF!</definedName>
    <definedName name="BExXRV5QP3Z0KAQ1EQT9JYT2FV0L" localSheetId="0" hidden="1">#REF!</definedName>
    <definedName name="BExXRZ20LZZCW8LVGDK0XETOTSAI" localSheetId="0" hidden="1">#REF!</definedName>
    <definedName name="BExXRZNM651EJ5HJPGKGTVYLAZQ1" localSheetId="0" hidden="1">#REF!</definedName>
    <definedName name="BExXS63O4OMWMNXXAODZQFSDG33N" localSheetId="0" hidden="1">#REF!</definedName>
    <definedName name="BExXSBSP1TOY051HSPEPM0AEIO2M" localSheetId="0" hidden="1">#REF!</definedName>
    <definedName name="BExXSC8RFK5D68FJD2HI4K66SA6I" localSheetId="0" hidden="1">#REF!</definedName>
    <definedName name="BExXSNHC88W4UMXEOIOOATJAIKZO" localSheetId="0" hidden="1">#REF!</definedName>
    <definedName name="BExXSTBS08WIA9TLALV3UQ2Z3MRG" localSheetId="0" hidden="1">#REF!</definedName>
    <definedName name="BExXSVQ2WOJJ73YEO8Q2FK60V4G8" localSheetId="0" hidden="1">#REF!</definedName>
    <definedName name="BExXTHLRNL82GN7KZY3TOLO508N7" localSheetId="0" hidden="1">#REF!</definedName>
    <definedName name="BExXTL72MKEQSQH9L2OTFLU8DM2B" localSheetId="0" hidden="1">#REF!</definedName>
    <definedName name="BExXTM3M4RTCRSX7VGAXGQNPP668" localSheetId="0" hidden="1">#REF!</definedName>
    <definedName name="BExXTOCF78J7WY6FOVBRY1N2RBBR" localSheetId="0" hidden="1">#REF!</definedName>
    <definedName name="BExXTP3GYO6Z9RTKKT10XA0UTV3T" localSheetId="0" hidden="1">#REF!</definedName>
    <definedName name="BExXTZKZ4CG92ZQLIRKEXXH9BFIR" localSheetId="0" hidden="1">#REF!</definedName>
    <definedName name="BExXU4J2BM2964GD5UZHM752Q4NS" localSheetId="0" hidden="1">#REF!</definedName>
    <definedName name="BExXU6XDTT7RM93KILIDEYPA9XKF" localSheetId="0" hidden="1">#REF!</definedName>
    <definedName name="BExXU8VLZA7WLPZ3RAQZGNERUD26" localSheetId="0" hidden="1">#REF!</definedName>
    <definedName name="BExXUB9RSLSCNN5ETLXY72DAPZZM" localSheetId="0" hidden="1">#REF!</definedName>
    <definedName name="BExXUFRM82XQIN2T8KGLDQL1IBQW" localSheetId="0" hidden="1">#REF!</definedName>
    <definedName name="BExXUQEQBF6FI240ZGIF9YXZSRAU" localSheetId="0" hidden="1">#REF!</definedName>
    <definedName name="BExXUYND6EJO7CJ5KRICV4O1JNWK" localSheetId="0" hidden="1">#REF!</definedName>
    <definedName name="BExXV6FWG4H3S2QEUJZYIXILNGJ7" localSheetId="0" hidden="1">#REF!</definedName>
    <definedName name="BExXVK87BMMO6LHKV0CFDNIQVIBS" localSheetId="0" hidden="1">#REF!</definedName>
    <definedName name="BExXVKZ9WXPGL6IVY6T61IDD771I" localSheetId="0" hidden="1">#REF!</definedName>
    <definedName name="BExXW0K72T1Y8K1I4VZT87UY9S2G" localSheetId="0" hidden="1">#REF!</definedName>
    <definedName name="BExXW27MMXHXUXX78SDTBE1JYTHT" localSheetId="0" hidden="1">#REF!</definedName>
    <definedName name="BExXW2YIM2MYBSHRIX0RP9D4PRMN" localSheetId="0" hidden="1">#REF!</definedName>
    <definedName name="BExXWBNE4KTFSXKVSRF6WX039WPB" localSheetId="0" hidden="1">#REF!</definedName>
    <definedName name="BExXWFP5AYE7EHYTJWBZSQ8PQ0YX" localSheetId="0" hidden="1">#REF!</definedName>
    <definedName name="BExXWVFIBQT8OY1O41FRFPFGXQHK" localSheetId="0" hidden="1">#REF!</definedName>
    <definedName name="BExXWWXHBZHA9J3N8K47F84X0M0L" localSheetId="0" hidden="1">#REF!</definedName>
    <definedName name="BExXXBM521DL8R4ZX7NZ3DBCUOR5" localSheetId="0" hidden="1">#REF!</definedName>
    <definedName name="BExXXC7OZI33XZ03NRMEP7VRLQK4" localSheetId="0" hidden="1">#REF!</definedName>
    <definedName name="BExXXH5N3NKBQ7BCJPJTBF8CYM2Q" localSheetId="0" hidden="1">#REF!</definedName>
    <definedName name="BExXXKWLM4D541BH6O8GOJMHFHMW" localSheetId="0" hidden="1">#REF!</definedName>
    <definedName name="BExXXPPA1Q87XPI97X0OXCPBPDON" localSheetId="0" hidden="1">#REF!</definedName>
    <definedName name="BExXXVUDA98IZTQ6MANKU4MTTDVR" localSheetId="0" hidden="1">#REF!</definedName>
    <definedName name="BExXXZQNZY6IZI45DJXJK0MQZWA7" localSheetId="0" hidden="1">#REF!</definedName>
    <definedName name="BExXY5QFG6QP94SFT3935OBM8Y4K" localSheetId="0" hidden="1">#REF!</definedName>
    <definedName name="BExXY7TYEBFXRYUYIFHTN65RJ8EW" localSheetId="0" hidden="1">#REF!</definedName>
    <definedName name="BExXYLBHANUXC5FCTDDTGOVD3GQS" localSheetId="0" hidden="1">#REF!</definedName>
    <definedName name="BExXYMNYAYH3WA2ZCFAYKZID9ZCI" localSheetId="0" hidden="1">#REF!</definedName>
    <definedName name="BExXYYT12SVN2VDMLVNV4P3ISD8T" localSheetId="0" hidden="1">#REF!</definedName>
    <definedName name="BExXZEDWUYH25UZMW2QU2RXFILJE" localSheetId="0" hidden="1">#REF!</definedName>
    <definedName name="BExXZFVV4YB42AZ3H1I40YG3JAPU" localSheetId="0" hidden="1">#REF!</definedName>
    <definedName name="BExXZHJ9T2JELF12CHHGD54J1B0C" localSheetId="0" hidden="1">#REF!</definedName>
    <definedName name="BExXZNJ2X1TK2LRK5ZY3MX49H5T7" localSheetId="0" hidden="1">#REF!</definedName>
    <definedName name="BExXZOVPCEP495TQSON6PSRQ8XCY" localSheetId="0" hidden="1">#REF!</definedName>
    <definedName name="BExXZXKH7NBARQQAZM69Z57IH1MM" localSheetId="0" hidden="1">#REF!</definedName>
    <definedName name="BExY07WSDH5QEVM7BJXJK2ZRAI1O" localSheetId="0" hidden="1">#REF!</definedName>
    <definedName name="BExY0C3UBVC4M59JIRXVQ8OWAJC1" localSheetId="0" hidden="1">#REF!</definedName>
    <definedName name="BExY0OE8GFHMLLTEAFIOQTOPEVPB" localSheetId="0" hidden="1">#REF!</definedName>
    <definedName name="BExY0OJHW85S0VKBA8T4HTYPYBOS" localSheetId="0" hidden="1">#REF!</definedName>
    <definedName name="BExY0T1E034D7XAXNC6F7540LLIE" localSheetId="0" hidden="1">#REF!</definedName>
    <definedName name="BExY0XTZLHN49J2JH94BYTKBJLT3" localSheetId="0" hidden="1">#REF!</definedName>
    <definedName name="BExY11FH9TXHERUYGG8FE50U7H7J" localSheetId="0" hidden="1">#REF!</definedName>
    <definedName name="BExY180UKNW5NIAWD6ZUYTFEH8QS" localSheetId="0" hidden="1">#REF!</definedName>
    <definedName name="BExY1DPTV4LSY9MEOUGXF8X052NA" localSheetId="0" hidden="1">#REF!</definedName>
    <definedName name="BExY1GK9ELBEKDD7O6HR6DUO8YGO" localSheetId="0" hidden="1">#REF!</definedName>
    <definedName name="BExY1NWOXXFV9GGZ3PX444LZ8TVX" localSheetId="0" hidden="1">#REF!</definedName>
    <definedName name="BExY1UCL0RND63LLSM9X5SFRG117" localSheetId="0" hidden="1">#REF!</definedName>
    <definedName name="BExY1WAT3937L08HLHIRQHMP2A3H" localSheetId="0" hidden="1">#REF!</definedName>
    <definedName name="BExY1YEBOSLMID7LURP8QB46AI91" localSheetId="0" hidden="1">#REF!</definedName>
    <definedName name="BExY2FS4LFX9OHOTQT7SJ2PXAC25" localSheetId="0" hidden="1">#REF!</definedName>
    <definedName name="BExY2GDPCZPVU0IQ6IJIB1YQQRQ6" localSheetId="0" hidden="1">#REF!</definedName>
    <definedName name="BExY2GTSZ3VA9TXLY7KW1LIAKJ61" localSheetId="0" hidden="1">#REF!</definedName>
    <definedName name="BExY2IXBR1SGYZH08T7QHKEFS8HA" localSheetId="0" hidden="1">#REF!</definedName>
    <definedName name="BExY2Q4B5FUDA5VU4VRUHX327QN0" localSheetId="0" hidden="1">#REF!</definedName>
    <definedName name="BExY3HOSK7YI364K15OX70AVR6F1" localSheetId="0" hidden="1">#REF!</definedName>
    <definedName name="BExY3T89AUR83SOAZZ3OMDEJDQ39" localSheetId="0" hidden="1">#REF!</definedName>
    <definedName name="BExY4MG771JQ84EMIVB6HQGGHZY7" localSheetId="0" hidden="1">#REF!</definedName>
    <definedName name="BExY4PWCSFB8P3J3TBQB2MD67263" localSheetId="0" hidden="1">#REF!</definedName>
    <definedName name="BExY4RZW3KK11JLYBA4DWZ92M6LQ" localSheetId="0" hidden="1">#REF!</definedName>
    <definedName name="BExY4XOVTTNVZ577RLIEC7NZQFIX" localSheetId="0" hidden="1">#REF!</definedName>
    <definedName name="BExY50JAF5CG01GTHAUS7I4ZLUDC" localSheetId="0" hidden="1">#REF!</definedName>
    <definedName name="BExY53J7EXFEOFTRNAHLK7IH3ACB" localSheetId="0" hidden="1">#REF!</definedName>
    <definedName name="BExY5515SJTJS3VM80M3YYR0WF37" localSheetId="0" hidden="1">#REF!</definedName>
    <definedName name="BExY5515WE39FQ3EG5QHG67V9C0O" localSheetId="0" hidden="1">#REF!</definedName>
    <definedName name="BExY5986WNAD8NFCPXC9TVLBU4FG" localSheetId="0" hidden="1">#REF!</definedName>
    <definedName name="BExY5DF9MS25IFNWGJ1YAS5MDN8R" localSheetId="0" hidden="1">#REF!</definedName>
    <definedName name="BExY5ERVGL3UM2MGT8LJ0XPKTZEK" localSheetId="0" hidden="1">#REF!</definedName>
    <definedName name="BExY5EX6NJFK8W754ZVZDN5DS04K" localSheetId="0" hidden="1">#REF!</definedName>
    <definedName name="BExY5S3XD1NJT109CV54IFOHVLQ6" localSheetId="0" hidden="1">#REF!</definedName>
    <definedName name="BExY5TB2VAI3GHKCPXMCVIOM8B8W" localSheetId="0" hidden="1">#REF!</definedName>
    <definedName name="BExY6KVS1MMZ2R34PGEFR2BMTU9W" localSheetId="0" hidden="1">#REF!</definedName>
    <definedName name="BExY6Q9YY7LW745GP7CYOGGSPHGE" localSheetId="0" hidden="1">#REF!</definedName>
    <definedName name="BExZIA3C8LKJTEH3MKQ57KJH5TA2" localSheetId="0" hidden="1">#REF!</definedName>
    <definedName name="BExZIIHH3QNQE3GFMHEE4UMHY6WQ" localSheetId="0" hidden="1">#REF!</definedName>
    <definedName name="BExZIYO22G5UXOB42GDLYGVRJ6U7" localSheetId="0" hidden="1">#REF!</definedName>
    <definedName name="BExZJ7I9T8XU4MZRKJ1VVU76V2LZ" localSheetId="0" hidden="1">#REF!</definedName>
    <definedName name="BExZJMY170JCUU1RWASNZ1HJPRTA" localSheetId="0" hidden="1">#REF!</definedName>
    <definedName name="BExZJOQR77H0P4SUKVYACDCFBBXO" localSheetId="0" hidden="1">#REF!</definedName>
    <definedName name="BExZJS6RG34ODDY9HMZ0O34MEMSB" localSheetId="0" hidden="1">#REF!</definedName>
    <definedName name="BExZK34NR4BAD7HJAP7SQ926UQP3" localSheetId="0" hidden="1">#REF!</definedName>
    <definedName name="BExZK3FGPHH5H771U7D5XY7XBS6E" localSheetId="0" hidden="1">#REF!</definedName>
    <definedName name="BExZKHYORG3O8C772XPFHM1N8T80" localSheetId="0" hidden="1">#REF!</definedName>
    <definedName name="BExZKJRF2IRR57DG9CLC7MSHWNNN" localSheetId="0" hidden="1">#REF!</definedName>
    <definedName name="BExZKV5GYXO0X760SBD9TWTIQHGI" localSheetId="0" hidden="1">#REF!</definedName>
    <definedName name="BExZL6E4YVXRUN7ZGF2BIGIXFR8K" localSheetId="0" hidden="1">#REF!</definedName>
    <definedName name="BExZLGVLMKTPFXG42QYT0PO81G7F" localSheetId="0" hidden="1">#REF!</definedName>
    <definedName name="BExZLKMK7LRK14S09WLMH7MXSQXM" localSheetId="0" hidden="1">#REF!</definedName>
    <definedName name="BExZM7JVLG0W8EG5RBU915U3SKBY" localSheetId="0" hidden="1">#REF!</definedName>
    <definedName name="BExZM85FOVUFF110XMQ9O2ODSJUK" localSheetId="0" hidden="1">#REF!</definedName>
    <definedName name="BExZMF1MMTZ1TA14PZ8ASSU2CBSP" localSheetId="0" hidden="1">#REF!</definedName>
    <definedName name="BExZMKL5YQZD7F0FUCSVFGLPFK52" localSheetId="0" hidden="1">#REF!</definedName>
    <definedName name="BExZMOC3VNZALJM71X2T6FV91GTB" localSheetId="0" hidden="1">#REF!</definedName>
    <definedName name="BExZMXH39OB0I43XEL3K11U3G9PM" localSheetId="0" hidden="1">#REF!</definedName>
    <definedName name="BExZMZQ3RBKDHT5GLFNLS52OSJA0" localSheetId="0" hidden="1">#REF!</definedName>
    <definedName name="BExZN2F7Y2J2L2LN5WZRG949MS4A" localSheetId="0" hidden="1">#REF!</definedName>
    <definedName name="BExZN847WUWKRYTZWG9TCQZJS3OL" localSheetId="0" hidden="1">#REF!</definedName>
    <definedName name="BExZNH3VISFF4NQI11BZDP5IQ7VG" localSheetId="0" hidden="1">#REF!</definedName>
    <definedName name="BExZNJYCFYVMAOI62GB2BABK1ELE" localSheetId="0" hidden="1">#REF!</definedName>
    <definedName name="BExZNV707LIU6Z5H6QI6H67LHTI1" localSheetId="0" hidden="1">#REF!</definedName>
    <definedName name="BExZNVCBKB930QQ9QW7KSGOZ0V1M" localSheetId="0" hidden="1">#REF!</definedName>
    <definedName name="BExZNW8QJ18X0RSGFDWAE9ZSDX39" localSheetId="0" hidden="1">#REF!</definedName>
    <definedName name="BExZNZDWRS6Q40L8OCWFEIVI0A1O" localSheetId="0" hidden="1">#REF!</definedName>
    <definedName name="BExZOBO9NYLGVJQ31LVQ9XS2ZT4N" localSheetId="0" hidden="1">#REF!</definedName>
    <definedName name="BExZOETNB1CJ3Y2RKLI1ZK0S8Z6H" localSheetId="0" hidden="1">#REF!</definedName>
    <definedName name="BExZOL9K1RUXBTLZ6FJ65BIE9G5R" localSheetId="0" hidden="1">#REF!</definedName>
    <definedName name="BExZOREMVSK4E5VSWM838KHUB8AI" localSheetId="0" hidden="1">#REF!</definedName>
    <definedName name="BExZOVR745T5P1KS9NV2PXZPZVRG" localSheetId="0" hidden="1">#REF!</definedName>
    <definedName name="BExZOZSWGLSY2XYVRIS6VSNJDSGD" localSheetId="0" hidden="1">#REF!</definedName>
    <definedName name="BExZP7AIJKLM6C6CSUIIFAHFBNX2" localSheetId="0" hidden="1">#REF!</definedName>
    <definedName name="BExZPQ0XY507N8FJMVPKCTK8HC9H" localSheetId="0" hidden="1">#REF!</definedName>
    <definedName name="BExZQ37OVBR25U32CO2YYVPZOMR5" localSheetId="0" hidden="1">#REF!</definedName>
    <definedName name="BExZQ3IHNAFF2HI20IH754T349LH" localSheetId="0" hidden="1">#REF!</definedName>
    <definedName name="BExZQ3NT7H06VO0AR48WHZULZB93" localSheetId="0" hidden="1">#REF!</definedName>
    <definedName name="BExZQ7PJU07SEJMDX18U9YVDC2GU" localSheetId="0" hidden="1">#REF!</definedName>
    <definedName name="BExZQIHTGHK7OOI2Y2PN3JYBY82I" localSheetId="0" hidden="1">#REF!</definedName>
    <definedName name="BExZQJJMGU5MHQOILGXGJPAQI5XI" localSheetId="0" hidden="1">#REF!</definedName>
    <definedName name="BExZQXBYEBN28QUH1KOVW6KKA5UM" localSheetId="0" hidden="1">#REF!</definedName>
    <definedName name="BExZQZKT146WEN8FTVZ7Y5TSB8L5" localSheetId="0" hidden="1">#REF!</definedName>
    <definedName name="BExZR485AKBH93YZ08CMUC3WROED" localSheetId="0" hidden="1">#REF!</definedName>
    <definedName name="BExZR7TL98P2PPUVGIZYR5873DWW" localSheetId="0" hidden="1">#REF!</definedName>
    <definedName name="BExZRGD1603X5ACFALUUDKCD7X48" localSheetId="0" hidden="1">#REF!</definedName>
    <definedName name="BExZRP1X6UVLN1UOLHH5VF4STP1O" localSheetId="0" hidden="1">#REF!</definedName>
    <definedName name="BExZRQ930U6OCYNV00CH5I0Q4LPE" localSheetId="0" hidden="1">#REF!</definedName>
    <definedName name="BExZRW8W514W8OZ72YBONYJ64GXF" localSheetId="0" hidden="1">#REF!</definedName>
    <definedName name="BExZRWJP2BUVFJPO8U8ATQEP0LZU" localSheetId="0" hidden="1">#REF!</definedName>
    <definedName name="BExZS2OY9JTSSP01ZQ6V2T2LO5R9" localSheetId="0" hidden="1">#REF!</definedName>
    <definedName name="BExZSI9USDLZAN8LI8M4YYQL24GZ" localSheetId="0" hidden="1">#REF!</definedName>
    <definedName name="BExZSS0LA2JY4ZLJ1Z5YCMLJJZCH" localSheetId="0" hidden="1">#REF!</definedName>
    <definedName name="BExZTAQV2QVSZY5Y3VCCWUBSBW9P" localSheetId="0" hidden="1">#REF!</definedName>
    <definedName name="BExZTHSI2FX56PWRSNX9H5EWTZFO" localSheetId="0" hidden="1">#REF!</definedName>
    <definedName name="BExZTJL3HVBFY139H6CJHEQCT1EL" localSheetId="0" hidden="1">#REF!</definedName>
    <definedName name="BExZTLOL8OPABZI453E0KVNA1GJS" localSheetId="0" hidden="1">#REF!</definedName>
    <definedName name="BExZTT6J3X0TOX0ZY6YPLUVMCW9X" localSheetId="0" hidden="1">#REF!</definedName>
    <definedName name="BExZTW6ECBRA0BBITWBQ8R93RMCL" localSheetId="0" hidden="1">#REF!</definedName>
    <definedName name="BExZU2BHYAOKSCBM3C5014ZF6IXS" localSheetId="0" hidden="1">#REF!</definedName>
    <definedName name="BExZU2RMJTXOCS0ROPMYPE6WTD87" localSheetId="0" hidden="1">#REF!</definedName>
    <definedName name="BExZUF7G8FENTJKH9R1XUWXM6CWD" localSheetId="0" hidden="1">#REF!</definedName>
    <definedName name="BExZUNARUJBIZ08VCAV3GEVBIR3D" localSheetId="0" hidden="1">#REF!</definedName>
    <definedName name="BExZUSZT5496UMBP4LFSLTR1GVEW" localSheetId="0" hidden="1">#REF!</definedName>
    <definedName name="BExZUT54340I38GVCV79EL116WR0" localSheetId="0" hidden="1">#REF!</definedName>
    <definedName name="BExZUYDULCX65H9OZ9JHPBNKF3MI" localSheetId="0" hidden="1">#REF!</definedName>
    <definedName name="BExZV2QD5ZDK3AGDRULLA7JB46C3" localSheetId="0" hidden="1">#REF!</definedName>
    <definedName name="BExZVBQ29OM0V8XAL3HL0JIM0MMU" localSheetId="0" hidden="1">#REF!</definedName>
    <definedName name="BExZVEPYS6HYXG8RN9GMWZTHDEMK" localSheetId="0" hidden="1">#REF!</definedName>
    <definedName name="BExZVLM4T9ORS4ZWHME46U4Q103C" localSheetId="0" hidden="1">#REF!</definedName>
    <definedName name="BExZVM7OZWPPRH5YQW50EYMMIW1A" localSheetId="0" hidden="1">#REF!</definedName>
    <definedName name="BExZVPYGX2C5OSHMZ6F0KBKZ6B1S" localSheetId="0" hidden="1">#REF!</definedName>
    <definedName name="BExZW5UARC8W9AQNLJX2I5WQWS5F" localSheetId="0" hidden="1">#REF!</definedName>
    <definedName name="BExZW7HRGN6A9YS41KI2B2UUMJ7X" localSheetId="0" hidden="1">#REF!</definedName>
    <definedName name="BExZW8ZPNV43UXGOT98FDNIBQHZY" localSheetId="0" hidden="1">#REF!</definedName>
    <definedName name="BExZWKZ5N3RDXU8MZ8HQVYYD8O0F" localSheetId="0" hidden="1">#REF!</definedName>
    <definedName name="BExZWSMC9T48W74GFGQCIUJ8ZPP3" localSheetId="0" hidden="1">#REF!</definedName>
    <definedName name="BExZWUF2V4HY3HI8JN9ZVPRWK1H3" localSheetId="0" hidden="1">#REF!</definedName>
    <definedName name="BExZWX45URTK9KYDJHEXL1OTZ833" localSheetId="0" hidden="1">#REF!</definedName>
    <definedName name="BExZX0EWQEZO86WDAD9A4EAEZ012" localSheetId="0" hidden="1">#REF!</definedName>
    <definedName name="BExZX2T6ZT2DZLYSDJJBPVIT5OK2" localSheetId="0" hidden="1">#REF!</definedName>
    <definedName name="BExZXOJDELULNLEH7WG0OYJT0NJ4" localSheetId="0" hidden="1">#REF!</definedName>
    <definedName name="BExZXOOTRNUK8LGEAZ8ZCFW9KXQ1" localSheetId="0" hidden="1">#REF!</definedName>
    <definedName name="BExZXT6JOXNKEDU23DKL8XZAJZIH" localSheetId="0" hidden="1">#REF!</definedName>
    <definedName name="BExZXUTYW1HWEEZ1LIX4OQWC7HL1" localSheetId="0" hidden="1">#REF!</definedName>
    <definedName name="BExZXY4NKQL9QD76YMQJ15U1C2G8" localSheetId="0" hidden="1">#REF!</definedName>
    <definedName name="BExZXYQ7U5G08FQGUIGYT14QCBOF" localSheetId="0" hidden="1">#REF!</definedName>
    <definedName name="BExZY02V77YJBMODJSWZOYCMPS5X" localSheetId="0" hidden="1">#REF!</definedName>
    <definedName name="BExZY49QRZIR6CA41LFA9LM6EULU" localSheetId="0" hidden="1">#REF!</definedName>
    <definedName name="BExZZ2FQA9A8C7CJKMEFQ9VPSLCE" localSheetId="0" hidden="1">#REF!</definedName>
    <definedName name="BExZZCHAVHW8C2H649KRGVQ0WVRT" localSheetId="0" hidden="1">#REF!</definedName>
    <definedName name="BExZZTK54OTLF2YB68BHGOS27GEN" localSheetId="0" hidden="1">#REF!</definedName>
    <definedName name="BExZZXB3JQQG4SIZS4MRU6NNW7HI" localSheetId="0" hidden="1">#REF!</definedName>
    <definedName name="BExZZZEMIIFKMLLV4DJKX5TB9R5V" localSheetId="0" hidden="1">#REF!</definedName>
    <definedName name="BI" localSheetId="0" hidden="1">{#N/A,#N/A,FALSE,"이태원철근"}</definedName>
    <definedName name="BLPH8" localSheetId="0" hidden="1">#REF!</definedName>
    <definedName name="BT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U별" localSheetId="0" hidden="1">{#N/A,#N/A,FALSE,"동부"}</definedName>
    <definedName name="bv" localSheetId="0" hidden="1">{#N/A,#N/A,FALSE,"1.CRITERIA";#N/A,#N/A,FALSE,"2.IS";#N/A,#N/A,FALSE,"3.BS";#N/A,#N/A,FALSE,"4.PER PL";#N/A,#N/A,FALSE,"5.INVESTMENT";#N/A,#N/A,FALSE,"6.공문";#N/A,#N/A,FALSE,"7.netinvest"}</definedName>
    <definedName name="cf" localSheetId="0" hidden="1">#REF!</definedName>
    <definedName name="CF요인" localSheetId="0" hidden="1">#REF!</definedName>
    <definedName name="CIQWBGuid" localSheetId="0" hidden="1">"34be0885-4498-4c4a-b11b-456fc50160cc"</definedName>
    <definedName name="COSTT" localSheetId="0" hidden="1">#REF!</definedName>
    <definedName name="CY2007년" localSheetId="0" hidden="1">{#N/A,#N/A,FALSE,"97년 투자계획 세부내역 "}</definedName>
    <definedName name="dd" localSheetId="0" hidden="1">#REF!</definedName>
    <definedName name="dddd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d" localSheetId="0" hidden="1">#REF!</definedName>
    <definedName name="DDDDDDDDDD" localSheetId="0" hidden="1">{#N/A,#N/A,TRUE,"Y생산";#N/A,#N/A,TRUE,"Y판매";#N/A,#N/A,TRUE,"Y총물량";#N/A,#N/A,TRUE,"Y능력";#N/A,#N/A,TRUE,"YKD"}</definedName>
    <definedName name="ddffkhj" localSheetId="0" hidden="1">[1]sheet6!#REF!</definedName>
    <definedName name="DF" localSheetId="0" hidden="1">{#N/A,#N/A,FALSE,"Aging Summary";#N/A,#N/A,FALSE,"Ratio Analysis";#N/A,#N/A,FALSE,"Test 120 Day Accts";#N/A,#N/A,FALSE,"Tickmarks"}</definedName>
    <definedName name="dfakdf" localSheetId="0" hidden="1">#REF!</definedName>
    <definedName name="DFDF" localSheetId="0" hidden="1">{#N/A,#N/A,FALSE,"Aging Summary";#N/A,#N/A,FALSE,"Ratio Analysis";#N/A,#N/A,FALSE,"Test 120 Day Accts";#N/A,#N/A,FALSE,"Tickmarks"}</definedName>
    <definedName name="DFL" localSheetId="0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IV" localSheetId="0" hidden="1">{#N/A,#N/A,FALSE,"97년 투자계획 세부내역 "}</definedName>
    <definedName name="DJQAN" localSheetId="0" hidden="1">{#N/A,#N/A,TRUE,"대 차 대 조 표"}</definedName>
    <definedName name="DL" localSheetId="0" hidden="1">#REF!</definedName>
    <definedName name="DNFL" localSheetId="0" hidden="1">{#N/A,#N/A,FALSE,"동부"}</definedName>
    <definedName name="DPFLSDPFL" localSheetId="0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sfkljsd" localSheetId="0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gsdgsd" localSheetId="0" hidden="1">{#N/A,#N/A,FALSE,"5YRASSPl - consol'd";#N/A,#N/A,FALSE,"5YRASSPl - hotel";#N/A,#N/A,FALSE,"5YRASSPl - excl htl";#N/A,#N/A,FALSE,"VarReport";#N/A,#N/A,FALSE,"Sensitivity";#N/A,#N/A,FALSE,"House View ";#N/A,#N/A,FALSE,"KPI"}</definedName>
    <definedName name="EDEEEE" localSheetId="0" hidden="1">#REF!</definedName>
    <definedName name="efzd4" localSheetId="0" hidden="1">#REF!</definedName>
    <definedName name="ELSK" localSheetId="0" hidden="1">{#N/A,#N/A,FALSE,"1.CRITERIA";#N/A,#N/A,FALSE,"2.IS";#N/A,#N/A,FALSE,"3.BS";#N/A,#N/A,FALSE,"4.PER PL";#N/A,#N/A,FALSE,"5.INVESTMENT";#N/A,#N/A,FALSE,"6.공문";#N/A,#N/A,FALSE,"7.netinvest"}</definedName>
    <definedName name="fasdfd" localSheetId="0" hidden="1">#REF!</definedName>
    <definedName name="FD" localSheetId="0" hidden="1">{#N/A,#N/A,FALSE,"Aging Summary";#N/A,#N/A,FALSE,"Ratio Analysis";#N/A,#N/A,FALSE,"Test 120 Day Accts";#N/A,#N/A,FALSE,"Tickmarks"}</definedName>
    <definedName name="FDFD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P_0_1_aSrv" localSheetId="0" hidden="1">#REF!</definedName>
    <definedName name="FDP_100_1_aSrv" localSheetId="0" hidden="1">#REF!</definedName>
    <definedName name="FDP_101_1_aSrv" localSheetId="0" hidden="1">#REF!</definedName>
    <definedName name="FDP_102_1_aSrv" localSheetId="0" hidden="1">#REF!</definedName>
    <definedName name="FDP_103_1_aSrv" localSheetId="0" hidden="1">#REF!</definedName>
    <definedName name="FDP_104_1_aSrv" localSheetId="0" hidden="1">#REF!</definedName>
    <definedName name="FDP_12_1_aDrv" localSheetId="0" hidden="1">#REF!</definedName>
    <definedName name="FDP_13_1_aDrv" localSheetId="0" hidden="1">#REF!</definedName>
    <definedName name="FDP_14_1_aDrv" localSheetId="0" hidden="1">#REF!</definedName>
    <definedName name="FDP_15_1_aUrv" localSheetId="0" hidden="1">#REF!</definedName>
    <definedName name="FDP_17_1_aSrv" localSheetId="0" hidden="1">#REF!</definedName>
    <definedName name="FDP_19_1_aDrv" localSheetId="0" hidden="1">#REF!</definedName>
    <definedName name="FDP_2_1_aSrv" localSheetId="0" hidden="1">#REF!</definedName>
    <definedName name="FDP_20_1_aDrv" localSheetId="0" hidden="1">#REF!</definedName>
    <definedName name="FDP_21_1_aDrv" localSheetId="0" hidden="1">#REF!</definedName>
    <definedName name="FDP_22_1_aDrv" localSheetId="0" hidden="1">#REF!</definedName>
    <definedName name="FDP_23_1_aDrv" localSheetId="0" hidden="1">#REF!</definedName>
    <definedName name="FDP_24_1_aDrv" localSheetId="0" hidden="1">#REF!</definedName>
    <definedName name="FDP_25_1_aUrv" localSheetId="0" hidden="1">#REF!</definedName>
    <definedName name="FDP_26_1_aSrv" localSheetId="0" hidden="1">#REF!</definedName>
    <definedName name="FDP_27_1_aUrv" localSheetId="0" hidden="1">#REF!</definedName>
    <definedName name="FDP_28_1_aUrv" localSheetId="0" hidden="1">#REF!</definedName>
    <definedName name="FDP_29_1_aUrv" localSheetId="0" hidden="1">#REF!</definedName>
    <definedName name="FDP_30_1_aUrv" localSheetId="0" hidden="1">#REF!</definedName>
    <definedName name="FDP_31_1_aUrv" localSheetId="0" hidden="1">#REF!</definedName>
    <definedName name="FDP_32_1_aUrv" localSheetId="0" hidden="1">#REF!</definedName>
    <definedName name="FDP_33_1_aUrv" localSheetId="0" hidden="1">#REF!</definedName>
    <definedName name="FDP_34_1_aUrv" localSheetId="0" hidden="1">#REF!</definedName>
    <definedName name="FDP_35_1_aUrv" localSheetId="0" hidden="1">#REF!</definedName>
    <definedName name="FDP_36_1_aUrv" localSheetId="0" hidden="1">#REF!</definedName>
    <definedName name="FDP_37_1_aUrv" localSheetId="0" hidden="1">#REF!</definedName>
    <definedName name="FDP_38_1_aUrv" localSheetId="0" hidden="1">#REF!</definedName>
    <definedName name="FDP_39_1_aUrv" localSheetId="0" hidden="1">#REF!</definedName>
    <definedName name="FDP_4_1_aSrv" localSheetId="0" hidden="1">#REF!</definedName>
    <definedName name="FDP_40_1_aUrv" localSheetId="0" hidden="1">#REF!</definedName>
    <definedName name="FDP_50_1_aDrv" localSheetId="0" hidden="1">#REF!</definedName>
    <definedName name="FDP_51_1_aDrv" localSheetId="0" hidden="1">#REF!</definedName>
    <definedName name="FDP_52_1_aDrv" localSheetId="0" hidden="1">#REF!</definedName>
    <definedName name="FDP_53_1_aUrv" localSheetId="0" hidden="1">#REF!</definedName>
    <definedName name="FDP_54_1_aUrv" localSheetId="0" hidden="1">#REF!</definedName>
    <definedName name="FDP_57_1_aSrv" localSheetId="0" hidden="1">#REF!</definedName>
    <definedName name="FDP_59_1_aUrv" localSheetId="0" hidden="1">#REF!</definedName>
    <definedName name="FDP_60_1_aUrv" localSheetId="0" hidden="1">#REF!</definedName>
    <definedName name="FDP_61_1_aSrv" localSheetId="0" hidden="1">#REF!</definedName>
    <definedName name="FDP_62_1_aDrv" localSheetId="0" hidden="1">#REF!</definedName>
    <definedName name="FDP_63_1_aUrv" localSheetId="0" hidden="1">#REF!</definedName>
    <definedName name="FDP_64_1_aUrv" localSheetId="0" hidden="1">#REF!</definedName>
    <definedName name="FDP_65_1_aUrv" localSheetId="0" hidden="1">#REF!</definedName>
    <definedName name="FDP_66_1_aUrv" localSheetId="0" hidden="1">#REF!</definedName>
    <definedName name="FDP_67_1_aDrv" localSheetId="0" hidden="1">#REF!</definedName>
    <definedName name="FDP_68_1_aUrv" localSheetId="0" hidden="1">#REF!</definedName>
    <definedName name="FDP_69_1_aUrv" localSheetId="0" hidden="1">#REF!</definedName>
    <definedName name="FDP_70_1_aUrv" localSheetId="0" hidden="1">#REF!</definedName>
    <definedName name="FDP_71_1_aDrv" localSheetId="0" hidden="1">#REF!</definedName>
    <definedName name="FDP_72_1_aDrv" localSheetId="0" hidden="1">#REF!</definedName>
    <definedName name="FDP_73_1_aDrv" localSheetId="0" hidden="1">#REF!</definedName>
    <definedName name="FDP_74_1_aDrv" localSheetId="0" hidden="1">#REF!</definedName>
    <definedName name="FDP_75_1_aUrv" localSheetId="0" hidden="1">#REF!</definedName>
    <definedName name="FDP_76_1_aUrv" localSheetId="0" hidden="1">#REF!</definedName>
    <definedName name="FDP_77_1_aDrv" localSheetId="0" hidden="1">#REF!</definedName>
    <definedName name="FDP_78_1_aUrv" localSheetId="0" hidden="1">#REF!</definedName>
    <definedName name="FDP_79_1_aUrv" localSheetId="0" hidden="1">#REF!</definedName>
    <definedName name="FDP_80_1_aDrv" localSheetId="0" hidden="1">#REF!</definedName>
    <definedName name="FDP_81_1_aSrv" localSheetId="0" hidden="1">#REF!</definedName>
    <definedName name="FDP_82_1_aUrv" localSheetId="0" hidden="1">#REF!</definedName>
    <definedName name="FDP_83_1_aDrv" localSheetId="0" hidden="1">#REF!</definedName>
    <definedName name="FDP_84_1_aDrv" localSheetId="0" hidden="1">#REF!</definedName>
    <definedName name="FDP_85_1_aDrv" localSheetId="0" hidden="1">#REF!</definedName>
    <definedName name="FDP_86_1_aDrv" localSheetId="0" hidden="1">#REF!</definedName>
    <definedName name="FDP_87_1_aDrv" localSheetId="0" hidden="1">#REF!</definedName>
    <definedName name="FDP_88_1_aDrv" localSheetId="0" hidden="1">#REF!</definedName>
    <definedName name="FDP_89_1_aDrv" localSheetId="0" hidden="1">#REF!</definedName>
    <definedName name="FDP_90_1_aDrv" localSheetId="0" hidden="1">#REF!</definedName>
    <definedName name="FDP_91_1_aDrv" localSheetId="0" hidden="1">#REF!</definedName>
    <definedName name="FDP_92_1_aDrv" localSheetId="0" hidden="1">#REF!</definedName>
    <definedName name="FDP_93_1_aSrv" localSheetId="0" hidden="1">#REF!</definedName>
    <definedName name="FDP_94_1_aSrv" localSheetId="0" hidden="1">#REF!</definedName>
    <definedName name="FDP_95_1_aSrv" localSheetId="0" hidden="1">#REF!</definedName>
    <definedName name="FDP_96_1_aSrv" localSheetId="0" hidden="1">#REF!</definedName>
    <definedName name="FDP_97_1_aUrv" localSheetId="0" hidden="1">#REF!</definedName>
    <definedName name="FDP_98_1_aSrv" localSheetId="0" hidden="1">#REF!</definedName>
    <definedName name="FDP_99_1_aSrv" localSheetId="0" hidden="1">#REF!</definedName>
    <definedName name="ff" localSheetId="0" hidden="1">'[16]Initial Input Variable'!#REF!</definedName>
    <definedName name="fh" localSheetId="0" hidden="1">#REF!</definedName>
    <definedName name="fill" localSheetId="0" hidden="1">'[17]Sheet3 (2)'!$A$60:$A$76</definedName>
    <definedName name="FM계약일할" localSheetId="0" hidden="1">{#N/A,#N/A,TRUE,"대 차 대 조 표"}</definedName>
    <definedName name="fwewe" localSheetId="0" hidden="1">#REF!</definedName>
    <definedName name="geadagd344" localSheetId="0" hidden="1">#REF!</definedName>
    <definedName name="gfgdfg" localSheetId="0" hidden="1">'[18]점수계산1-2'!#REF!</definedName>
    <definedName name="ggg" localSheetId="0" hidden="1">#REF!</definedName>
    <definedName name="haha" localSheetId="0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g" localSheetId="0" hidden="1">#REF!</definedName>
    <definedName name="hgc" localSheetId="0" hidden="1">{#N/A,#N/A,TRUE,"대 차 대 조 표"}</definedName>
    <definedName name="hgkdj" localSheetId="0" hidden="1">{"AnnualRentRoll",#N/A,FALSE,"RentRoll"}</definedName>
    <definedName name="hgkdj_1" localSheetId="0" hidden="1">{"AnnualRentRoll",#N/A,FALSE,"RentRoll"}</definedName>
    <definedName name="HJ" localSheetId="0" hidden="1">#REF!</definedName>
    <definedName name="hjdg" localSheetId="0" hidden="1">{#N/A,#N/A,FALSE,"PropertyInfo"}</definedName>
    <definedName name="hjdg_1" localSheetId="0" hidden="1">{#N/A,#N/A,FALSE,"PropertyInfo"}</definedName>
    <definedName name="hsdhfsd" localSheetId="0" hidden="1">#REF!</definedName>
    <definedName name="HTML_CodePage" localSheetId="0" hidden="1">949</definedName>
    <definedName name="HTML_Control" localSheetId="0" hidden="1">{"'Firr(선)'!$AS$1:$AY$62","'Firr(사)'!$AS$1:$AY$62","'Firr(회)'!$AS$1:$AY$62","'Firr(선)'!$L$1:$V$62","'Firr(사)'!$L$1:$V$62","'Firr(회)'!$L$1:$V$62"}</definedName>
    <definedName name="HTML_Header" localSheetId="0" hidden="1">"8%"</definedName>
    <definedName name="HTML_LastUpdate" localSheetId="0" hidden="1">"2000-11-08"</definedName>
    <definedName name="HTML_LineAfter" localSheetId="0" hidden="1">FALSE</definedName>
    <definedName name="HTML_LineBefore" localSheetId="0" hidden="1">FALSE</definedName>
    <definedName name="HTML_Name" localSheetId="0" hidden="1">"이제찬"</definedName>
    <definedName name="HTML_OS" localSheetId="0" hidden="1">0</definedName>
    <definedName name="HTML_PathFile" localSheetId="0" hidden="1">"C:\My Documents\MyHTML.htm"</definedName>
    <definedName name="HTML_Title" localSheetId="0" hidden="1">"Firrsrwd"</definedName>
    <definedName name="HTML1_1" localSheetId="0" hidden="1">"'[98계획ⅱ.XLS]98총괄'!$A$2:$F$16"</definedName>
    <definedName name="HTML1_12" localSheetId="0" hidden="1">"C:\My Documents\cck\MyHTML.htm"</definedName>
    <definedName name="HTML1_3" localSheetId="0" hidden="1">"98계획ⅱ.XL"</definedName>
    <definedName name="HTML1_4" localSheetId="0" hidden="1">"98총괄"</definedName>
    <definedName name="HTML1_5" localSheetId="0" hidden="1">""</definedName>
    <definedName name="HTML1_6" localSheetId="0" hidden="1">1</definedName>
    <definedName name="HTML1_7" localSheetId="0" hidden="1">1</definedName>
    <definedName name="HTML1_8" localSheetId="0" hidden="1">"97-12-10"</definedName>
    <definedName name="HTML1_9" localSheetId="0" hidden="1">"hyogye01"</definedName>
    <definedName name="HTMLCount" localSheetId="0" hidden="1">1</definedName>
    <definedName name="hugugguugu" localSheetId="0" hidden="1">#REF!</definedName>
    <definedName name="IQ_NAMES_REVISION_DATE_" localSheetId="0" hidden="1">42129.3169444444</definedName>
    <definedName name="jd" localSheetId="0" hidden="1">{#N/A,#N/A,FALSE,"LoanAssumptions"}</definedName>
    <definedName name="jd_1" localSheetId="0" hidden="1">{#N/A,#N/A,FALSE,"LoanAssumptions"}</definedName>
    <definedName name="jjjj\" localSheetId="0" hidden="1">#REF!</definedName>
    <definedName name="k" localSheetId="0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KAKAKA" localSheetId="0" hidden="1">#REF!</definedName>
    <definedName name="KSJ_25" localSheetId="0" hidden="1">{#N/A,#N/A,FALSE,"동부"}</definedName>
    <definedName name="kyd.ChngCell.01." localSheetId="0" hidden="1">[19]Control!#REF!</definedName>
    <definedName name="kyd.ElementList.01." localSheetId="0" hidden="1">#REF!</definedName>
    <definedName name="kyd.PrintStdAlertCell." localSheetId="0" hidden="1">[19]Control!#REF!</definedName>
    <definedName name="kyd.ServerCell." localSheetId="0" hidden="1">[19]Control!#REF!</definedName>
    <definedName name="l" localSheetId="0" hidden="1">{#N/A,#N/A,FALSE,"동부"}</definedName>
    <definedName name="lgde" localSheetId="0" hidden="1">#REF!</definedName>
    <definedName name="LKJ" localSheetId="0" hidden="1">#REF!</definedName>
    <definedName name="lkjjkhhhh" localSheetId="0" hidden="1">#REF!</definedName>
    <definedName name="lll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Y" localSheetId="0" hidden="1">#REF!</definedName>
    <definedName name="mmm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NEW" localSheetId="0" hidden="1">#REF!</definedName>
    <definedName name="Nitin" localSheetId="0" hidden="1">'[21]Sheet3 (2)'!$A$60:$A$76</definedName>
    <definedName name="November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ocf" localSheetId="0" hidden="1">#REF!</definedName>
    <definedName name="ONP" localSheetId="0" hidden="1">#REF!</definedName>
    <definedName name="opo" localSheetId="0" hidden="1">{#N/A,#N/A,FALSE,"지침";#N/A,#N/A,FALSE,"환경분석";#N/A,#N/A,FALSE,"Sheet16"}</definedName>
    <definedName name="parse" localSheetId="0" hidden="1">#REF!</definedName>
    <definedName name="payable2" localSheetId="0" hidden="1">#REF!</definedName>
    <definedName name="ppp" localSheetId="0" hidden="1">#REF!</definedName>
    <definedName name="q" localSheetId="0" hidden="1">#REF!</definedName>
    <definedName name="QQQ" localSheetId="0" hidden="1">{#N/A,#N/A,FALSE,"동부"}</definedName>
    <definedName name="QQQAAASSS" localSheetId="0" hidden="1">{#N/A,#N/A,TRUE,"Y생산";#N/A,#N/A,TRUE,"Y판매";#N/A,#N/A,TRUE,"Y총물량";#N/A,#N/A,TRUE,"Y능력";#N/A,#N/A,TRUE,"YKD"}</definedName>
    <definedName name="QQQQQQQ" localSheetId="0" hidden="1">{#N/A,#N/A,TRUE,"Y생산";#N/A,#N/A,TRUE,"Y판매";#N/A,#N/A,TRUE,"Y총물량";#N/A,#N/A,TRUE,"Y능력";#N/A,#N/A,TRUE,"YKD"}</definedName>
    <definedName name="QW" localSheetId="0" hidden="1">{#N/A,#N/A,FALSE,"이태원철근"}</definedName>
    <definedName name="rent" localSheetId="0" hidden="1">{#N/A,#N/A,FALSE,"동부"}</definedName>
    <definedName name="rewr" localSheetId="0" hidden="1">{#N/A,#N/A,FALSE,"이력서&amp;자기소개서"}</definedName>
    <definedName name="rewrs" localSheetId="0" hidden="1">{#N/A,#N/A,FALSE,"이력서&amp;자기소개서"}</definedName>
    <definedName name="rhshrhr" localSheetId="0" hidden="1">#REF!</definedName>
    <definedName name="rrr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" localSheetId="0" hidden="1">#REF!</definedName>
    <definedName name="sadd" localSheetId="0" hidden="1">{"MonthlyRentRoll",#N/A,FALSE,"RentRoll"}</definedName>
    <definedName name="sadd_1" localSheetId="0" hidden="1">{"MonthlyRentRoll",#N/A,FALSE,"RentRoll"}</definedName>
    <definedName name="saddd" localSheetId="0" hidden="1">{"AnnualRentRoll",#N/A,FALSE,"RentRoll"}</definedName>
    <definedName name="saddd_1" localSheetId="0" hidden="1">{"AnnualRentRoll",#N/A,FALSE,"RentRoll"}</definedName>
    <definedName name="saddddd" localSheetId="0" hidden="1">{"AnnualRentRoll",#N/A,FALSE,"RentRoll"}</definedName>
    <definedName name="saddddd_1" localSheetId="0" hidden="1">{"AnnualRentRoll",#N/A,FALSE,"RentRoll"}</definedName>
    <definedName name="sadddddddd" localSheetId="0" hidden="1">{#N/A,#N/A,FALSE,"ExitStratigy"}</definedName>
    <definedName name="sadddddddd_1" localSheetId="0" hidden="1">{#N/A,#N/A,FALSE,"ExitStratigy"}</definedName>
    <definedName name="sadddddddddd" localSheetId="0" hidden="1">{#N/A,#N/A,FALSE,"LoanAssumptions"}</definedName>
    <definedName name="sadddddddddd_1" localSheetId="0" hidden="1">{#N/A,#N/A,FALSE,"LoanAssumptions"}</definedName>
    <definedName name="saddddddddddddd" localSheetId="0" hidden="1">{#N/A,#N/A,FALSE,"OperatingAssumptions"}</definedName>
    <definedName name="saddddddddddddd_1" localSheetId="0" hidden="1">{#N/A,#N/A,FALSE,"OperatingAssumptions"}</definedName>
    <definedName name="sample" localSheetId="0" hidden="1">#REF!</definedName>
    <definedName name="sdgdsfdsgdsfggfdsd" localSheetId="0" hidden="1">#REF!</definedName>
    <definedName name="SF" localSheetId="0" hidden="1">#REF!</definedName>
    <definedName name="sheet2" localSheetId="0" hidden="1">{"CF",#N/A,FALSE,"Cash Flow";"RET",#N/A,FALSE,"Returns";"NPV",#N/A,FALSE,"Values";"ASMPT",#N/A,FALSE,"Assumptions"}</definedName>
    <definedName name="solver_lhs1" localSheetId="0" hidden="1">#REF!</definedName>
    <definedName name="solver_opt" localSheetId="0" hidden="1">#REF!</definedName>
    <definedName name="solver_rhs1" localSheetId="0" hidden="1">#REF!*1.5</definedName>
    <definedName name="sort" localSheetId="0" hidden="1">#REF!</definedName>
    <definedName name="SSS" localSheetId="0" hidden="1">#REF!</definedName>
    <definedName name="sssss" localSheetId="0" hidden="1">#REF!</definedName>
    <definedName name="SUMMARY" localSheetId="0" hidden="1">#REF!</definedName>
    <definedName name="SUMMARYT" localSheetId="0" hidden="1">#REF!</definedName>
    <definedName name="tax" localSheetId="0" hidden="1">{#N/A,#N/A,TRUE,"constb"}</definedName>
    <definedName name="TextRefCopyRangeCount" localSheetId="0" hidden="1">17</definedName>
    <definedName name="tlf" localSheetId="0" hidden="1">#REF!</definedName>
    <definedName name="todoroki" localSheetId="0" hidden="1">[22]Budget!#REF!</definedName>
    <definedName name="ttttt" localSheetId="0" hidden="1">{#N/A,#N/A,FALSE,"지침";#N/A,#N/A,FALSE,"환경분석";#N/A,#N/A,FALSE,"Sheet16"}</definedName>
    <definedName name="up" localSheetId="0" hidden="1">{#N/A,#N/A,FALSE,"지침";#N/A,#N/A,FALSE,"환경분석";#N/A,#N/A,FALSE,"Sheet16"}</definedName>
    <definedName name="VB" localSheetId="0" hidden="1">{#N/A,#N/A,FALSE,"이태원철근"}</definedName>
    <definedName name="VTM_1" localSheetId="0" hidden="1">[23]AUDIT1.J100_금융자원!#REF!</definedName>
    <definedName name="VTM_10" localSheetId="0" hidden="1">#REF!</definedName>
    <definedName name="VTM_11" localSheetId="0" hidden="1">#REF!</definedName>
    <definedName name="VTM_12" localSheetId="0" hidden="1">#REF!</definedName>
    <definedName name="VTM_13" localSheetId="0" hidden="1">#REF!</definedName>
    <definedName name="VTM_14" localSheetId="0" hidden="1">#REF!</definedName>
    <definedName name="VTM_15" localSheetId="0" hidden="1">#REF!</definedName>
    <definedName name="VTM_16" localSheetId="0" hidden="1">#REF!</definedName>
    <definedName name="VTM_17" localSheetId="0" hidden="1">#REF!</definedName>
    <definedName name="VTM_18" localSheetId="0" hidden="1">#REF!</definedName>
    <definedName name="VTM_19" localSheetId="0" hidden="1">#REF!</definedName>
    <definedName name="VTM_20" localSheetId="0" hidden="1">#REF!</definedName>
    <definedName name="VTM_21" localSheetId="0" hidden="1">#REF!</definedName>
    <definedName name="VTM_22" localSheetId="0" hidden="1">#REF!</definedName>
    <definedName name="VTM_23" localSheetId="0" hidden="1">#REF!</definedName>
    <definedName name="VTM_24" localSheetId="0" hidden="1">#REF!</definedName>
    <definedName name="VTM_25" localSheetId="0" hidden="1">#REF!</definedName>
    <definedName name="VTM_26" localSheetId="0" hidden="1">#REF!</definedName>
    <definedName name="VTM_27" localSheetId="0" hidden="1">#REF!</definedName>
    <definedName name="VTM_28" localSheetId="0" hidden="1">#REF!</definedName>
    <definedName name="VTM_29" localSheetId="0" hidden="1">#REF!</definedName>
    <definedName name="VTM_3" localSheetId="0" hidden="1">[23]AUDIT1.J100_금융자원!#REF!</definedName>
    <definedName name="VTM_30" localSheetId="0" hidden="1">#REF!</definedName>
    <definedName name="VTM_31" localSheetId="0" hidden="1">#REF!</definedName>
    <definedName name="VTM_32" localSheetId="0" hidden="1">#REF!</definedName>
    <definedName name="VTM_4" localSheetId="0" hidden="1">[23]AUDIT1.J100_금융자원!#REF!</definedName>
    <definedName name="VTM_6" localSheetId="0" hidden="1">[23]AUDIT1.J100_금융자원!#REF!</definedName>
    <definedName name="VTM_7" localSheetId="0" hidden="1">[23]AUDIT1.J100_금융자원!#REF!</definedName>
    <definedName name="VTM_8" localSheetId="0" hidden="1">[23]AUDIT1.J100_금융자원!#REF!</definedName>
    <definedName name="WEARF" localSheetId="0" hidden="1">{#N/A,#N/A,TRUE,"Y생산";#N/A,#N/A,TRUE,"Y판매";#N/A,#N/A,TRUE,"Y총물량";#N/A,#N/A,TRUE,"Y능력";#N/A,#N/A,TRUE,"YKD"}</definedName>
    <definedName name="wefwe" localSheetId="0" hidden="1">#REF!</definedName>
    <definedName name="weggwe" localSheetId="0" hidden="1">#REF!</definedName>
    <definedName name="wrn.97." localSheetId="0" hidden="1">{#N/A,#N/A,FALSE,"지침";#N/A,#N/A,FALSE,"환경분석";#N/A,#N/A,FALSE,"Sheet16"}</definedName>
    <definedName name="wrn.97년._.9월._.임차현황." localSheetId="0" hidden="1">{#N/A,#N/A,FALSE,"동부"}</definedName>
    <definedName name="wrn.97년._.투자계획." localSheetId="0" hidden="1">{#N/A,#N/A,FALSE,"97년 투자계획 세부내역 "}</definedName>
    <definedName name="wrn.ACHESON94TAXRETURN." localSheetId="0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ging._.and._.Trend._.Analysis." localSheetId="0" hidden="1">{#N/A,#N/A,FALSE,"Aging Summary";#N/A,#N/A,FALSE,"Ratio Analysis";#N/A,#N/A,FALSE,"Test 120 Day Accts";#N/A,#N/A,FALSE,"Tickmarks"}</definedName>
    <definedName name="wrn.ALL." localSheetId="0" hidden="1">{#N/A,#N/A,FALSE,"PROG &amp; MARKET";#N/A,#N/A,FALSE,"SUMMARY";#N/A,#N/A,FALSE,"LANDSIDE -DETAIL";#N/A,#N/A,FALSE,"VESSEL"}</definedName>
    <definedName name="wrn.AnnualRentRoll" localSheetId="0" hidden="1">{"AnnualRentRoll",#N/A,FALSE,"RentRoll"}</definedName>
    <definedName name="wrn.AnnualRentRoll." localSheetId="0" hidden="1">{"AnnualRentRoll",#N/A,FALSE,"RentRoll"}</definedName>
    <definedName name="wrn.AnnualRentRoll._1" localSheetId="0" hidden="1">{"AnnualRentRoll",#N/A,FALSE,"RentRoll"}</definedName>
    <definedName name="wrn.AnnualRentRoll_1" localSheetId="0" hidden="1">{"AnnualRentRoll",#N/A,FALSE,"RentRoll"}</definedName>
    <definedName name="wrn.balance._.france." localSheetId="0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L94TAXRETURN." localSheetId="0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udget." localSheetId="0" hidden="1">{"budget1",#N/A,FALSE,"BUDG.XLS";"budget2",#N/A,FALSE,"BUDG.XLS"}</definedName>
    <definedName name="wrn.CAPA." localSheetId="0" hidden="1">{#N/A,#N/A,FALSE,"상재GS";#N/A,#N/A,FALSE,"상재GM";#N/A,#N/A,FALSE,"건재";#N/A,#N/A,FALSE,"SBR";#N/A,#N/A,FALSE,"부품";#N/A,#N/A,FALSE,"기능자재";#N/A,#N/A,FALSE,"특수"}</definedName>
    <definedName name="wrn.CAPA2." localSheetId="0" hidden="1">{#N/A,#N/A,FALSE,"보고";#N/A,#N/A,FALSE,"유첨"}</definedName>
    <definedName name="wrn.Capex." localSheetId="0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sh._.Flow._.Analysis." localSheetId="0" hidden="1">{"CF",#N/A,FALSE,"Cash Flow";"RET",#N/A,FALSE,"Returns";"NPV",#N/A,FALSE,"Values";"ASMPT",#N/A,FALSE,"Assumptions"}</definedName>
    <definedName name="wrn.Chart._.of._.Accounts." localSheetId="0" hidden="1">{#N/A,#N/A,FALSE,"Categories";#N/A,#N/A,FALSE,"MRi INCH";#N/A,#N/A,FALSE,"COA Usage";#N/A,#N/A,FALSE,"Detail"}</definedName>
    <definedName name="wrn.CIC94TAX." localSheetId="0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omplet._.sauf._.balance." localSheetId="0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94TAXRETURN.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riteria.95p." localSheetId="0" hidden="1">{#N/A,#N/A,FALSE,"1.CRITERIA";#N/A,#N/A,FALSE,"2.IS";#N/A,#N/A,FALSE,"3.BS";#N/A,#N/A,FALSE,"4.PER PL";#N/A,#N/A,FALSE,"5.INVESTMENT";#N/A,#N/A,FALSE,"6.공문";#N/A,#N/A,FALSE,"7.netinvest"}</definedName>
    <definedName name="wrn.ExitAndSalesAssumptions." localSheetId="0" hidden="1">{#N/A,#N/A,FALSE,"ExitStratigy"}</definedName>
    <definedName name="wrn.ExitAndSalesAssumptions._1" localSheetId="0" hidden="1">{#N/A,#N/A,FALSE,"ExitStratigy"}</definedName>
    <definedName name="wrn.fullreport." localSheetId="0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gamme." localSheetId="0" hidden="1">{#N/A,#N/A,FALSE,"original";#N/A,#N/A,FALSE,"boiler";#N/A,#N/A,FALSE,"burner";#N/A,#N/A,FALSE,"absorbtion unit"}</definedName>
    <definedName name="wrn.IFF94TAX." localSheetId="0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jck94TAXRETURN.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oanInformation." localSheetId="0" hidden="1">{#N/A,#N/A,FALSE,"LoanAssumptions"}</definedName>
    <definedName name="wrn.LoanInformation._1" localSheetId="0" hidden="1">{#N/A,#N/A,FALSE,"LoanAssumptions"}</definedName>
    <definedName name="wrn.lodging." localSheetId="0" hidden="1">{"p",#N/A,FALSE,"Sheet1";"p 2",#N/A,FALSE,"Sheet1";"p 3",#N/A,FALSE,"Sheet1"}</definedName>
    <definedName name="wrn.lodging._1" localSheetId="0" hidden="1">{"p",#N/A,FALSE,"Sheet1";"p 2",#N/A,FALSE,"Sheet1";"p 3",#N/A,FALSE,"Sheet1"}</definedName>
    <definedName name="wrn.MonthlyRentRoll." localSheetId="0" hidden="1">{"MonthlyRentRoll",#N/A,FALSE,"RentRoll"}</definedName>
    <definedName name="wrn.MonthlyRentRoll._1" localSheetId="0" hidden="1">{"MonthlyRentRoll",#N/A,FALSE,"RentRoll"}</definedName>
    <definedName name="wrn.mortassetplan." localSheetId="0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OperatingAssumtions." localSheetId="0" hidden="1">{#N/A,#N/A,FALSE,"OperatingAssumptions"}</definedName>
    <definedName name="wrn.OperatingAssumtions._1" localSheetId="0" hidden="1">{#N/A,#N/A,FALSE,"OperatingAssumptions"}</definedName>
    <definedName name="wrn.PAIM._.TAX._.PRO." localSheetId="0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RESENTATION." localSheetId="0" hidden="1">{#N/A,#N/A,FALSE,"SUMMARY SHEET";#N/A,#N/A,FALSE,"VARIANCE REPORT";#N/A,#N/A,FALSE,"CAT1-16 SUMM";#N/A,#N/A,FALSE,"GCS";#N/A,#N/A,FALSE,"FF &amp; E";#N/A,#N/A,FALSE,"DESIGN COSTS"}</definedName>
    <definedName name="wrn.PRESENTATION._1" localSheetId="0" hidden="1">{#N/A,#N/A,FALSE,"SUMMARY SHEET";#N/A,#N/A,FALSE,"VARIANCE REPORT";#N/A,#N/A,FALSE,"CAT1-16 SUMM";#N/A,#N/A,FALSE,"GCS";#N/A,#N/A,FALSE,"FF &amp; E";#N/A,#N/A,FALSE,"DESIGN COSTS"}</definedName>
    <definedName name="wrn.print." localSheetId="0" hidden="1">{"page1",#N/A,FALSE,"Sheet1";"page2",#N/A,FALSE,"Sheet1"}</definedName>
    <definedName name="wrn.print._1" localSheetId="0" hidden="1">{"page1",#N/A,FALSE,"Sheet1";"page2",#N/A,FALSE,"Sheet1"}</definedName>
    <definedName name="wrn.PropertyInformation." localSheetId="0" hidden="1">{#N/A,#N/A,FALSE,"PropertyInfo"}</definedName>
    <definedName name="wrn.PropertyInformation._1" localSheetId="0" hidden="1">{#N/A,#N/A,FALSE,"PropertyInfo"}</definedName>
    <definedName name="wrn.QAPU." localSheetId="0" hidden="1">{#N/A,#N/A,FALSE,"5YRASSPl - consol'd";#N/A,#N/A,FALSE,"5YRASSPl - hotel";#N/A,#N/A,FALSE,"5YRASSPl - excl htl";#N/A,#N/A,FALSE,"VarReport";#N/A,#N/A,FALSE,"Sensitivity";#N/A,#N/A,FALSE,"House View ";#N/A,#N/A,FALSE,"KPI"}</definedName>
    <definedName name="wrn.SAA94TAX.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ituation._.complete." localSheetId="0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ummary." localSheetId="0" hidden="1">{#N/A,#N/A,FALSE,"Summary"}</definedName>
    <definedName name="wrn.Summary._1" localSheetId="0" hidden="1">{#N/A,#N/A,FALSE,"Summary"}</definedName>
    <definedName name="wrn.Trial._.Balance." localSheetId="0" hidden="1">{#N/A,#N/A,TRUE,"constb"}</definedName>
    <definedName name="wrn.UNIONGAS94TAXRETURN.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간단한세무조정계산서." localSheetId="0" hidden="1">{#N/A,#N/A,TRUE,"1호 과표세액";#N/A,#N/A,TRUE,"6호 첨부(익)";#N/A,#N/A,TRUE,"6-3호 퇴충";#N/A,#N/A,TRUE,"PL";#N/A,#N/A,TRUE,"BS";#N/A,#N/A,TRUE,"RE";#N/A,#N/A,TRUE,"표지"}</definedName>
    <definedName name="wrn.감가." localSheetId="0" hidden="1">{#N/A,#N/A,FALSE,"buildings"}</definedName>
    <definedName name="wrn.대차._.대조표." localSheetId="0" hidden="1">{#N/A,#N/A,TRUE,"대 차 대 조 표"}</definedName>
    <definedName name="wrn.세무조정계산서.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월보." localSheetId="0" hidden="1">{#N/A,#N/A,FALSE,"표지";#N/A,#N/A,FALSE,"생산현황";#N/A,#N/A,FALSE,"중량수율";#N/A,#N/A,FALSE,"길이수율";#N/A,#N/A,FALSE,"노동";#N/A,#N/A,FALSE,"기기";#N/A,#N/A,FALSE,"기기가동(누계)";#N/A,#N/A,FALSE,"자소원료"}</definedName>
    <definedName name="wrn.월추정." localSheetId="0" hidden="1">{#N/A,#N/A,FALSE,"월추정감가상각비";#N/A,#N/A,FALSE,"main_prog"}</definedName>
    <definedName name="wrn.이력서._.자기소개서." localSheetId="0" hidden="1">{#N/A,#N/A,FALSE,"이력서&amp;자기소개서"}</definedName>
    <definedName name="wrn.이태원._.철근." localSheetId="0" hidden="1">{#N/A,#N/A,FALSE,"이태원철근"}</definedName>
    <definedName name="wrn.조흥94세무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포항강판." localSheetId="0" hidden="1">{"현수",#N/A,FALSE,"월추정감가상각비"}</definedName>
    <definedName name="XREF_COLUMN_1" localSheetId="0" hidden="1">#REF!</definedName>
    <definedName name="XREF_COLUMN_10" localSheetId="0" hidden="1">#REF!</definedName>
    <definedName name="XREF_COLUMN_11" localSheetId="0" hidden="1">#REF!</definedName>
    <definedName name="XREF_COLUMN_12" localSheetId="0" hidden="1">#REF!</definedName>
    <definedName name="XREF_COLUMN_2" localSheetId="0" hidden="1">#REF!</definedName>
    <definedName name="XREF_COLUMN_3" localSheetId="0" hidden="1">#REF!</definedName>
    <definedName name="XREF_COLUMN_4" localSheetId="0" hidden="1">[25]유형!#REF!</definedName>
    <definedName name="XREF_COLUMN_5" localSheetId="0" hidden="1">#REF!</definedName>
    <definedName name="XREF_COLUMN_6" localSheetId="0" hidden="1">#REF!</definedName>
    <definedName name="XREF_COLUMN_7" localSheetId="0" hidden="1">#REF!</definedName>
    <definedName name="XREF_COLUMN_8" localSheetId="0" hidden="1">#REF!</definedName>
    <definedName name="XREF_COLUMN_9" localSheetId="0" hidden="1">#REF!</definedName>
    <definedName name="XRefActiveRow" localSheetId="0" hidden="1">#REF!</definedName>
    <definedName name="XRefColumnsCount" localSheetId="0" hidden="1">2</definedName>
    <definedName name="XRefCopy1" localSheetId="0" hidden="1">[25]유형!#REF!</definedName>
    <definedName name="XRefCopy10" localSheetId="0" hidden="1">#REF!</definedName>
    <definedName name="XRefCopy10Row" localSheetId="0" hidden="1">#REF!</definedName>
    <definedName name="XRefCopy11" localSheetId="0" hidden="1">#REF!</definedName>
    <definedName name="XRefCopy11Row" localSheetId="0" hidden="1">#REF!</definedName>
    <definedName name="XRefCopy12" localSheetId="0" hidden="1">#REF!</definedName>
    <definedName name="XRefCopy12Row" localSheetId="0" hidden="1">[26]XREF!#REF!</definedName>
    <definedName name="XRefCopy13" localSheetId="0" hidden="1">#REF!</definedName>
    <definedName name="XRefCopy13Row" localSheetId="0" hidden="1">[26]XREF!#REF!</definedName>
    <definedName name="XRefCopy14" localSheetId="0" hidden="1">#REF!</definedName>
    <definedName name="XRefCopy14Row" localSheetId="0" hidden="1">#REF!</definedName>
    <definedName name="XRefCopy15" localSheetId="0" hidden="1">#REF!</definedName>
    <definedName name="XRefCopy15Row" localSheetId="0" hidden="1">#REF!</definedName>
    <definedName name="XRefCopy16" localSheetId="0" hidden="1">#REF!</definedName>
    <definedName name="XRefCopy16Row" localSheetId="0" hidden="1">#REF!</definedName>
    <definedName name="XRefCopy17" localSheetId="0" hidden="1">#REF!</definedName>
    <definedName name="XRefCopy17Row" localSheetId="0" hidden="1">#REF!</definedName>
    <definedName name="XRefCopy18" localSheetId="0" hidden="1">#REF!</definedName>
    <definedName name="XRefCopy18Row" localSheetId="0" hidden="1">#REF!</definedName>
    <definedName name="XRefCopy19" localSheetId="0" hidden="1">#REF!</definedName>
    <definedName name="XRefCopy1Row" localSheetId="0" hidden="1">#REF!</definedName>
    <definedName name="XRefCopy2" localSheetId="0" hidden="1">[25]유형!#REF!</definedName>
    <definedName name="XRefCopy20" localSheetId="0" hidden="1">#REF!</definedName>
    <definedName name="XRefCopy20Row" localSheetId="0" hidden="1">[27]XREF!#REF!</definedName>
    <definedName name="XRefCopy21" localSheetId="0" hidden="1">#REF!</definedName>
    <definedName name="XRefCopy21Row" localSheetId="0" hidden="1">#REF!</definedName>
    <definedName name="XRefCopy22" localSheetId="0" hidden="1">#REF!</definedName>
    <definedName name="XRefCopy22Row" localSheetId="0" hidden="1">#REF!</definedName>
    <definedName name="XRefCopy23" localSheetId="0" hidden="1">#REF!</definedName>
    <definedName name="XRefCopy23Row" localSheetId="0" hidden="1">#REF!</definedName>
    <definedName name="XRefCopy24" localSheetId="0" hidden="1">#REF!</definedName>
    <definedName name="XRefCopy24Row" localSheetId="0" hidden="1">#REF!</definedName>
    <definedName name="XRefCopy25" localSheetId="0" hidden="1">#REF!</definedName>
    <definedName name="XRefCopy26" localSheetId="0" hidden="1">#REF!</definedName>
    <definedName name="XRefCopy26Row" localSheetId="0" hidden="1">#REF!</definedName>
    <definedName name="XRefCopy27" localSheetId="0" hidden="1">#REF!</definedName>
    <definedName name="XRefCopy27Row" localSheetId="0" hidden="1">#REF!</definedName>
    <definedName name="XRefCopy28" localSheetId="0" hidden="1">#REF!</definedName>
    <definedName name="XRefCopy29" localSheetId="0" hidden="1">#REF!</definedName>
    <definedName name="XRefCopy29Row" localSheetId="0" hidden="1">#REF!</definedName>
    <definedName name="XRefCopy2Row" localSheetId="0" hidden="1">#REF!</definedName>
    <definedName name="XRefCopy3" localSheetId="0" hidden="1">#REF!</definedName>
    <definedName name="XRefCopy30" localSheetId="0" hidden="1">#REF!</definedName>
    <definedName name="XRefCopy30Row" localSheetId="0" hidden="1">#REF!</definedName>
    <definedName name="XRefCopy31" localSheetId="0" hidden="1">#REF!</definedName>
    <definedName name="XRefCopy31Row" localSheetId="0" hidden="1">#REF!</definedName>
    <definedName name="XRefCopy32" localSheetId="0" hidden="1">#REF!</definedName>
    <definedName name="XRefCopy32Row" localSheetId="0" hidden="1">#REF!</definedName>
    <definedName name="XRefCopy33" localSheetId="0" hidden="1">#REF!</definedName>
    <definedName name="XRefCopy33Row" localSheetId="0" hidden="1">#REF!</definedName>
    <definedName name="XRefCopy34" localSheetId="0" hidden="1">#REF!</definedName>
    <definedName name="XRefCopy34Row" localSheetId="0" hidden="1">#REF!</definedName>
    <definedName name="XRefCopy35" localSheetId="0" hidden="1">#REF!</definedName>
    <definedName name="XRefCopy35Row" localSheetId="0" hidden="1">#REF!</definedName>
    <definedName name="XRefCopy36" localSheetId="0" hidden="1">#REF!</definedName>
    <definedName name="XRefCopy36Row" localSheetId="0" hidden="1">#REF!</definedName>
    <definedName name="XRefCopy37" localSheetId="0" hidden="1">#REF!</definedName>
    <definedName name="XRefCopy37Row" localSheetId="0" hidden="1">#REF!</definedName>
    <definedName name="XRefCopy38" localSheetId="0" hidden="1">#REF!</definedName>
    <definedName name="XRefCopy38Row" localSheetId="0" hidden="1">#REF!</definedName>
    <definedName name="XRefCopy39" localSheetId="0" hidden="1">#REF!</definedName>
    <definedName name="XRefCopy39Row" localSheetId="0" hidden="1">#REF!</definedName>
    <definedName name="XRefCopy3Row" localSheetId="0" hidden="1">#REF!</definedName>
    <definedName name="XRefCopy4" localSheetId="0" hidden="1">#REF!</definedName>
    <definedName name="XRefCopy40" localSheetId="0" hidden="1">#REF!</definedName>
    <definedName name="XRefCopy40Row" localSheetId="0" hidden="1">#REF!</definedName>
    <definedName name="XRefCopy41Row" localSheetId="0" hidden="1">#REF!</definedName>
    <definedName name="XRefCopy4Row" localSheetId="0" hidden="1">#REF!</definedName>
    <definedName name="XRefCopy5" localSheetId="0" hidden="1">#REF!</definedName>
    <definedName name="XRefCopy5Row" localSheetId="0" hidden="1">[26]XREF!#REF!</definedName>
    <definedName name="XRefCopy6" localSheetId="0" hidden="1">#REF!</definedName>
    <definedName name="XRefCopy6Row" localSheetId="0" hidden="1">#REF!</definedName>
    <definedName name="XRefCopy7" localSheetId="0" hidden="1">#REF!</definedName>
    <definedName name="XRefCopy7Row" localSheetId="0" hidden="1">[28]XREF!#REF!</definedName>
    <definedName name="XRefCopy8" localSheetId="0" hidden="1">#REF!</definedName>
    <definedName name="XRefCopy8Row" localSheetId="0" hidden="1">#REF!</definedName>
    <definedName name="XRefCopy9" localSheetId="0" hidden="1">#REF!</definedName>
    <definedName name="XRefCopy9Row" localSheetId="0" hidden="1">#REF!</definedName>
    <definedName name="XRefCopyRangeCount" localSheetId="0" hidden="1">12</definedName>
    <definedName name="XRefPaste1" localSheetId="0" hidden="1">[25]고정부채!#REF!</definedName>
    <definedName name="XRefPaste10" localSheetId="0" hidden="1">[25]유형!#REF!</definedName>
    <definedName name="XRefPaste10Row" localSheetId="0" hidden="1">[30]XREF!#REF!</definedName>
    <definedName name="XRefPaste11" localSheetId="0" hidden="1">[25]유형!#REF!</definedName>
    <definedName name="XRefPaste11Row" localSheetId="0" hidden="1">[28]XREF!#REF!</definedName>
    <definedName name="XRefPaste12" localSheetId="0" hidden="1">#REF!</definedName>
    <definedName name="XRefPaste12Row" localSheetId="0" hidden="1">[28]XREF!#REF!</definedName>
    <definedName name="XRefPaste13" localSheetId="0" hidden="1">#REF!</definedName>
    <definedName name="XRefPaste13Row" localSheetId="0" hidden="1">#REF!</definedName>
    <definedName name="XRefPaste14" localSheetId="0" hidden="1">#REF!</definedName>
    <definedName name="XRefPaste14Row" localSheetId="0" hidden="1">[28]XREF!#REF!</definedName>
    <definedName name="XRefPaste15" localSheetId="0" hidden="1">[25]유형!#REF!</definedName>
    <definedName name="XRefPaste15Row" localSheetId="0" hidden="1">#REF!</definedName>
    <definedName name="XRefPaste16" localSheetId="0" hidden="1">[25]유형!#REF!</definedName>
    <definedName name="XRefPaste16Row" localSheetId="0" hidden="1">[28]XREF!#REF!</definedName>
    <definedName name="XRefPaste17" localSheetId="0" hidden="1">[25]유형!#REF!</definedName>
    <definedName name="XRefPaste17Row" localSheetId="0" hidden="1">#REF!</definedName>
    <definedName name="XRefPaste18" localSheetId="0" hidden="1">#REF!</definedName>
    <definedName name="XRefPaste18Row" localSheetId="0" hidden="1">#REF!</definedName>
    <definedName name="XRefPaste19" localSheetId="0" hidden="1">[25]유형!#REF!</definedName>
    <definedName name="XRefPaste19Row" localSheetId="0" hidden="1">#REF!</definedName>
    <definedName name="XRefPaste1Row" localSheetId="0" hidden="1">#REF!</definedName>
    <definedName name="XRefPaste2" localSheetId="0" hidden="1">[25]고정부채!#REF!</definedName>
    <definedName name="XRefPaste20" localSheetId="0" hidden="1">#REF!</definedName>
    <definedName name="XRefPaste20Row" localSheetId="0" hidden="1">[28]XREF!#REF!</definedName>
    <definedName name="XRefPaste21" localSheetId="0" hidden="1">#REF!</definedName>
    <definedName name="XRefPaste21Row" localSheetId="0" hidden="1">[30]XREF!#REF!</definedName>
    <definedName name="XRefPaste22" localSheetId="0" hidden="1">#REF!</definedName>
    <definedName name="XRefPaste22Row" localSheetId="0" hidden="1">#REF!</definedName>
    <definedName name="XRefPaste23" localSheetId="0" hidden="1">#REF!</definedName>
    <definedName name="XRefPaste23Row" localSheetId="0" hidden="1">#REF!</definedName>
    <definedName name="XRefPaste24" localSheetId="0" hidden="1">#REF!</definedName>
    <definedName name="XRefPaste24Row" localSheetId="0" hidden="1">[30]XREF!#REF!</definedName>
    <definedName name="XRefPaste25" localSheetId="0" hidden="1">#REF!</definedName>
    <definedName name="XRefPaste25Row" localSheetId="0" hidden="1">#REF!</definedName>
    <definedName name="XRefPaste26" localSheetId="0" hidden="1">[25]유형!#REF!</definedName>
    <definedName name="XRefPaste26Row" localSheetId="0" hidden="1">#REF!</definedName>
    <definedName name="XRefPaste27" localSheetId="0" hidden="1">[25]유형!#REF!</definedName>
    <definedName name="XRefPaste27Row" localSheetId="0" hidden="1">[28]XREF!#REF!</definedName>
    <definedName name="XRefPaste28" localSheetId="0" hidden="1">[25]유형!#REF!</definedName>
    <definedName name="XRefPaste28Row" localSheetId="0" hidden="1">[28]XREF!#REF!</definedName>
    <definedName name="XRefPaste29" localSheetId="0" hidden="1">#REF!</definedName>
    <definedName name="XRefPaste29Row" localSheetId="0" hidden="1">#REF!</definedName>
    <definedName name="XRefPaste2Row" localSheetId="0" hidden="1">[28]XREF!#REF!</definedName>
    <definedName name="XRefPaste3" localSheetId="0" hidden="1">[25]고정부채!#REF!</definedName>
    <definedName name="XRefPaste30" localSheetId="0" hidden="1">[25]유형!#REF!</definedName>
    <definedName name="XRefPaste30Row" localSheetId="0" hidden="1">#REF!</definedName>
    <definedName name="XRefPaste31" localSheetId="0" hidden="1">#REF!</definedName>
    <definedName name="XRefPaste31Row" localSheetId="0" hidden="1">#REF!</definedName>
    <definedName name="XRefPaste32" localSheetId="0" hidden="1">#REF!</definedName>
    <definedName name="XRefPaste32Row" localSheetId="0" hidden="1">#REF!</definedName>
    <definedName name="XRefPaste33" localSheetId="0" hidden="1">#REF!</definedName>
    <definedName name="XRefPaste33Row" localSheetId="0" hidden="1">#REF!</definedName>
    <definedName name="XRefPaste34" localSheetId="0" hidden="1">[25]유형!#REF!</definedName>
    <definedName name="XRefPaste34Row" localSheetId="0" hidden="1">#REF!</definedName>
    <definedName name="XRefPaste35" localSheetId="0" hidden="1">[25]유형!#REF!</definedName>
    <definedName name="XRefPaste35Row" localSheetId="0" hidden="1">#REF!</definedName>
    <definedName name="XRefPaste36" localSheetId="0" hidden="1">[25]유형!#REF!</definedName>
    <definedName name="XRefPaste36Row" localSheetId="0" hidden="1">#REF!</definedName>
    <definedName name="XRefPaste37" localSheetId="0" hidden="1">#REF!</definedName>
    <definedName name="XRefPaste37Row" localSheetId="0" hidden="1">#REF!</definedName>
    <definedName name="XRefPaste38" localSheetId="0" hidden="1">[25]유형!#REF!</definedName>
    <definedName name="XRefPaste38Row" localSheetId="0" hidden="1">#REF!</definedName>
    <definedName name="XRefPaste39" localSheetId="0" hidden="1">[25]유형!#REF!</definedName>
    <definedName name="XRefPaste39Row" localSheetId="0" hidden="1">#REF!</definedName>
    <definedName name="XRefPaste3Row" localSheetId="0" hidden="1">#REF!</definedName>
    <definedName name="XRefPaste4" localSheetId="0" hidden="1">#REF!</definedName>
    <definedName name="XRefPaste40" localSheetId="0" hidden="1">#REF!</definedName>
    <definedName name="XRefPaste40Row" localSheetId="0" hidden="1">#REF!</definedName>
    <definedName name="XRefPaste41" localSheetId="0" hidden="1">#REF!</definedName>
    <definedName name="XRefPaste41Row" localSheetId="0" hidden="1">#REF!</definedName>
    <definedName name="XRefPaste42" localSheetId="0" hidden="1">[25]유형!#REF!</definedName>
    <definedName name="XRefPaste42Row" localSheetId="0" hidden="1">#REF!</definedName>
    <definedName name="XRefPaste43" localSheetId="0" hidden="1">[25]유형!#REF!</definedName>
    <definedName name="XRefPaste43Row" localSheetId="0" hidden="1">#REF!</definedName>
    <definedName name="XRefPaste44" localSheetId="0" hidden="1">[25]유형!#REF!</definedName>
    <definedName name="XRefPaste44Row" localSheetId="0" hidden="1">#REF!</definedName>
    <definedName name="XRefPaste45" localSheetId="0" hidden="1">[25]유형!#REF!</definedName>
    <definedName name="XRefPaste45Row" localSheetId="0" hidden="1">#REF!</definedName>
    <definedName name="XRefPaste46" localSheetId="0" hidden="1">#REF!</definedName>
    <definedName name="XRefPaste46Row" localSheetId="0" hidden="1">#REF!</definedName>
    <definedName name="XRefPaste47" localSheetId="0" hidden="1">#REF!</definedName>
    <definedName name="XRefPaste47Row" localSheetId="0" hidden="1">#REF!</definedName>
    <definedName name="XRefPaste48" localSheetId="0" hidden="1">#REF!</definedName>
    <definedName name="XRefPaste48Row" localSheetId="0" hidden="1">#REF!</definedName>
    <definedName name="XRefPaste49" localSheetId="0" hidden="1">#REF!</definedName>
    <definedName name="XRefPaste49Row" localSheetId="0" hidden="1">#REF!</definedName>
    <definedName name="XRefPaste4Row" localSheetId="0" hidden="1">[26]XREF!#REF!</definedName>
    <definedName name="XRefPaste5" localSheetId="0" hidden="1">[25]유형!#REF!</definedName>
    <definedName name="XRefPaste50" localSheetId="0" hidden="1">#REF!</definedName>
    <definedName name="XRefPaste50Row" localSheetId="0" hidden="1">#REF!</definedName>
    <definedName name="XRefPaste51" localSheetId="0" hidden="1">#REF!</definedName>
    <definedName name="XRefPaste51Row" localSheetId="0" hidden="1">#REF!</definedName>
    <definedName name="XRefPaste52" localSheetId="0" hidden="1">#REF!</definedName>
    <definedName name="XRefPaste52Row" localSheetId="0" hidden="1">#REF!</definedName>
    <definedName name="XRefPaste53" localSheetId="0" hidden="1">#REF!</definedName>
    <definedName name="XRefPaste53Row" localSheetId="0" hidden="1">#REF!</definedName>
    <definedName name="XRefPaste54Row" localSheetId="0" hidden="1">#REF!</definedName>
    <definedName name="XRefPaste55Row" localSheetId="0" hidden="1">#REF!</definedName>
    <definedName name="XRefPaste56" localSheetId="0" hidden="1">[31]Schedules!#REF!</definedName>
    <definedName name="XRefPaste56Row" localSheetId="0" hidden="1">#REF!</definedName>
    <definedName name="XRefPaste57Row" localSheetId="0" hidden="1">#REF!</definedName>
    <definedName name="XRefPaste58Row" localSheetId="0" hidden="1">#REF!</definedName>
    <definedName name="XRefPaste59Row" localSheetId="0" hidden="1">#REF!</definedName>
    <definedName name="XRefPaste5Row" localSheetId="0" hidden="1">#REF!</definedName>
    <definedName name="XRefPaste6" localSheetId="0" hidden="1">[25]유형!#REF!</definedName>
    <definedName name="XRefPaste60Row" localSheetId="0" hidden="1">#REF!</definedName>
    <definedName name="XRefPaste61Row" localSheetId="0" hidden="1">#REF!</definedName>
    <definedName name="XRefPaste62Row" localSheetId="0" hidden="1">#REF!</definedName>
    <definedName name="XRefPaste65Row" localSheetId="0" hidden="1">#REF!</definedName>
    <definedName name="XRefPaste66Row" localSheetId="0" hidden="1">#REF!</definedName>
    <definedName name="XRefPaste67Row" localSheetId="0" hidden="1">#REF!</definedName>
    <definedName name="XRefPaste68Row" localSheetId="0" hidden="1">#REF!</definedName>
    <definedName name="XRefPaste69Row" localSheetId="0" hidden="1">#REF!</definedName>
    <definedName name="XRefPaste6Row" localSheetId="0" hidden="1">#REF!</definedName>
    <definedName name="XRefPaste7" localSheetId="0" hidden="1">#REF!</definedName>
    <definedName name="XRefPaste7Row" localSheetId="0" hidden="1">#REF!</definedName>
    <definedName name="XRefPaste8" localSheetId="0" hidden="1">[25]유형!#REF!</definedName>
    <definedName name="XRefPaste8Row" localSheetId="0" hidden="1">#REF!</definedName>
    <definedName name="XRefPaste9" localSheetId="0" hidden="1">[25]유형!#REF!</definedName>
    <definedName name="XRefPaste9Row" localSheetId="0" hidden="1">[30]XREF!#REF!</definedName>
    <definedName name="XRefPasteRangeCount" localSheetId="0" hidden="1">3</definedName>
    <definedName name="Y2K" localSheetId="0" hidden="1">#REF!</definedName>
    <definedName name="yn" localSheetId="0" hidden="1">#REF!</definedName>
    <definedName name="yyy" localSheetId="0" hidden="1">{#N/A,#N/A,FALSE,"지침";#N/A,#N/A,FALSE,"환경분석";#N/A,#N/A,FALSE,"Sheet16"}</definedName>
    <definedName name="Z_18B7B7A5_CB81_11D4_B8D9_00D0B79CFA38_.wvu.FilterData" localSheetId="0" hidden="1">#REF!</definedName>
    <definedName name="Z_1E68EE86_CB81_11D4_8D98_0008C73BAB8A_.wvu.FilterData" localSheetId="0" hidden="1">#REF!</definedName>
    <definedName name="Z_1F713D72_E6F4_11D3_8E1E_00A0244E179B_.wvu.Cols" localSheetId="0" hidden="1">#REF!</definedName>
    <definedName name="Z_1F713D72_E6F4_11D3_8E1E_00A0244E179B_.wvu.PrintArea" localSheetId="0" hidden="1">#REF!</definedName>
    <definedName name="Z_39BC5E81_0594_11D1_8C74_006097B34275_.wvu.FilterData" localSheetId="0" hidden="1">#REF!</definedName>
    <definedName name="Z_39BC5E82_0594_11D1_8C74_006097B34275_.wvu.FilterData" localSheetId="0" hidden="1">#REF!</definedName>
    <definedName name="Z_47CF822C_7D86_4B88_AF6F_11FB560082E4_.wvu.Rows" localSheetId="0" hidden="1">#REF!,#REF!,#REF!,#REF!</definedName>
    <definedName name="Z_4B5573A2_25FD_11D1_8C74_006097B34275_.wvu.FilterData" localSheetId="0" hidden="1">#REF!</definedName>
    <definedName name="Z_4B5573A3_25FD_11D1_8C74_006097B34275_.wvu.FilterData" localSheetId="0" hidden="1">#REF!</definedName>
    <definedName name="Z_4C289101_0FD6_11D1_A510_006097B38048_.wvu.FilterData" localSheetId="0" hidden="1">#REF!</definedName>
    <definedName name="Z_4C854AA2_3991_11D1_8C74_006097B34275_.wvu.FilterData" localSheetId="0" hidden="1">#REF!</definedName>
    <definedName name="Z_4E9FC601_CB8F_11D0_8C74_006097B34275_.wvu.FilterData" localSheetId="0" hidden="1">#REF!</definedName>
    <definedName name="Z_6332A1C3_4451_11D5_8DF3_00C026000EEF_.wvu.PrintTitles" localSheetId="0" hidden="1">#REF!</definedName>
    <definedName name="Z_6C188702_CB61_11D4_8F58_00508BF61DE6_.wvu.FilterData" localSheetId="0" hidden="1">#REF!</definedName>
    <definedName name="Z_6E0ADC42_F22D_11D0_8C74_006097B34275_.wvu.FilterData" localSheetId="0" hidden="1">#REF!</definedName>
    <definedName name="Z_7E0A45E1_0993_11D1_8C74_006097B34275_.wvu.FilterData" localSheetId="0" hidden="1">#REF!</definedName>
    <definedName name="Z_82212322_246D_11D1_8C74_006097B34275_.wvu.FilterData" localSheetId="0" hidden="1">#REF!</definedName>
    <definedName name="Z_8DB32E57_5A92_444E_B52C_1F9D6A8951FB_.wvu.Cols" localSheetId="0" hidden="1">#REF!,#REF!,#REF!</definedName>
    <definedName name="Z_A56863A1_CC32_11D4_8E20_00D0B79C982E_.wvu.FilterData" localSheetId="0" hidden="1">#REF!</definedName>
    <definedName name="Z_B8175DE2_E97C_11D0_8C74_006097B34275_.wvu.FilterData" localSheetId="0" hidden="1">#REF!</definedName>
    <definedName name="Z_BFEEB821_E6AD_11D3_88E4_00E09870C276_.wvu.PrintArea" localSheetId="0" hidden="1">#REF!</definedName>
    <definedName name="Z_CB0E8320_907C_11D8_8F9A_003018607B51_.wvu.Cols" localSheetId="0" hidden="1">#REF!</definedName>
    <definedName name="Z_DB8AC590_3D3A_11D5_BCB0_000021EC112A_.wvu.Cols" localSheetId="0" hidden="1">#REF!</definedName>
    <definedName name="Z_DB8AC590_3D3A_11D5_BCB0_000021EC112A_.wvu.PrintArea" localSheetId="0" hidden="1">#REF!</definedName>
    <definedName name="Z_DB8AC590_3D3A_11D5_BCB0_000021EC112A_.wvu.PrintTitles" localSheetId="0" hidden="1">#REF!</definedName>
    <definedName name="Z_DB8AC590_3D3A_11D5_BCB0_000021EC112A_.wvu.Rows" localSheetId="0" hidden="1">#REF!,#REF!</definedName>
    <definedName name="Z_DCA8D884_2605_11D1_A510_006097B38048_.wvu.FilterData" localSheetId="0" hidden="1">#REF!</definedName>
    <definedName name="Z_E2699901_D040_11D0_A510_006097B38048_.wvu.FilterData" localSheetId="0" hidden="1">#REF!</definedName>
    <definedName name="Z_F6AB6A24_E5D5_11D3_B573_00104BA1686B_.wvu.Cols" localSheetId="0" hidden="1">#REF!,#REF!,#REF!</definedName>
    <definedName name="zdfa45" localSheetId="0" hidden="1">#REF!</definedName>
    <definedName name="zfewadew" localSheetId="0" hidden="1">#REF!</definedName>
    <definedName name="zzzaa" localSheetId="0" hidden="1">#REF!</definedName>
    <definedName name="ああああああ" localSheetId="0" hidden="1">{#N/A,#N/A,FALSE,"Categories";#N/A,#N/A,FALSE,"MRi INCH";#N/A,#N/A,FALSE,"COA Usage";#N/A,#N/A,FALSE,"Detail"}</definedName>
    <definedName name="さんきゅう" localSheetId="0" hidden="1">#REF!</definedName>
    <definedName name="とーた" localSheetId="0" hidden="1">#REF!</definedName>
    <definedName name="よんきゅう" localSheetId="0" hidden="1">#REF!</definedName>
    <definedName name="ㄱ" localSheetId="0" hidden="1">{#N/A,#N/A,FALSE,"이태원철근"}</definedName>
    <definedName name="ㄱㄱㄱㄱ" localSheetId="0" hidden="1">{#N/A,#N/A,FALSE,"지침";#N/A,#N/A,FALSE,"환경분석";#N/A,#N/A,FALSE,"Sheet16"}</definedName>
    <definedName name="ㄱ히망ㅎ" localSheetId="0" hidden="1">{#N/A,#N/A,FALSE,"1.CRITERIA";#N/A,#N/A,FALSE,"2.IS";#N/A,#N/A,FALSE,"3.BS";#N/A,#N/A,FALSE,"4.PER PL";#N/A,#N/A,FALSE,"5.INVESTMENT";#N/A,#N/A,FALSE,"6.공문";#N/A,#N/A,FALSE,"7.netinvest"}</definedName>
    <definedName name="가격산출" localSheetId="0" hidden="1">#REF!</definedName>
    <definedName name="가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나라" localSheetId="0" hidden="1">{#N/A,#N/A,FALSE,"1.CRITERIA";#N/A,#N/A,FALSE,"2.IS";#N/A,#N/A,FALSE,"3.BS";#N/A,#N/A,FALSE,"4.PER PL";#N/A,#N/A,FALSE,"5.INVESTMENT";#N/A,#N/A,FALSE,"6.공문";#N/A,#N/A,FALSE,"7.netinvest"}</definedName>
    <definedName name="가다" localSheetId="0" hidden="1">{#N/A,#N/A,FALSE,"1.CRITERIA";#N/A,#N/A,FALSE,"2.IS";#N/A,#N/A,FALSE,"3.BS";#N/A,#N/A,FALSE,"4.PER PL";#N/A,#N/A,FALSE,"5.INVESTMENT";#N/A,#N/A,FALSE,"6.공문";#N/A,#N/A,FALSE,"7.netinvest"}</definedName>
    <definedName name="가라" localSheetId="0" hidden="1">{#N/A,#N/A,FALSE,"1.CRITERIA";#N/A,#N/A,FALSE,"2.IS";#N/A,#N/A,FALSE,"3.BS";#N/A,#N/A,FALSE,"4.PER PL";#N/A,#N/A,FALSE,"5.INVESTMENT";#N/A,#N/A,FALSE,"6.공문";#N/A,#N/A,FALSE,"7.netinvest"}</definedName>
    <definedName name="가아" localSheetId="0" hidden="1">{#N/A,#N/A,FALSE,"1.CRITERIA";#N/A,#N/A,FALSE,"2.IS";#N/A,#N/A,FALSE,"3.BS";#N/A,#N/A,FALSE,"4.PER PL";#N/A,#N/A,FALSE,"5.INVESTMENT";#N/A,#N/A,FALSE,"6.공문";#N/A,#N/A,FALSE,"7.netinvest"}</definedName>
    <definedName name="가아노" localSheetId="0" hidden="1">{#N/A,#N/A,FALSE,"1.CRITERIA";#N/A,#N/A,FALSE,"2.IS";#N/A,#N/A,FALSE,"3.BS";#N/A,#N/A,FALSE,"4.PER PL";#N/A,#N/A,FALSE,"5.INVESTMENT";#N/A,#N/A,FALSE,"6.공문";#N/A,#N/A,FALSE,"7.netinvest"}</definedName>
    <definedName name="가아다" localSheetId="0" hidden="1">{#N/A,#N/A,FALSE,"1.CRITERIA";#N/A,#N/A,FALSE,"2.IS";#N/A,#N/A,FALSE,"3.BS";#N/A,#N/A,FALSE,"4.PER PL";#N/A,#N/A,FALSE,"5.INVESTMENT";#N/A,#N/A,FALSE,"6.공문";#N/A,#N/A,FALSE,"7.netinvest"}</definedName>
    <definedName name="가아차" localSheetId="0" hidden="1">{#N/A,#N/A,FALSE,"1.CRITERIA";#N/A,#N/A,FALSE,"2.IS";#N/A,#N/A,FALSE,"3.BS";#N/A,#N/A,FALSE,"4.PER PL";#N/A,#N/A,FALSE,"5.INVESTMENT";#N/A,#N/A,FALSE,"6.공문";#N/A,#N/A,FALSE,"7.netinvest"}</definedName>
    <definedName name="가오" localSheetId="0" hidden="1">{#N/A,#N/A,FALSE,"1.CRITERIA";#N/A,#N/A,FALSE,"2.IS";#N/A,#N/A,FALSE,"3.BS";#N/A,#N/A,FALSE,"4.PER PL";#N/A,#N/A,FALSE,"5.INVESTMENT";#N/A,#N/A,FALSE,"6.공문";#N/A,#N/A,FALSE,"7.netinvest"}</definedName>
    <definedName name="가오나" localSheetId="0" hidden="1">{#N/A,#N/A,FALSE,"1.CRITERIA";#N/A,#N/A,FALSE,"2.IS";#N/A,#N/A,FALSE,"3.BS";#N/A,#N/A,FALSE,"4.PER PL";#N/A,#N/A,FALSE,"5.INVESTMENT";#N/A,#N/A,FALSE,"6.공문";#N/A,#N/A,FALSE,"7.netinvest"}</definedName>
    <definedName name="가오아" localSheetId="0" hidden="1">{#N/A,#N/A,FALSE,"1.CRITERIA";#N/A,#N/A,FALSE,"2.IS";#N/A,#N/A,FALSE,"3.BS";#N/A,#N/A,FALSE,"4.PER PL";#N/A,#N/A,FALSE,"5.INVESTMENT";#N/A,#N/A,FALSE,"6.공문";#N/A,#N/A,FALSE,"7.netinvest"}</definedName>
    <definedName name="가카" localSheetId="0" hidden="1">{#N/A,#N/A,FALSE,"1.CRITERIA";#N/A,#N/A,FALSE,"2.IS";#N/A,#N/A,FALSE,"3.BS";#N/A,#N/A,FALSE,"4.PER PL";#N/A,#N/A,FALSE,"5.INVESTMENT";#N/A,#N/A,FALSE,"6.공문";#N/A,#N/A,FALSE,"7.netinvest"}</definedName>
    <definedName name="가타" localSheetId="0" hidden="1">{#N/A,#N/A,FALSE,"1.CRITERIA";#N/A,#N/A,FALSE,"2.IS";#N/A,#N/A,FALSE,"3.BS";#N/A,#N/A,FALSE,"4.PER PL";#N/A,#N/A,FALSE,"5.INVESTMENT";#N/A,#N/A,FALSE,"6.공문";#N/A,#N/A,FALSE,"7.netinvest"}</definedName>
    <definedName name="갈" localSheetId="0" hidden="1">{#N/A,#N/A,FALSE,"1.CRITERIA";#N/A,#N/A,FALSE,"2.IS";#N/A,#N/A,FALSE,"3.BS";#N/A,#N/A,FALSE,"4.PER PL";#N/A,#N/A,FALSE,"5.INVESTMENT";#N/A,#N/A,FALSE,"6.공문";#N/A,#N/A,FALSE,"7.netinvest"}</definedName>
    <definedName name="감가상가" localSheetId="0" hidden="1">#REF!</definedName>
    <definedName name="감가상각02" localSheetId="0" hidden="1">#REF!</definedName>
    <definedName name="갑지" localSheetId="0" hidden="1">[32]내역서!#REF!</definedName>
    <definedName name="강릉교동" localSheetId="0" hidden="1">#REF!</definedName>
    <definedName name="강릉교동터파기" localSheetId="0" hidden="1">#REF!</definedName>
    <definedName name="강릉교동토목" localSheetId="0" hidden="1">#REF!</definedName>
    <definedName name="강릉교동흙막이" localSheetId="0" hidden="1">#REF!</definedName>
    <definedName name="강릉토공사" localSheetId="0" hidden="1">#REF!</definedName>
    <definedName name="강릉토목공사" localSheetId="0" hidden="1">#REF!</definedName>
    <definedName name="강릉토목임" localSheetId="0" hidden="1">#REF!</definedName>
    <definedName name="강서" localSheetId="0" hidden="1">{#N/A,#N/A,FALSE,"97년 투자계획 세부내역 "}</definedName>
    <definedName name="개선내용" localSheetId="0" hidden="1">{#N/A,#N/A,TRUE,"Y생산";#N/A,#N/A,TRUE,"Y판매";#N/A,#N/A,TRUE,"Y총물량";#N/A,#N/A,TRUE,"Y능력";#N/A,#N/A,TRUE,"YKD"}</definedName>
    <definedName name="개선실적" localSheetId="0" hidden="1">{#N/A,#N/A,TRUE,"Y생산";#N/A,#N/A,TRUE,"Y판매";#N/A,#N/A,TRUE,"Y총물량";#N/A,#N/A,TRUE,"Y능력";#N/A,#N/A,TRUE,"YKD"}</definedName>
    <definedName name="거" localSheetId="0" hidden="1">{#N/A,#N/A,FALSE,"1.CRITERIA";#N/A,#N/A,FALSE,"2.IS";#N/A,#N/A,FALSE,"3.BS";#N/A,#N/A,FALSE,"4.PER PL";#N/A,#N/A,FALSE,"5.INVESTMENT";#N/A,#N/A,FALSE,"6.공문";#N/A,#N/A,FALSE,"7.netinvest"}</definedName>
    <definedName name="거이" localSheetId="0" hidden="1">{#N/A,#N/A,FALSE,"1.CRITERIA";#N/A,#N/A,FALSE,"2.IS";#N/A,#N/A,FALSE,"3.BS";#N/A,#N/A,FALSE,"4.PER PL";#N/A,#N/A,FALSE,"5.INVESTMENT";#N/A,#N/A,FALSE,"6.공문";#N/A,#N/A,FALSE,"7.netinvest"}</definedName>
    <definedName name="건설팀" localSheetId="0" hidden="1">{#N/A,#N/A,TRUE,"Y생산";#N/A,#N/A,TRUE,"Y판매";#N/A,#N/A,TRUE,"Y총물량";#N/A,#N/A,TRUE,"Y능력";#N/A,#N/A,TRUE,"YKD"}</definedName>
    <definedName name="건축팀별" localSheetId="0" hidden="1">{#N/A,#N/A,FALSE,"지침";#N/A,#N/A,FALSE,"환경분석";#N/A,#N/A,FALSE,"Sheet16"}</definedName>
    <definedName name="결산" localSheetId="0" hidden="1">#REF!</definedName>
    <definedName name="경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지표2" localSheetId="0" hidden="1">#REF!</definedName>
    <definedName name="경쟁사2" localSheetId="0" hidden="1">#REF!</definedName>
    <definedName name="경쟁사동향" localSheetId="0" hidden="1">{#N/A,#N/A,FALSE,"97년 투자계획 세부내역 "}</definedName>
    <definedName name="경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계산" localSheetId="0" hidden="1">{#N/A,#N/A,FALSE,"1.CRITERIA";#N/A,#N/A,FALSE,"2.IS";#N/A,#N/A,FALSE,"3.BS";#N/A,#N/A,FALSE,"4.PER PL";#N/A,#N/A,FALSE,"5.INVESTMENT";#N/A,#N/A,FALSE,"6.공문";#N/A,#N/A,FALSE,"7.netinvest"}</definedName>
    <definedName name="계수" localSheetId="0" hidden="1">{#N/A,#N/A,FALSE,"지침";#N/A,#N/A,FALSE,"환경분석";#N/A,#N/A,FALSE,"Sheet16"}</definedName>
    <definedName name="고" localSheetId="0" hidden="1">{#N/A,#N/A,FALSE,"97년 투자계획 세부내역 "}</definedName>
    <definedName name="고재석" localSheetId="0" hidden="1">{#N/A,#N/A,FALSE,"97년 투자계획 세부내역 "}</definedName>
    <definedName name="고정비비교자세히" localSheetId="0" hidden="1">#REF!</definedName>
    <definedName name="공문" localSheetId="0" hidden="1">'[33]지급어음(일별)'!#REF!</definedName>
    <definedName name="공정율" localSheetId="0" hidden="1">{#N/A,#N/A,FALSE,"이태원철근"}</definedName>
    <definedName name="공정율수정" localSheetId="0" hidden="1">{#N/A,#N/A,FALSE,"이태원철근"}</definedName>
    <definedName name="공통매입" localSheetId="0" hidden="1">[34]공통매입원장!#REF!</definedName>
    <definedName name="공통비" localSheetId="0" hidden="1">[35]유림골조!#REF!</definedName>
    <definedName name="공통비코아" localSheetId="0" hidden="1">[36]Sheet2!#REF!</definedName>
    <definedName name="교동토" localSheetId="0" hidden="1">#REF!</definedName>
    <definedName name="구산갑지" localSheetId="0" hidden="1">[13]Summary!#REF!</definedName>
    <definedName name="국제거래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글쎄" localSheetId="0" hidden="1">{#N/A,#N/A,FALSE,"97년 투자계획 세부내역 "}</definedName>
    <definedName name="급여1" localSheetId="0" hidden="1">#REF!</definedName>
    <definedName name="기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아" localSheetId="0" hidden="1">{#N/A,#N/A,FALSE,"1.CRITERIA";#N/A,#N/A,FALSE,"2.IS";#N/A,#N/A,FALSE,"3.BS";#N/A,#N/A,FALSE,"4.PER PL";#N/A,#N/A,FALSE,"5.INVESTMENT";#N/A,#N/A,FALSE,"6.공문";#N/A,#N/A,FALSE,"7.netinvest"}</definedName>
    <definedName name="기아차" localSheetId="0" hidden="1">{#N/A,#N/A,FALSE,"1.CRITERIA";#N/A,#N/A,FALSE,"2.IS";#N/A,#N/A,FALSE,"3.BS";#N/A,#N/A,FALSE,"4.PER PL";#N/A,#N/A,FALSE,"5.INVESTMENT";#N/A,#N/A,FALSE,"6.공문";#N/A,#N/A,FALSE,"7.netinvest"}</definedName>
    <definedName name="김" localSheetId="0" hidden="1">{#N/A,#N/A,FALSE,"이태원철근"}</definedName>
    <definedName name="ㄴㄴㄴ" localSheetId="0" hidden="1">{#N/A,#N/A,TRUE,"대 차 대 조 표"}</definedName>
    <definedName name="ㄴㄹㅇㄹㅇㄴ" localSheetId="0" hidden="1">{#N/A,#N/A,FALSE,"Aging Summary";#N/A,#N/A,FALSE,"Ratio Analysis";#N/A,#N/A,FALSE,"Test 120 Day Accts";#N/A,#N/A,FALSE,"Tickmarks"}</definedName>
    <definedName name="ㄴㅇ" localSheetId="0" hidden="1">{#N/A,#N/A,TRUE,"Y생산";#N/A,#N/A,TRUE,"Y판매";#N/A,#N/A,TRUE,"Y총물량";#N/A,#N/A,TRUE,"Y능력";#N/A,#N/A,TRUE,"YKD"}</definedName>
    <definedName name="ㄴㅇㄹㄴㅇㄹ" localSheetId="0" hidden="1">{#N/A,#N/A,TRUE,"Y생산";#N/A,#N/A,TRUE,"Y판매";#N/A,#N/A,TRUE,"Y총물량";#N/A,#N/A,TRUE,"Y능력";#N/A,#N/A,TRUE,"YKD"}</definedName>
    <definedName name="ㄴㅇㄹㄴㅇㄹㄴㅇㄹ" localSheetId="0" hidden="1">{#N/A,#N/A,TRUE,"Y생산";#N/A,#N/A,TRUE,"Y판매";#N/A,#N/A,TRUE,"Y총물량";#N/A,#N/A,TRUE,"Y능력";#N/A,#N/A,TRUE,"YKD"}</definedName>
    <definedName name="ㄴㅇㅇㄴ" localSheetId="0" hidden="1">{#N/A,#N/A,FALSE,"동부"}</definedName>
    <definedName name="나" localSheetId="0" hidden="1">{#N/A,#N/A,FALSE,"1.CRITERIA";#N/A,#N/A,FALSE,"2.IS";#N/A,#N/A,FALSE,"3.BS";#N/A,#N/A,FALSE,"4.PER PL";#N/A,#N/A,FALSE,"5.INVESTMENT";#N/A,#N/A,FALSE,"6.공문";#N/A,#N/A,FALSE,"7.netinvest"}</definedName>
    <definedName name="나다라" localSheetId="0" hidden="1">{#N/A,#N/A,FALSE,"1.CRITERIA";#N/A,#N/A,FALSE,"2.IS";#N/A,#N/A,FALSE,"3.BS";#N/A,#N/A,FALSE,"4.PER PL";#N/A,#N/A,FALSE,"5.INVESTMENT";#N/A,#N/A,FALSE,"6.공문";#N/A,#N/A,FALSE,"7.netinvest"}</definedName>
    <definedName name="나라" localSheetId="0" hidden="1">{#N/A,#N/A,FALSE,"1.CRITERIA";#N/A,#N/A,FALSE,"2.IS";#N/A,#N/A,FALSE,"3.BS";#N/A,#N/A,FALSE,"4.PER PL";#N/A,#N/A,FALSE,"5.INVESTMENT";#N/A,#N/A,FALSE,"6.공문";#N/A,#N/A,FALSE,"7.netinvest"}</definedName>
    <definedName name="내" localSheetId="0" hidden="1">{#N/A,#N/A,FALSE,"1.CRITERIA";#N/A,#N/A,FALSE,"2.IS";#N/A,#N/A,FALSE,"3.BS";#N/A,#N/A,FALSE,"4.PER PL";#N/A,#N/A,FALSE,"5.INVESTMENT";#N/A,#N/A,FALSE,"6.공문";#N/A,#N/A,FALSE,"7.netinvest"}</definedName>
    <definedName name="내영.." localSheetId="0" hidden="1">{#N/A,#N/A,TRUE,"Y생산";#N/A,#N/A,TRUE,"Y판매";#N/A,#N/A,TRUE,"Y총물량";#N/A,#N/A,TRUE,"Y능력";#N/A,#N/A,TRUE,"YKD"}</definedName>
    <definedName name="내용" localSheetId="0" hidden="1">{#N/A,#N/A,TRUE,"Y생산";#N/A,#N/A,TRUE,"Y판매";#N/A,#N/A,TRUE,"Y총물량";#N/A,#N/A,TRUE,"Y능력";#N/A,#N/A,TRUE,"YKD"}</definedName>
    <definedName name="너" localSheetId="0" hidden="1">{#N/A,#N/A,FALSE,"1.CRITERIA";#N/A,#N/A,FALSE,"2.IS";#N/A,#N/A,FALSE,"3.BS";#N/A,#N/A,FALSE,"4.PER PL";#N/A,#N/A,FALSE,"5.INVESTMENT";#N/A,#N/A,FALSE,"6.공문";#N/A,#N/A,FALSE,"7.netinvest"}</definedName>
    <definedName name="노" localSheetId="0" hidden="1">{#N/A,#N/A,FALSE,"1.CRITERIA";#N/A,#N/A,FALSE,"2.IS";#N/A,#N/A,FALSE,"3.BS";#N/A,#N/A,FALSE,"4.PER PL";#N/A,#N/A,FALSE,"5.INVESTMENT";#N/A,#N/A,FALSE,"6.공문";#N/A,#N/A,FALSE,"7.netinvest"}</definedName>
    <definedName name="ㄷ" localSheetId="0" hidden="1">{#N/A,#N/A,FALSE,"이태원철근"}</definedName>
    <definedName name="ㄷㄷ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ㄷㄷㄷ" localSheetId="0" hidden="1">{#N/A,#N/A,FALSE,"Aging Summary";#N/A,#N/A,FALSE,"Ratio Analysis";#N/A,#N/A,FALSE,"Test 120 Day Accts";#N/A,#N/A,FALSE,"Tickmarks"}</definedName>
    <definedName name="ㄷㄷㄷㄷㄷ" localSheetId="0" hidden="1">{#N/A,#N/A,FALSE,"동부"}</definedName>
    <definedName name="ㄷㅇ" localSheetId="0" hidden="1">{#N/A,#N/A,TRUE,"Y생산";#N/A,#N/A,TRUE,"Y판매";#N/A,#N/A,TRUE,"Y총물량";#N/A,#N/A,TRUE,"Y능력";#N/A,#N/A,TRUE,"YKD"}</definedName>
    <definedName name="ㄷㅇㄹ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다" localSheetId="0" hidden="1">[37]Sheet4!#REF!</definedName>
    <definedName name="다바" localSheetId="0" hidden="1">{#N/A,#N/A,FALSE,"1.CRITERIA";#N/A,#N/A,FALSE,"2.IS";#N/A,#N/A,FALSE,"3.BS";#N/A,#N/A,FALSE,"4.PER PL";#N/A,#N/A,FALSE,"5.INVESTMENT";#N/A,#N/A,FALSE,"6.공문";#N/A,#N/A,FALSE,"7.netinvest"}</definedName>
    <definedName name="단가기준" localSheetId="0" hidden="1">{#N/A,#N/A,TRUE,"Y생산";#N/A,#N/A,TRUE,"Y판매";#N/A,#N/A,TRUE,"Y총물량";#N/A,#N/A,TRUE,"Y능력";#N/A,#N/A,TRUE,"YKD"}</definedName>
    <definedName name="단가대" localSheetId="0" hidden="1">#REF!</definedName>
    <definedName name="단기" localSheetId="0" hidden="1">{#N/A,#N/A,TRUE,"Y생산";#N/A,#N/A,TRUE,"Y판매";#N/A,#N/A,TRUE,"Y총물량";#N/A,#N/A,TRUE,"Y능력";#N/A,#N/A,TRUE,"YKD"}</definedName>
    <definedName name="단기금융상품" localSheetId="0" hidden="1">#REF!</definedName>
    <definedName name="단기차입금1" localSheetId="0" hidden="1">'[38]단기차입금(200006)'!#REF!</definedName>
    <definedName name="대구" localSheetId="0" hidden="1">{#N/A,#N/A,TRUE,"대 차 대 조 표"}</definedName>
    <definedName name="대구200203빌딩별임차현황" localSheetId="0" hidden="1">{#N/A,#N/A,FALSE,"동부"}</definedName>
    <definedName name="대구200207" localSheetId="0" hidden="1">{#N/A,#N/A,FALSE,"동부"}</definedName>
    <definedName name="대구대구" localSheetId="0" hidden="1">{#N/A,#N/A,FALSE,"동부"}</definedName>
    <definedName name="대규모기업집단" localSheetId="0" hidden="1">{#N/A,#N/A,FALSE,"Aging Summary";#N/A,#N/A,FALSE,"Ratio Analysis";#N/A,#N/A,FALSE,"Test 120 Day Accts";#N/A,#N/A,FALSE,"Tickmarks"}</definedName>
    <definedName name="대차123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흥" localSheetId="0" hidden="1">{#N/A,#N/A,TRUE,"대 차 대 조 표"}</definedName>
    <definedName name="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도용" localSheetId="0" hidden="1">#REF!</definedName>
    <definedName name="돠" localSheetId="0" hidden="1">{#N/A,#N/A,FALSE,"1.CRITERIA";#N/A,#N/A,FALSE,"2.IS";#N/A,#N/A,FALSE,"3.BS";#N/A,#N/A,FALSE,"4.PER PL";#N/A,#N/A,FALSE,"5.INVESTMENT";#N/A,#N/A,FALSE,"6.공문";#N/A,#N/A,FALSE,"7.netinvest"}</definedName>
    <definedName name="돼지" localSheetId="0" hidden="1">{#N/A,#N/A,TRUE,"대 차 대 조 표"}</definedName>
    <definedName name="디" localSheetId="0" hidden="1">{#N/A,#N/A,FALSE,"1.CRITERIA";#N/A,#N/A,FALSE,"2.IS";#N/A,#N/A,FALSE,"3.BS";#N/A,#N/A,FALSE,"4.PER PL";#N/A,#N/A,FALSE,"5.INVESTMENT";#N/A,#N/A,FALSE,"6.공문";#N/A,#N/A,FALSE,"7.netinvest"}</definedName>
    <definedName name="ㄹㄴㅇㄹ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ㄴㅇㄹㄴㄱㄴㅇ" localSheetId="0" hidden="1">{#N/A,#N/A,FALSE,"지침";#N/A,#N/A,FALSE,"환경분석";#N/A,#N/A,FALSE,"Sheet16"}</definedName>
    <definedName name="ㄹㄹ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ㄹㄷㄹ" localSheetId="0" hidden="1">{#N/A,#N/A,TRUE,"대 차 대 조 표"}</definedName>
    <definedName name="ㄹㄹㄹㄹㄹㄹㄹㄹㄹ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ㄹ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ㅇㄹㅇㄴㄹㅇㄴㅇㄴ" localSheetId="0" hidden="1">#REF!</definedName>
    <definedName name="ㄹㅇㄴㄹㄴㄹ" localSheetId="0" hidden="1">#REF!</definedName>
    <definedName name="ㄹㅇㄹㅇㄹㄴㅇㄹ" localSheetId="0" hidden="1">#REF!</definedName>
    <definedName name="ㄹㅇㅇㅇㅇㅇ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ㄹㅇㅎ" localSheetId="0" hidden="1">#REF!</definedName>
    <definedName name="라" localSheetId="0" hidden="1">[37]Sheet4!#REF!</definedName>
    <definedName name="라아아" localSheetId="0" hidden="1">{#N/A,#N/A,FALSE,"1.CRITERIA";#N/A,#N/A,FALSE,"2.IS";#N/A,#N/A,FALSE,"3.BS";#N/A,#N/A,FALSE,"4.PER PL";#N/A,#N/A,FALSE,"5.INVESTMENT";#N/A,#N/A,FALSE,"6.공문";#N/A,#N/A,FALSE,"7.netinvest"}</definedName>
    <definedName name="랴" localSheetId="0" hidden="1">{#N/A,#N/A,FALSE,"1.CRITERIA";#N/A,#N/A,FALSE,"2.IS";#N/A,#N/A,FALSE,"3.BS";#N/A,#N/A,FALSE,"4.PER PL";#N/A,#N/A,FALSE,"5.INVESTMENT";#N/A,#N/A,FALSE,"6.공문";#N/A,#N/A,FALSE,"7.netinvest"}</definedName>
    <definedName name="러ㅏㅇ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로" localSheetId="0" hidden="1">{#N/A,#N/A,FALSE,"1.CRITERIA";#N/A,#N/A,FALSE,"2.IS";#N/A,#N/A,FALSE,"3.BS";#N/A,#N/A,FALSE,"4.PER PL";#N/A,#N/A,FALSE,"5.INVESTMENT";#N/A,#N/A,FALSE,"6.공문";#N/A,#N/A,FALSE,"7.netinvest"}</definedName>
    <definedName name="류" localSheetId="0" hidden="1">{#N/A,#N/A,FALSE,"1.CRITERIA";#N/A,#N/A,FALSE,"2.IS";#N/A,#N/A,FALSE,"3.BS";#N/A,#N/A,FALSE,"4.PER PL";#N/A,#N/A,FALSE,"5.INVESTMENT";#N/A,#N/A,FALSE,"6.공문";#N/A,#N/A,FALSE,"7.netinvest"}</definedName>
    <definedName name="리비" localSheetId="0" hidden="1">#REF!</definedName>
    <definedName name="ㄺ" localSheetId="0" hidden="1">{#N/A,#N/A,FALSE,"Aging Summary";#N/A,#N/A,FALSE,"Ratio Analysis";#N/A,#N/A,FALSE,"Test 120 Day Accts";#N/A,#N/A,FALSE,"Tickmarks"}</definedName>
    <definedName name="ㅀ" localSheetId="0" hidden="1">#REF!</definedName>
    <definedName name="ㅁ" localSheetId="0" hidden="1">#REF!</definedName>
    <definedName name="ㅁㄴㅁㅇ" localSheetId="0" hidden="1">[39]유림골조!#REF!</definedName>
    <definedName name="ㅁㄴㅇㅁㄴㅇ" localSheetId="0" hidden="1">{#N/A,#N/A,TRUE,"Y생산";#N/A,#N/A,TRUE,"Y판매";#N/A,#N/A,TRUE,"Y총물량";#N/A,#N/A,TRUE,"Y능력";#N/A,#N/A,TRUE,"YKD"}</definedName>
    <definedName name="ㅁㄴㅇㅁㄴㅇㅁ" localSheetId="0" hidden="1">{#N/A,#N/A,TRUE,"Y생산";#N/A,#N/A,TRUE,"Y판매";#N/A,#N/A,TRUE,"Y총물량";#N/A,#N/A,TRUE,"Y능력";#N/A,#N/A,TRUE,"YKD"}</definedName>
    <definedName name="ㅁㄴㅇㅎㅎ" localSheetId="0" hidden="1">#REF!</definedName>
    <definedName name="ㅁㅁㅁ" localSheetId="0" hidden="1">{#N/A,#N/A,FALSE,"BS";#N/A,#N/A,FALSE,"PL";#N/A,#N/A,FALSE,"처분";#N/A,#N/A,FALSE,"현금";#N/A,#N/A,FALSE,"매출";#N/A,#N/A,FALSE,"원가";#N/A,#N/A,FALSE,"경영"}</definedName>
    <definedName name="ㅁㅁㅁ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ㄴㄻㄴㅇㄹ" localSheetId="0" hidden="1">#REF!</definedName>
    <definedName name="마" localSheetId="0" hidden="1">{#N/A,#N/A,FALSE,"1.CRITERIA";#N/A,#N/A,FALSE,"2.IS";#N/A,#N/A,FALSE,"3.BS";#N/A,#N/A,FALSE,"4.PER PL";#N/A,#N/A,FALSE,"5.INVESTMENT";#N/A,#N/A,FALSE,"6.공문";#N/A,#N/A,FALSE,"7.netinvest"}</definedName>
    <definedName name="마감공사비A3" localSheetId="0" hidden="1">[40]유림골조!#REF!</definedName>
    <definedName name="마련" localSheetId="0" hidden="1">#REF!</definedName>
    <definedName name="마마" localSheetId="0" hidden="1">{#N/A,#N/A,FALSE,"1.CRITERIA";#N/A,#N/A,FALSE,"2.IS";#N/A,#N/A,FALSE,"3.BS";#N/A,#N/A,FALSE,"4.PER PL";#N/A,#N/A,FALSE,"5.INVESTMENT";#N/A,#N/A,FALSE,"6.공문";#N/A,#N/A,FALSE,"7.netinvest"}</definedName>
    <definedName name="마마오" localSheetId="0" hidden="1">{#N/A,#N/A,FALSE,"1.CRITERIA";#N/A,#N/A,FALSE,"2.IS";#N/A,#N/A,FALSE,"3.BS";#N/A,#N/A,FALSE,"4.PER PL";#N/A,#N/A,FALSE,"5.INVESTMENT";#N/A,#N/A,FALSE,"6.공문";#N/A,#N/A,FALSE,"7.netinvest"}</definedName>
    <definedName name="마마이" localSheetId="0" hidden="1">{#N/A,#N/A,FALSE,"1.CRITERIA";#N/A,#N/A,FALSE,"2.IS";#N/A,#N/A,FALSE,"3.BS";#N/A,#N/A,FALSE,"4.PER PL";#N/A,#N/A,FALSE,"5.INVESTMENT";#N/A,#N/A,FALSE,"6.공문";#N/A,#N/A,FALSE,"7.netinvest"}</definedName>
    <definedName name="마아" localSheetId="0" hidden="1">{#N/A,#N/A,FALSE,"1.CRITERIA";#N/A,#N/A,FALSE,"2.IS";#N/A,#N/A,FALSE,"3.BS";#N/A,#N/A,FALSE,"4.PER PL";#N/A,#N/A,FALSE,"5.INVESTMENT";#N/A,#N/A,FALSE,"6.공문";#N/A,#N/A,FALSE,"7.netinvest"}</definedName>
    <definedName name="매" localSheetId="0" hidden="1">{#N/A,#N/A,FALSE,"1.CRITERIA";#N/A,#N/A,FALSE,"2.IS";#N/A,#N/A,FALSE,"3.BS";#N/A,#N/A,FALSE,"4.PER PL";#N/A,#N/A,FALSE,"5.INVESTMENT";#N/A,#N/A,FALSE,"6.공문";#N/A,#N/A,FALSE,"7.netinvest"}</definedName>
    <definedName name="매축액2" localSheetId="0" hidden="1">{#N/A,#N/A,FALSE,"1.CRITERIA";#N/A,#N/A,FALSE,"2.IS";#N/A,#N/A,FALSE,"3.BS";#N/A,#N/A,FALSE,"4.PER PL";#N/A,#N/A,FALSE,"5.INVESTMENT";#N/A,#N/A,FALSE,"6.공문";#N/A,#N/A,FALSE,"7.netinvest"}</definedName>
    <definedName name="매출1" localSheetId="0" hidden="1">#REF!</definedName>
    <definedName name="매출액2" localSheetId="0" hidden="1">{#N/A,#N/A,FALSE,"1.CRITERIA";#N/A,#N/A,FALSE,"2.IS";#N/A,#N/A,FALSE,"3.BS";#N/A,#N/A,FALSE,"4.PER PL";#N/A,#N/A,FALSE,"5.INVESTMENT";#N/A,#N/A,FALSE,"6.공문";#N/A,#N/A,FALSE,"7.netinvest"}</definedName>
    <definedName name="머머" localSheetId="0" hidden="1">{#N/A,#N/A,FALSE,"1.CRITERIA";#N/A,#N/A,FALSE,"2.IS";#N/A,#N/A,FALSE,"3.BS";#N/A,#N/A,FALSE,"4.PER PL";#N/A,#N/A,FALSE,"5.INVESTMENT";#N/A,#N/A,FALSE,"6.공문";#N/A,#N/A,FALSE,"7.netinvest"}</definedName>
    <definedName name="메롱" localSheetId="0" hidden="1">{#N/A,#N/A,FALSE,"동부"}</definedName>
    <definedName name="며며" localSheetId="0" hidden="1">{#N/A,#N/A,FALSE,"1.CRITERIA";#N/A,#N/A,FALSE,"2.IS";#N/A,#N/A,FALSE,"3.BS";#N/A,#N/A,FALSE,"4.PER PL";#N/A,#N/A,FALSE,"5.INVESTMENT";#N/A,#N/A,FALSE,"6.공문";#N/A,#N/A,FALSE,"7.netinvest"}</definedName>
    <definedName name="모리" localSheetId="0" hidden="1">{#N/A,#N/A,FALSE,"1.CRITERIA";#N/A,#N/A,FALSE,"2.IS";#N/A,#N/A,FALSE,"3.BS";#N/A,#N/A,FALSE,"4.PER PL";#N/A,#N/A,FALSE,"5.INVESTMENT";#N/A,#N/A,FALSE,"6.공문";#N/A,#N/A,FALSE,"7.netinvest"}</definedName>
    <definedName name="모모" localSheetId="0" hidden="1">{#N/A,#N/A,FALSE,"1.CRITERIA";#N/A,#N/A,FALSE,"2.IS";#N/A,#N/A,FALSE,"3.BS";#N/A,#N/A,FALSE,"4.PER PL";#N/A,#N/A,FALSE,"5.INVESTMENT";#N/A,#N/A,FALSE,"6.공문";#N/A,#N/A,FALSE,"7.netinvest"}</definedName>
    <definedName name="뫌" localSheetId="0" hidden="1">{#N/A,#N/A,FALSE,"1.CRITERIA";#N/A,#N/A,FALSE,"2.IS";#N/A,#N/A,FALSE,"3.BS";#N/A,#N/A,FALSE,"4.PER PL";#N/A,#N/A,FALSE,"5.INVESTMENT";#N/A,#N/A,FALSE,"6.공문";#N/A,#N/A,FALSE,"7.netinvest"}</definedName>
    <definedName name="무무" localSheetId="0" hidden="1">{#N/A,#N/A,FALSE,"1.CRITERIA";#N/A,#N/A,FALSE,"2.IS";#N/A,#N/A,FALSE,"3.BS";#N/A,#N/A,FALSE,"4.PER PL";#N/A,#N/A,FALSE,"5.INVESTMENT";#N/A,#N/A,FALSE,"6.공문";#N/A,#N/A,FALSE,"7.netinvest"}</definedName>
    <definedName name="무형자산" localSheetId="0" hidden="1">{#N/A,#N/A,FALSE,"Aging Summary";#N/A,#N/A,FALSE,"Ratio Analysis";#N/A,#N/A,FALSE,"Test 120 Day Accts";#N/A,#N/A,FALSE,"Tickmarks"}</definedName>
    <definedName name="물" localSheetId="0" hidden="1">{#N/A,#N/A,FALSE,"이태원철근"}</definedName>
    <definedName name="물가" localSheetId="0" hidden="1">{#N/A,#N/A,FALSE,"이태원철근"}</definedName>
    <definedName name="물랴자" localSheetId="0" hidden="1">{#N/A,#N/A,TRUE,"Y생산";#N/A,#N/A,TRUE,"Y판매";#N/A,#N/A,TRUE,"Y총물량";#N/A,#N/A,TRUE,"Y능력";#N/A,#N/A,TRUE,"YKD"}</definedName>
    <definedName name="물량수" localSheetId="0" hidden="1">{#N/A,#N/A,TRUE,"Y생산";#N/A,#N/A,TRUE,"Y판매";#N/A,#N/A,TRUE,"Y총물량";#N/A,#N/A,TRUE,"Y능력";#N/A,#N/A,TRUE,"YKD"}</definedName>
    <definedName name="물량수정" localSheetId="0" hidden="1">{#N/A,#N/A,TRUE,"Y생산";#N/A,#N/A,TRUE,"Y판매";#N/A,#N/A,TRUE,"Y총물량";#N/A,#N/A,TRUE,"Y능력";#N/A,#N/A,TRUE,"YKD"}</definedName>
    <definedName name="물량수정1" localSheetId="0" hidden="1">{#N/A,#N/A,TRUE,"Y생산";#N/A,#N/A,TRUE,"Y판매";#N/A,#N/A,TRUE,"Y총물량";#N/A,#N/A,TRUE,"Y능력";#N/A,#N/A,TRUE,"YKD"}</definedName>
    <definedName name="물량수정2" localSheetId="0" hidden="1">{#N/A,#N/A,TRUE,"Y생산";#N/A,#N/A,TRUE,"Y판매";#N/A,#N/A,TRUE,"Y총물량";#N/A,#N/A,TRUE,"Y능력";#N/A,#N/A,TRUE,"YKD"}</definedName>
    <definedName name="물량정" localSheetId="0" hidden="1">{#N/A,#N/A,TRUE,"Y생산";#N/A,#N/A,TRUE,"Y판매";#N/A,#N/A,TRUE,"Y총물량";#N/A,#N/A,TRUE,"Y능력";#N/A,#N/A,TRUE,"YKD"}</definedName>
    <definedName name="물량조정" localSheetId="0" hidden="1">{#N/A,#N/A,TRUE,"Y생산";#N/A,#N/A,TRUE,"Y판매";#N/A,#N/A,TRUE,"Y총물량";#N/A,#N/A,TRUE,"Y능력";#N/A,#N/A,TRUE,"YKD"}</definedName>
    <definedName name="물수" localSheetId="0" hidden="1">{#N/A,#N/A,TRUE,"Y생산";#N/A,#N/A,TRUE,"Y판매";#N/A,#N/A,TRUE,"Y총물량";#N/A,#N/A,TRUE,"Y능력";#N/A,#N/A,TRUE,"YKD"}</definedName>
    <definedName name="뭐가이태원이야" localSheetId="0" hidden="1">{#N/A,#N/A,FALSE,"이태원철근"}</definedName>
    <definedName name="뮤뮤" localSheetId="0" hidden="1">{#N/A,#N/A,FALSE,"1.CRITERIA";#N/A,#N/A,FALSE,"2.IS";#N/A,#N/A,FALSE,"3.BS";#N/A,#N/A,FALSE,"4.PER PL";#N/A,#N/A,FALSE,"5.INVESTMENT";#N/A,#N/A,FALSE,"6.공문";#N/A,#N/A,FALSE,"7.netinvest"}</definedName>
    <definedName name="뮬소" localSheetId="0" hidden="1">{#N/A,#N/A,TRUE,"Y생산";#N/A,#N/A,TRUE,"Y판매";#N/A,#N/A,TRUE,"Y총물량";#N/A,#N/A,TRUE,"Y능력";#N/A,#N/A,TRUE,"YKD"}</definedName>
    <definedName name="미라" localSheetId="0" hidden="1">{#N/A,#N/A,FALSE,"1.CRITERIA";#N/A,#N/A,FALSE,"2.IS";#N/A,#N/A,FALSE,"3.BS";#N/A,#N/A,FALSE,"4.PER PL";#N/A,#N/A,FALSE,"5.INVESTMENT";#N/A,#N/A,FALSE,"6.공문";#N/A,#N/A,FALSE,"7.netinvest"}</definedName>
    <definedName name="미로" localSheetId="0" hidden="1">{#N/A,#N/A,FALSE,"1.CRITERIA";#N/A,#N/A,FALSE,"2.IS";#N/A,#N/A,FALSE,"3.BS";#N/A,#N/A,FALSE,"4.PER PL";#N/A,#N/A,FALSE,"5.INVESTMENT";#N/A,#N/A,FALSE,"6.공문";#N/A,#N/A,FALSE,"7.netinvest"}</definedName>
    <definedName name="미로어" localSheetId="0" hidden="1">{#N/A,#N/A,FALSE,"1.CRITERIA";#N/A,#N/A,FALSE,"2.IS";#N/A,#N/A,FALSE,"3.BS";#N/A,#N/A,FALSE,"4.PER PL";#N/A,#N/A,FALSE,"5.INVESTMENT";#N/A,#N/A,FALSE,"6.공문";#N/A,#N/A,FALSE,"7.netinvest"}</definedName>
    <definedName name="미료" localSheetId="0" hidden="1">{#N/A,#N/A,FALSE,"1.CRITERIA";#N/A,#N/A,FALSE,"2.IS";#N/A,#N/A,FALSE,"3.BS";#N/A,#N/A,FALSE,"4.PER PL";#N/A,#N/A,FALSE,"5.INVESTMENT";#N/A,#N/A,FALSE,"6.공문";#N/A,#N/A,FALSE,"7.netinvest"}</definedName>
    <definedName name="미미" localSheetId="0" hidden="1">{#N/A,#N/A,FALSE,"1.CRITERIA";#N/A,#N/A,FALSE,"2.IS";#N/A,#N/A,FALSE,"3.BS";#N/A,#N/A,FALSE,"4.PER PL";#N/A,#N/A,FALSE,"5.INVESTMENT";#N/A,#N/A,FALSE,"6.공문";#N/A,#N/A,FALSE,"7.netinvest"}</definedName>
    <definedName name="미화" localSheetId="0" hidden="1">{#N/A,#N/A,FALSE,"이력서&amp;자기소개서"}</definedName>
    <definedName name="미화2" localSheetId="0" hidden="1">{#N/A,#N/A,FALSE,"이력서&amp;자기소개서"}</definedName>
    <definedName name="민감도" localSheetId="0" hidden="1">#REF!</definedName>
    <definedName name="ㅂㅂ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" localSheetId="0" hidden="1">#REF!,#REF!,#REF!,#REF!</definedName>
    <definedName name="바" localSheetId="0" hidden="1">{#N/A,#N/A,FALSE,"1.CRITERIA";#N/A,#N/A,FALSE,"2.IS";#N/A,#N/A,FALSE,"3.BS";#N/A,#N/A,FALSE,"4.PER PL";#N/A,#N/A,FALSE,"5.INVESTMENT";#N/A,#N/A,FALSE,"6.공문";#N/A,#N/A,FALSE,"7.netinvest"}</definedName>
    <definedName name="바가" localSheetId="0" hidden="1">{#N/A,#N/A,FALSE,"1.CRITERIA";#N/A,#N/A,FALSE,"2.IS";#N/A,#N/A,FALSE,"3.BS";#N/A,#N/A,FALSE,"4.PER PL";#N/A,#N/A,FALSE,"5.INVESTMENT";#N/A,#N/A,FALSE,"6.공문";#N/A,#N/A,FALSE,"7.netinvest"}</definedName>
    <definedName name="바나" localSheetId="0" hidden="1">{#N/A,#N/A,FALSE,"1.CRITERIA";#N/A,#N/A,FALSE,"2.IS";#N/A,#N/A,FALSE,"3.BS";#N/A,#N/A,FALSE,"4.PER PL";#N/A,#N/A,FALSE,"5.INVESTMENT";#N/A,#N/A,FALSE,"6.공문";#N/A,#N/A,FALSE,"7.netinvest"}</definedName>
    <definedName name="바다올" localSheetId="0" hidden="1">{#N/A,#N/A,FALSE,"1.CRITERIA";#N/A,#N/A,FALSE,"2.IS";#N/A,#N/A,FALSE,"3.BS";#N/A,#N/A,FALSE,"4.PER PL";#N/A,#N/A,FALSE,"5.INVESTMENT";#N/A,#N/A,FALSE,"6.공문";#N/A,#N/A,FALSE,"7.netinvest"}</definedName>
    <definedName name="바라" localSheetId="0" hidden="1">{#N/A,#N/A,FALSE,"1.CRITERIA";#N/A,#N/A,FALSE,"2.IS";#N/A,#N/A,FALSE,"3.BS";#N/A,#N/A,FALSE,"4.PER PL";#N/A,#N/A,FALSE,"5.INVESTMENT";#N/A,#N/A,FALSE,"6.공문";#N/A,#N/A,FALSE,"7.netinvest"}</definedName>
    <definedName name="바라오" localSheetId="0" hidden="1">{#N/A,#N/A,FALSE,"1.CRITERIA";#N/A,#N/A,FALSE,"2.IS";#N/A,#N/A,FALSE,"3.BS";#N/A,#N/A,FALSE,"4.PER PL";#N/A,#N/A,FALSE,"5.INVESTMENT";#N/A,#N/A,FALSE,"6.공문";#N/A,#N/A,FALSE,"7.netinvest"}</definedName>
    <definedName name="바로" localSheetId="0" hidden="1">{#N/A,#N/A,FALSE,"1.CRITERIA";#N/A,#N/A,FALSE,"2.IS";#N/A,#N/A,FALSE,"3.BS";#N/A,#N/A,FALSE,"4.PER PL";#N/A,#N/A,FALSE,"5.INVESTMENT";#N/A,#N/A,FALSE,"6.공문";#N/A,#N/A,FALSE,"7.netinvest"}</definedName>
    <definedName name="바바" localSheetId="0" hidden="1">{#N/A,#N/A,FALSE,"1.CRITERIA";#N/A,#N/A,FALSE,"2.IS";#N/A,#N/A,FALSE,"3.BS";#N/A,#N/A,FALSE,"4.PER PL";#N/A,#N/A,FALSE,"5.INVESTMENT";#N/A,#N/A,FALSE,"6.공문";#N/A,#N/A,FALSE,"7.netinvest"}</definedName>
    <definedName name="바바라" localSheetId="0" hidden="1">{#N/A,#N/A,TRUE,"Y생산";#N/A,#N/A,TRUE,"Y판매";#N/A,#N/A,TRUE,"Y총물량";#N/A,#N/A,TRUE,"Y능력";#N/A,#N/A,TRUE,"YKD"}</definedName>
    <definedName name="바아" localSheetId="0" hidden="1">{#N/A,#N/A,FALSE,"1.CRITERIA";#N/A,#N/A,FALSE,"2.IS";#N/A,#N/A,FALSE,"3.BS";#N/A,#N/A,FALSE,"4.PER PL";#N/A,#N/A,FALSE,"5.INVESTMENT";#N/A,#N/A,FALSE,"6.공문";#N/A,#N/A,FALSE,"7.netinvest"}</definedName>
    <definedName name="바아가" localSheetId="0" hidden="1">{#N/A,#N/A,FALSE,"1.CRITERIA";#N/A,#N/A,FALSE,"2.IS";#N/A,#N/A,FALSE,"3.BS";#N/A,#N/A,FALSE,"4.PER PL";#N/A,#N/A,FALSE,"5.INVESTMENT";#N/A,#N/A,FALSE,"6.공문";#N/A,#N/A,FALSE,"7.netinvest"}</definedName>
    <definedName name="바아가오" localSheetId="0" hidden="1">{#N/A,#N/A,FALSE,"1.CRITERIA";#N/A,#N/A,FALSE,"2.IS";#N/A,#N/A,FALSE,"3.BS";#N/A,#N/A,FALSE,"4.PER PL";#N/A,#N/A,FALSE,"5.INVESTMENT";#N/A,#N/A,FALSE,"6.공문";#N/A,#N/A,FALSE,"7.netinvest"}</definedName>
    <definedName name="바아고" localSheetId="0" hidden="1">{#N/A,#N/A,FALSE,"1.CRITERIA";#N/A,#N/A,FALSE,"2.IS";#N/A,#N/A,FALSE,"3.BS";#N/A,#N/A,FALSE,"4.PER PL";#N/A,#N/A,FALSE,"5.INVESTMENT";#N/A,#N/A,FALSE,"6.공문";#N/A,#N/A,FALSE,"7.netinvest"}</definedName>
    <definedName name="바이" localSheetId="0" hidden="1">{#N/A,#N/A,FALSE,"1.CRITERIA";#N/A,#N/A,FALSE,"2.IS";#N/A,#N/A,FALSE,"3.BS";#N/A,#N/A,FALSE,"4.PER PL";#N/A,#N/A,FALSE,"5.INVESTMENT";#N/A,#N/A,FALSE,"6.공문";#N/A,#N/A,FALSE,"7.netinvest"}</definedName>
    <definedName name="박" localSheetId="0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반품내역" localSheetId="0" hidden="1">#REF!</definedName>
    <definedName name="발" localSheetId="0" hidden="1">{#N/A,#N/A,FALSE,"1.CRITERIA";#N/A,#N/A,FALSE,"2.IS";#N/A,#N/A,FALSE,"3.BS";#N/A,#N/A,FALSE,"4.PER PL";#N/A,#N/A,FALSE,"5.INVESTMENT";#N/A,#N/A,FALSE,"6.공문";#N/A,#N/A,FALSE,"7.netinvest"}</definedName>
    <definedName name="배" localSheetId="0" hidden="1">{#N/A,#N/A,FALSE,"1.CRITERIA";#N/A,#N/A,FALSE,"2.IS";#N/A,#N/A,FALSE,"3.BS";#N/A,#N/A,FALSE,"4.PER PL";#N/A,#N/A,FALSE,"5.INVESTMENT";#N/A,#N/A,FALSE,"6.공문";#N/A,#N/A,FALSE,"7.netinvest"}</definedName>
    <definedName name="配賦" localSheetId="0" hidden="1">#REF!</definedName>
    <definedName name="배분전" localSheetId="0" hidden="1">{#N/A,#N/A,TRUE,"대 차 대 조 표"}</definedName>
    <definedName name="버버" localSheetId="0" hidden="1">{#N/A,#N/A,FALSE,"1.CRITERIA";#N/A,#N/A,FALSE,"2.IS";#N/A,#N/A,FALSE,"3.BS";#N/A,#N/A,FALSE,"4.PER PL";#N/A,#N/A,FALSE,"5.INVESTMENT";#N/A,#N/A,FALSE,"6.공문";#N/A,#N/A,FALSE,"7.netinvest"}</definedName>
    <definedName name="베" localSheetId="0" hidden="1">{#N/A,#N/A,FALSE,"1.CRITERIA";#N/A,#N/A,FALSE,"2.IS";#N/A,#N/A,FALSE,"3.BS";#N/A,#N/A,FALSE,"4.PER PL";#N/A,#N/A,FALSE,"5.INVESTMENT";#N/A,#N/A,FALSE,"6.공문";#N/A,#N/A,FALSE,"7.netinvest"}</definedName>
    <definedName name="별지66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보" localSheetId="0" hidden="1">{#N/A,#N/A,FALSE,"1.CRITERIA";#N/A,#N/A,FALSE,"2.IS";#N/A,#N/A,FALSE,"3.BS";#N/A,#N/A,FALSE,"4.PER PL";#N/A,#N/A,FALSE,"5.INVESTMENT";#N/A,#N/A,FALSE,"6.공문";#N/A,#N/A,FALSE,"7.netinvest"}</definedName>
    <definedName name="보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라차" localSheetId="0" hidden="1">{#N/A,#N/A,FALSE,"1.CRITERIA";#N/A,#N/A,FALSE,"2.IS";#N/A,#N/A,FALSE,"3.BS";#N/A,#N/A,FALSE,"4.PER PL";#N/A,#N/A,FALSE,"5.INVESTMENT";#N/A,#N/A,FALSE,"6.공문";#N/A,#N/A,FALSE,"7.netinvest"}</definedName>
    <definedName name="보아리" localSheetId="0" hidden="1">{#N/A,#N/A,FALSE,"1.CRITERIA";#N/A,#N/A,FALSE,"2.IS";#N/A,#N/A,FALSE,"3.BS";#N/A,#N/A,FALSE,"4.PER PL";#N/A,#N/A,FALSE,"5.INVESTMENT";#N/A,#N/A,FALSE,"6.공문";#N/A,#N/A,FALSE,"7.netinvest"}</definedName>
    <definedName name="보이" localSheetId="0" hidden="1">{#N/A,#N/A,FALSE,"1.CRITERIA";#N/A,#N/A,FALSE,"2.IS";#N/A,#N/A,FALSE,"3.BS";#N/A,#N/A,FALSE,"4.PER PL";#N/A,#N/A,FALSE,"5.INVESTMENT";#N/A,#N/A,FALSE,"6.공문";#N/A,#N/A,FALSE,"7.netinvest"}</definedName>
    <definedName name="보이아" localSheetId="0" hidden="1">{#N/A,#N/A,FALSE,"1.CRITERIA";#N/A,#N/A,FALSE,"2.IS";#N/A,#N/A,FALSE,"3.BS";#N/A,#N/A,FALSE,"4.PER PL";#N/A,#N/A,FALSE,"5.INVESTMENT";#N/A,#N/A,FALSE,"6.공문";#N/A,#N/A,FALSE,"7.netinvest"}</definedName>
    <definedName name="볼" localSheetId="0" hidden="1">{#N/A,#N/A,FALSE,"1.CRITERIA";#N/A,#N/A,FALSE,"2.IS";#N/A,#N/A,FALSE,"3.BS";#N/A,#N/A,FALSE,"4.PER PL";#N/A,#N/A,FALSE,"5.INVESTMENT";#N/A,#N/A,FALSE,"6.공문";#N/A,#N/A,FALSE,"7.netinvest"}</definedName>
    <definedName name="봐" localSheetId="0" hidden="1">{#N/A,#N/A,FALSE,"1.CRITERIA";#N/A,#N/A,FALSE,"2.IS";#N/A,#N/A,FALSE,"3.BS";#N/A,#N/A,FALSE,"4.PER PL";#N/A,#N/A,FALSE,"5.INVESTMENT";#N/A,#N/A,FALSE,"6.공문";#N/A,#N/A,FALSE,"7.netinvest"}</definedName>
    <definedName name="부대건축2" localSheetId="0" hidden="1">#REF!</definedName>
    <definedName name="분" localSheetId="0" hidden="1">{#N/A,#N/A,FALSE,"이태원철근"}</definedName>
    <definedName name="분기별" localSheetId="0" hidden="1">{#N/A,#N/A,TRUE,"Y생산";#N/A,#N/A,TRUE,"Y판매";#N/A,#N/A,TRUE,"Y총물량";#N/A,#N/A,TRUE,"Y능력";#N/A,#N/A,TRUE,"YKD"}</definedName>
    <definedName name="분당협조" localSheetId="0" hidden="1">{#N/A,#N/A,FALSE,"이태원철근"}</definedName>
    <definedName name="비" localSheetId="0" hidden="1">{#N/A,#N/A,FALSE,"동부"}</definedName>
    <definedName name="비과세" localSheetId="0" hidden="1">#REF!</definedName>
    <definedName name="빌" localSheetId="0" hidden="1">{#N/A,#N/A,FALSE,"동부"}</definedName>
    <definedName name="빌딩" localSheetId="0" hidden="1">{#N/A,#N/A,FALSE,"동부"}</definedName>
    <definedName name="빌딩2" localSheetId="0" hidden="1">{#N/A,#N/A,FALSE,"동부"}</definedName>
    <definedName name="빌딩3" localSheetId="0" hidden="1">{#N/A,#N/A,FALSE,"동부"}</definedName>
    <definedName name="빌딩별2" localSheetId="0" hidden="1">{#N/A,#N/A,FALSE,"동부"}</definedName>
    <definedName name="빌딩별강남" localSheetId="0" hidden="1">{#N/A,#N/A,FALSE,"동부"}</definedName>
    <definedName name="빙수" localSheetId="0" hidden="1">{#N/A,#N/A,FALSE,"1.CRITERIA";#N/A,#N/A,FALSE,"2.IS";#N/A,#N/A,FALSE,"3.BS";#N/A,#N/A,FALSE,"4.PER PL";#N/A,#N/A,FALSE,"5.INVESTMENT";#N/A,#N/A,FALSE,"6.공문";#N/A,#N/A,FALSE,"7.netinvest"}</definedName>
    <definedName name="ㅅㅗ" localSheetId="0" hidden="1">#REF!</definedName>
    <definedName name="사" localSheetId="0" hidden="1">{#N/A,#N/A,FALSE,"1.CRITERIA";#N/A,#N/A,FALSE,"2.IS";#N/A,#N/A,FALSE,"3.BS";#N/A,#N/A,FALSE,"4.PER PL";#N/A,#N/A,FALSE,"5.INVESTMENT";#N/A,#N/A,FALSE,"6.공문";#N/A,#N/A,FALSE,"7.netinvest"}</definedName>
    <definedName name="사1" localSheetId="0" hidden="1">{#N/A,#N/A,FALSE,"지침";#N/A,#N/A,FALSE,"환경분석";#N/A,#N/A,FALSE,"Sheet16"}</definedName>
    <definedName name="사랑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사진" localSheetId="0" hidden="1">#REF!</definedName>
    <definedName name="사원미지급" localSheetId="0" hidden="1">{#N/A,#N/A,FALSE,"1.CRITERIA";#N/A,#N/A,FALSE,"2.IS";#N/A,#N/A,FALSE,"3.BS";#N/A,#N/A,FALSE,"4.PER PL";#N/A,#N/A,FALSE,"5.INVESTMENT";#N/A,#N/A,FALSE,"6.공문";#N/A,#N/A,FALSE,"7.netinvest"}</definedName>
    <definedName name="사채" localSheetId="0" hidden="1">#REF!</definedName>
    <definedName name="산출근거" localSheetId="0" hidden="1">#REF!</definedName>
    <definedName name="상각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품" localSheetId="0" hidden="1">#REF!</definedName>
    <definedName name="생" localSheetId="0" hidden="1">#REF!</definedName>
    <definedName name="생산1" localSheetId="0" hidden="1">#REF!</definedName>
    <definedName name="서비스임대" localSheetId="0" hidden="1">#REF!</definedName>
    <definedName name="서이" localSheetId="0" hidden="1">{#N/A,#N/A,FALSE,"1.CRITERIA";#N/A,#N/A,FALSE,"2.IS";#N/A,#N/A,FALSE,"3.BS";#N/A,#N/A,FALSE,"4.PER PL";#N/A,#N/A,FALSE,"5.INVESTMENT";#N/A,#N/A,FALSE,"6.공문";#N/A,#N/A,FALSE,"7.netinvest"}</definedName>
    <definedName name="서초" localSheetId="0" hidden="1">{#N/A,#N/A,TRUE,"대 차 대 조 표"}</definedName>
    <definedName name="서초2" localSheetId="0" hidden="1">{#N/A,#N/A,TRUE,"대 차 대 조 표"}</definedName>
    <definedName name="서초해동" localSheetId="0" hidden="1">{#N/A,#N/A,TRUE,"대 차 대 조 표"}</definedName>
    <definedName name="선급금" localSheetId="0" hidden="1">{#N/A,#N/A,FALSE,"1.CRITERIA";#N/A,#N/A,FALSE,"2.IS";#N/A,#N/A,FALSE,"3.BS";#N/A,#N/A,FALSE,"4.PER PL";#N/A,#N/A,FALSE,"5.INVESTMENT";#N/A,#N/A,FALSE,"6.공문";#N/A,#N/A,FALSE,"7.netinvest"}</definedName>
    <definedName name="설비" localSheetId="0" hidden="1">{#N/A,#N/A,FALSE,"이태원철근"}</definedName>
    <definedName name="세전익익" localSheetId="0" hidden="1">{#N/A,#N/A,FALSE,"지침";#N/A,#N/A,FALSE,"환경분석";#N/A,#N/A,FALSE,"Sheet16"}</definedName>
    <definedName name="손실" localSheetId="0" hidden="1">{#N/A,#N/A,FALSE,"1.CRITERIA";#N/A,#N/A,FALSE,"2.IS";#N/A,#N/A,FALSE,"3.BS";#N/A,#N/A,FALSE,"4.PER PL";#N/A,#N/A,FALSE,"5.INVESTMENT";#N/A,#N/A,FALSE,"6.공문";#N/A,#N/A,FALSE,"7.netinvest"}</definedName>
    <definedName name="손익계산서조정_04_12" localSheetId="0" hidden="1">{#N/A,#N/A,FALSE,"1.CRITERIA";#N/A,#N/A,FALSE,"2.IS";#N/A,#N/A,FALSE,"3.BS";#N/A,#N/A,FALSE,"4.PER PL";#N/A,#N/A,FALSE,"5.INVESTMENT";#N/A,#N/A,FALSE,"6.공문";#N/A,#N/A,FALSE,"7.netinvest"}</definedName>
    <definedName name="손익변경" localSheetId="0" hidden="1">{#N/A,#N/A,FALSE,"지침";#N/A,#N/A,FALSE,"환경분석";#N/A,#N/A,FALSE,"Sheet16"}</definedName>
    <definedName name="솔" localSheetId="0" hidden="1">{#N/A,#N/A,TRUE,"대 차 대 조 표"}</definedName>
    <definedName name="수광비" localSheetId="0" hidden="1">{#N/A,#N/A,FALSE,"동부"}</definedName>
    <definedName name="수광비실적" localSheetId="0" hidden="1">#REF!</definedName>
    <definedName name="수도" localSheetId="0" hidden="1">#REF!</definedName>
    <definedName name="수용" localSheetId="0" hidden="1">#REF!</definedName>
    <definedName name="수익" localSheetId="0" hidden="1">#REF!</definedName>
    <definedName name="수입" localSheetId="0" hidden="1">{#N/A,#N/A,TRUE,"대 차 대 조 표"}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물량" localSheetId="0" hidden="1">{#N/A,#N/A,TRUE,"Y생산";#N/A,#N/A,TRUE,"Y판매";#N/A,#N/A,TRUE,"Y총물량";#N/A,#N/A,TRUE,"Y능력";#N/A,#N/A,TRUE,"YKD"}</definedName>
    <definedName name="수정사항집계표" localSheetId="0" hidden="1">[44]상품입고집계!#REF!</definedName>
    <definedName name="시행" localSheetId="0" hidden="1">{#N/A,#N/A,FALSE,"이태원철근"}</definedName>
    <definedName name="실제급여" localSheetId="0" hidden="1">{#N/A,#N/A,TRUE,"대 차 대 조 표"}</definedName>
    <definedName name="씨엔에이치" localSheetId="0" hidden="1">{#N/A,#N/A,TRUE,"대 차 대 조 표"}</definedName>
    <definedName name="ㅇ" localSheetId="0" hidden="1">{#N/A,#N/A,FALSE,"BS";#N/A,#N/A,FALSE,"PL";#N/A,#N/A,FALSE,"처분";#N/A,#N/A,FALSE,"현금";#N/A,#N/A,FALSE,"매출";#N/A,#N/A,FALSE,"원가";#N/A,#N/A,FALSE,"경영"}</definedName>
    <definedName name="ㅇㄴㄻㄴㅇㄹ" localSheetId="0" hidden="1">{#N/A,#N/A,TRUE,"Y생산";#N/A,#N/A,TRUE,"Y판매";#N/A,#N/A,TRUE,"Y총물량";#N/A,#N/A,TRUE,"Y능력";#N/A,#N/A,TRUE,"YKD"}</definedName>
    <definedName name="ㅇㄴㅇㄹㄴㅇ" localSheetId="0" hidden="1">{#N/A,#N/A,TRUE,"Y생산";#N/A,#N/A,TRUE,"Y판매";#N/A,#N/A,TRUE,"Y총물량";#N/A,#N/A,TRUE,"Y능력";#N/A,#N/A,TRUE,"YKD"}</definedName>
    <definedName name="ㅇㄷ" localSheetId="0" hidden="1">{#N/A,#N/A,FALSE,"Aging Summary";#N/A,#N/A,FALSE,"Ratio Analysis";#N/A,#N/A,FALSE,"Test 120 Day Accts";#N/A,#N/A,FALSE,"Tickmarks"}</definedName>
    <definedName name="ㅇㄹㄴ" localSheetId="0" hidden="1">{#N/A,#N/A,FALSE,"97년 투자계획 세부내역 "}</definedName>
    <definedName name="ㅇㄹㄴㅇㄹ" localSheetId="0" hidden="1">{#N/A,#N/A,TRUE,"Y생산";#N/A,#N/A,TRUE,"Y판매";#N/A,#N/A,TRUE,"Y총물량";#N/A,#N/A,TRUE,"Y능력";#N/A,#N/A,TRUE,"YKD"}</definedName>
    <definedName name="ㅇㄹㄹ" localSheetId="0" hidden="1">#REF!</definedName>
    <definedName name="ㅇㄹㅇㄴㄹ" localSheetId="0" hidden="1">{#N/A,#N/A,TRUE,"Y생산";#N/A,#N/A,TRUE,"Y판매";#N/A,#N/A,TRUE,"Y총물량";#N/A,#N/A,TRUE,"Y능력";#N/A,#N/A,TRUE,"YKD"}</definedName>
    <definedName name="ㅇㄹㅇㄴㅇ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" localSheetId="0" hidden="1">{#N/A,#N/A,TRUE,"Y생산";#N/A,#N/A,TRUE,"Y판매";#N/A,#N/A,TRUE,"Y총물량";#N/A,#N/A,TRUE,"Y능력";#N/A,#N/A,TRUE,"YKD"}</definedName>
    <definedName name="ㅇㄹㅇㄹㅇㄹㅇㄹㅇㄹㅇㄹㅇㄹㅇㄹ" localSheetId="0" hidden="1">{#N/A,#N/A,FALSE,"이력서&amp;자기소개서"}</definedName>
    <definedName name="ㅇ로호ㅓ" localSheetId="0" hidden="1">#REF!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ㅇ" localSheetId="0" hidden="1">{#N/A,#N/A,FALSE,"지침";#N/A,#N/A,FALSE,"환경분석";#N/A,#N/A,FALSE,"Sheet16"}</definedName>
    <definedName name="ㅇㅇㅇㅇㅇ" localSheetId="0" hidden="1">{#N/A,#N/A,TRUE,"대 차 대 조 표"}</definedName>
    <definedName name="ㅇㅇㅇㅇㅇㅇ" localSheetId="0" hidden="1">{#N/A,#N/A,FALSE,"지침";#N/A,#N/A,FALSE,"환경분석";#N/A,#N/A,FALSE,"Sheet16"}</definedName>
    <definedName name="ㅇㅇㅇㅇㅇㅇㅇㅇㅇㅇㅇ" localSheetId="0" hidden="1">{#N/A,#N/A,TRUE,"Y생산";#N/A,#N/A,TRUE,"Y판매";#N/A,#N/A,TRUE,"Y총물량";#N/A,#N/A,TRUE,"Y능력";#N/A,#N/A,TRUE,"YKD"}</definedName>
    <definedName name="ㅇㅎㅁ" localSheetId="0" hidden="1">{#N/A,#N/A,FALSE,"97년 투자계획 세부내역 "}</definedName>
    <definedName name="아" localSheetId="0" hidden="1">{#N/A,#N/A,FALSE,"1.CRITERIA";#N/A,#N/A,FALSE,"2.IS";#N/A,#N/A,FALSE,"3.BS";#N/A,#N/A,FALSE,"4.PER PL";#N/A,#N/A,FALSE,"5.INVESTMENT";#N/A,#N/A,FALSE,"6.공문";#N/A,#N/A,FALSE,"7.netinvest"}</definedName>
    <definedName name="아그우" localSheetId="0" hidden="1">{#N/A,#N/A,FALSE,"지침";#N/A,#N/A,FALSE,"환경분석";#N/A,#N/A,FALSE,"Sheet16"}</definedName>
    <definedName name="아마도" localSheetId="0" hidden="1">{#N/A,#N/A,FALSE,"97년 투자계획 세부내역 "}</definedName>
    <definedName name="아아" localSheetId="0" hidden="1">{#N/A,#N/A,FALSE,"1.CRITERIA";#N/A,#N/A,FALSE,"2.IS";#N/A,#N/A,FALSE,"3.BS";#N/A,#N/A,FALSE,"4.PER PL";#N/A,#N/A,FALSE,"5.INVESTMENT";#N/A,#N/A,FALSE,"6.공문";#N/A,#N/A,FALSE,"7.netinvest"}</definedName>
    <definedName name="아아아" localSheetId="0" hidden="1">{#N/A,#N/A,FALSE,"1.CRITERIA";#N/A,#N/A,FALSE,"2.IS";#N/A,#N/A,FALSE,"3.BS";#N/A,#N/A,FALSE,"4.PER PL";#N/A,#N/A,FALSE,"5.INVESTMENT";#N/A,#N/A,FALSE,"6.공문";#N/A,#N/A,FALSE,"7.netinvest"}</definedName>
    <definedName name="아이" localSheetId="0" hidden="1">{#N/A,#N/A,FALSE,"1.CRITERIA";#N/A,#N/A,FALSE,"2.IS";#N/A,#N/A,FALSE,"3.BS";#N/A,#N/A,FALSE,"4.PER PL";#N/A,#N/A,FALSE,"5.INVESTMENT";#N/A,#N/A,FALSE,"6.공문";#N/A,#N/A,FALSE,"7.netinvest"}</definedName>
    <definedName name="아ㅏㅏ" localSheetId="0" hidden="1">#REF!</definedName>
    <definedName name="암사" localSheetId="0" hidden="1">{#N/A,#N/A,TRUE,"대 차 대 조 표"}</definedName>
    <definedName name="앙" localSheetId="0" hidden="1">{#N/A,#N/A,FALSE,"BS";#N/A,#N/A,FALSE,"PL";#N/A,#N/A,FALSE,"처분";#N/A,#N/A,FALSE,"현금";#N/A,#N/A,FALSE,"매출";#N/A,#N/A,FALSE,"원가";#N/A,#N/A,FALSE,"경영"}</definedName>
    <definedName name="양" localSheetId="0" hidden="1">{#N/A,#N/A,FALSE,"이태원철근"}</definedName>
    <definedName name="어떻하지" localSheetId="0" hidden="1">'[46]한일자야(감액손실) (2)'!$E$1:$E$65536</definedName>
    <definedName name="어어" localSheetId="0" hidden="1">{#N/A,#N/A,FALSE,"1.CRITERIA";#N/A,#N/A,FALSE,"2.IS";#N/A,#N/A,FALSE,"3.BS";#N/A,#N/A,FALSE,"4.PER PL";#N/A,#N/A,FALSE,"5.INVESTMENT";#N/A,#N/A,FALSE,"6.공문";#N/A,#N/A,FALSE,"7.netinvest"}</definedName>
    <definedName name="어음차입금" localSheetId="0" hidden="1">#REF!</definedName>
    <definedName name="업무" localSheetId="0" hidden="1">{#N/A,#N/A,TRUE,"대 차 대 조 표"}</definedName>
    <definedName name="업무계획표" localSheetId="0" hidden="1">{#N/A,#N/A,TRUE,"대 차 대 조 표"}</definedName>
    <definedName name="업무계획표01" localSheetId="0" hidden="1">{#N/A,#N/A,TRUE,"대 차 대 조 표"}</definedName>
    <definedName name="여이" localSheetId="0" hidden="1">{#N/A,#N/A,FALSE,"1.CRITERIA";#N/A,#N/A,FALSE,"2.IS";#N/A,#N/A,FALSE,"3.BS";#N/A,#N/A,FALSE,"4.PER PL";#N/A,#N/A,FALSE,"5.INVESTMENT";#N/A,#N/A,FALSE,"6.공문";#N/A,#N/A,FALSE,"7.netinvest"}</definedName>
    <definedName name="영" localSheetId="0" hidden="1">{#N/A,#N/A,FALSE,"1.CRITERIA";#N/A,#N/A,FALSE,"2.IS";#N/A,#N/A,FALSE,"3.BS";#N/A,#N/A,FALSE,"4.PER PL";#N/A,#N/A,FALSE,"5.INVESTMENT";#N/A,#N/A,FALSE,"6.공문";#N/A,#N/A,FALSE,"7.netinvest"}</definedName>
    <definedName name="영업" localSheetId="0" hidden="1">'[48]지급어음(일별)'!#REF!</definedName>
    <definedName name="영업수" localSheetId="0" hidden="1">{#N/A,#N/A,FALSE,"1.CRITERIA";#N/A,#N/A,FALSE,"2.IS";#N/A,#N/A,FALSE,"3.BS";#N/A,#N/A,FALSE,"4.PER PL";#N/A,#N/A,FALSE,"5.INVESTMENT";#N/A,#N/A,FALSE,"6.공문";#N/A,#N/A,FALSE,"7.netinvest"}</definedName>
    <definedName name="영업수익" localSheetId="0" hidden="1">{#N/A,#N/A,FALSE,"1.CRITERIA";#N/A,#N/A,FALSE,"2.IS";#N/A,#N/A,FALSE,"3.BS";#N/A,#N/A,FALSE,"4.PER PL";#N/A,#N/A,FALSE,"5.INVESTMENT";#N/A,#N/A,FALSE,"6.공문";#N/A,#N/A,FALSE,"7.netinvest"}</definedName>
    <definedName name="영업외" localSheetId="0" hidden="1">[49]추가예산!#REF!</definedName>
    <definedName name="영업외수" localSheetId="0" hidden="1">[49]추가예산!#REF!</definedName>
    <definedName name="영업외수익" localSheetId="0" hidden="1">{#N/A,#N/A,FALSE,"1.CRITERIA";#N/A,#N/A,FALSE,"2.IS";#N/A,#N/A,FALSE,"3.BS";#N/A,#N/A,FALSE,"4.PER PL";#N/A,#N/A,FALSE,"5.INVESTMENT";#N/A,#N/A,FALSE,"6.공문";#N/A,#N/A,FALSE,"7.netinvest"}</definedName>
    <definedName name="영업인건배부" localSheetId="0" hidden="1">{#N/A,#N/A,FALSE,"97년 투자계획 세부내역 "}</definedName>
    <definedName name="영업인건비배부" localSheetId="0" hidden="1">{#N/A,#N/A,FALSE,"97년 투자계획 세부내역 "}</definedName>
    <definedName name="영업현금" localSheetId="0" hidden="1">{#N/A,#N/A,FALSE,"지침";#N/A,#N/A,FALSE,"환경분석";#N/A,#N/A,FALSE,"Sheet16"}</definedName>
    <definedName name="예금" localSheetId="0" hidden="1">{#N/A,#N/A,FALSE,"1.CRITERIA";#N/A,#N/A,FALSE,"2.IS";#N/A,#N/A,FALSE,"3.BS";#N/A,#N/A,FALSE,"4.PER PL";#N/A,#N/A,FALSE,"5.INVESTMENT";#N/A,#N/A,FALSE,"6.공문";#N/A,#N/A,FALSE,"7.netinvest"}</definedName>
    <definedName name="오" localSheetId="0" hidden="1">{#N/A,#N/A,FALSE,"1.CRITERIA";#N/A,#N/A,FALSE,"2.IS";#N/A,#N/A,FALSE,"3.BS";#N/A,#N/A,FALSE,"4.PER PL";#N/A,#N/A,FALSE,"5.INVESTMENT";#N/A,#N/A,FALSE,"6.공문";#N/A,#N/A,FALSE,"7.netinvest"}</definedName>
    <definedName name="오서방" localSheetId="0" hidden="1">{#N/A,#N/A,FALSE,"97년 투자계획 세부내역 "}</definedName>
    <definedName name="오세범" localSheetId="0" hidden="1">{#N/A,#N/A,FALSE,"97년 투자계획 세부내역 "}</definedName>
    <definedName name="오세범1" localSheetId="0" hidden="1">{#N/A,#N/A,FALSE,"97년 투자계획 세부내역 "}</definedName>
    <definedName name="오세범2" localSheetId="0" hidden="1">{#N/A,#N/A,FALSE,"97년 투자계획 세부내역 "}</definedName>
    <definedName name="오세범3" localSheetId="0" hidden="1">{#N/A,#N/A,FALSE,"97년 투자계획 세부내역 "}</definedName>
    <definedName name="옥외대비" localSheetId="0" hidden="1">{#N/A,#N/A,FALSE,"이태원철근"}</definedName>
    <definedName name="올" localSheetId="0" hidden="1">#REF!</definedName>
    <definedName name="외예금" localSheetId="0" hidden="1">{#N/A,#N/A,FALSE,"1.CRITERIA";#N/A,#N/A,FALSE,"2.IS";#N/A,#N/A,FALSE,"3.BS";#N/A,#N/A,FALSE,"4.PER PL";#N/A,#N/A,FALSE,"5.INVESTMENT";#N/A,#N/A,FALSE,"6.공문";#N/A,#N/A,FALSE,"7.netinvest"}</definedName>
    <definedName name="요" localSheetId="0" hidden="1">{#N/A,#N/A,FALSE,"1.CRITERIA";#N/A,#N/A,FALSE,"2.IS";#N/A,#N/A,FALSE,"3.BS";#N/A,#N/A,FALSE,"4.PER PL";#N/A,#N/A,FALSE,"5.INVESTMENT";#N/A,#N/A,FALSE,"6.공문";#N/A,#N/A,FALSE,"7.netinvest"}</definedName>
    <definedName name="운영관리" localSheetId="0" hidden="1">{#N/A,#N/A,TRUE,"Y생산";#N/A,#N/A,TRUE,"Y판매";#N/A,#N/A,TRUE,"Y총물량";#N/A,#N/A,TRUE,"Y능력";#N/A,#N/A,TRUE,"YKD"}</definedName>
    <definedName name="운영팀2" localSheetId="0" hidden="1">{#N/A,#N/A,TRUE,"Y생산";#N/A,#N/A,TRUE,"Y판매";#N/A,#N/A,TRUE,"Y총물량";#N/A,#N/A,TRUE,"Y능력";#N/A,#N/A,TRUE,"YKD"}</definedName>
    <definedName name="원가분석" localSheetId="0" hidden="1">{#N/A,#N/A,FALSE,"1.CRITERIA";#N/A,#N/A,FALSE,"2.IS";#N/A,#N/A,FALSE,"3.BS";#N/A,#N/A,FALSE,"4.PER PL";#N/A,#N/A,FALSE,"5.INVESTMENT";#N/A,#N/A,FALSE,"6.공문";#N/A,#N/A,FALSE,"7.netinvest"}</definedName>
    <definedName name="원본2" localSheetId="0" hidden="1">#N/A</definedName>
    <definedName name="원천납부8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월말" localSheetId="0" hidden="1">{#N/A,#N/A,FALSE,"1.CRITERIA";#N/A,#N/A,FALSE,"2.IS";#N/A,#N/A,FALSE,"3.BS";#N/A,#N/A,FALSE,"4.PER PL";#N/A,#N/A,FALSE,"5.INVESTMENT";#N/A,#N/A,FALSE,"6.공문";#N/A,#N/A,FALSE,"7.netinvest"}</definedName>
    <definedName name="월별" localSheetId="0" hidden="1">{#N/A,#N/A,FALSE,"1.CRITERIA";#N/A,#N/A,FALSE,"2.IS";#N/A,#N/A,FALSE,"3.BS";#N/A,#N/A,FALSE,"4.PER PL";#N/A,#N/A,FALSE,"5.INVESTMENT";#N/A,#N/A,FALSE,"6.공문";#N/A,#N/A,FALSE,"7.netinvest"}</definedName>
    <definedName name="월별매출3" localSheetId="0" hidden="1">{#N/A,#N/A,FALSE,"97년 투자계획 세부내역 "}</definedName>
    <definedName name="월별손익CCC" localSheetId="0" hidden="1">#REF!</definedName>
    <definedName name="월별영업비용" localSheetId="0" hidden="1">{#N/A,#N/A,FALSE,"1.CRITERIA";#N/A,#N/A,FALSE,"2.IS";#N/A,#N/A,FALSE,"3.BS";#N/A,#N/A,FALSE,"4.PER PL";#N/A,#N/A,FALSE,"5.INVESTMENT";#N/A,#N/A,FALSE,"6.공문";#N/A,#N/A,FALSE,"7.netinvest"}</definedName>
    <definedName name="월손SM_1" localSheetId="0" hidden="1">#REF!</definedName>
    <definedName name="유" localSheetId="0" hidden="1">{#N/A,#N/A,FALSE,"이태원철근"}</definedName>
    <definedName name="유가증권" localSheetId="0" hidden="1">{#N/A,#N/A,FALSE,"Aging Summary";#N/A,#N/A,FALSE,"Ratio Analysis";#N/A,#N/A,FALSE,"Test 120 Day Accts";#N/A,#N/A,FALSE,"Tickmarks"}</definedName>
    <definedName name="유동성사채" localSheetId="0" hidden="1">#REF!</definedName>
    <definedName name="유이" localSheetId="0" hidden="1">{#N/A,#N/A,FALSE,"1.CRITERIA";#N/A,#N/A,FALSE,"2.IS";#N/A,#N/A,FALSE,"3.BS";#N/A,#N/A,FALSE,"4.PER PL";#N/A,#N/A,FALSE,"5.INVESTMENT";#N/A,#N/A,FALSE,"6.공문";#N/A,#N/A,FALSE,"7.netinvest"}</definedName>
    <definedName name="유지니" localSheetId="0" hidden="1">{#N/A,#N/A,FALSE,"97년 투자계획 세부내역 "}</definedName>
    <definedName name="유지니네" localSheetId="0" hidden="1">{#N/A,#N/A,FALSE,"97년 투자계획 세부내역 "}</definedName>
    <definedName name="유지니다" localSheetId="0" hidden="1">{#N/A,#N/A,FALSE,"97년 투자계획 세부내역 "}</definedName>
    <definedName name="유휴" localSheetId="0" hidden="1">#REF!</definedName>
    <definedName name="육삼시티" localSheetId="0" hidden="1">{#N/A,#N/A,FALSE,"97년 투자계획 세부내역 "}</definedName>
    <definedName name="이름" localSheetId="0" hidden="1">{#N/A,#N/A,FALSE,"이태원철근"}</definedName>
    <definedName name="이쁘니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슈" localSheetId="0" hidden="1">{#N/A,#N/A,FALSE,"지침";#N/A,#N/A,FALSE,"환경분석";#N/A,#N/A,FALSE,"Sheet16"}</definedName>
    <definedName name="이읏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" localSheetId="0" hidden="1">{#N/A,#N/A,TRUE,"Y생산";#N/A,#N/A,TRUE,"Y판매";#N/A,#N/A,TRUE,"Y총물량";#N/A,#N/A,TRUE,"Y능력";#N/A,#N/A,TRUE,"YKD"}</definedName>
    <definedName name="이자비용" localSheetId="0" hidden="1">#REF!</definedName>
    <definedName name="이호버" localSheetId="0" hidden="1">{#N/A,#N/A,FALSE,"97년 투자계획 세부내역 "}</definedName>
    <definedName name="인건비" localSheetId="0" hidden="1">#REF!</definedName>
    <definedName name="인테리어팀" localSheetId="0" hidden="1">{#N/A,#N/A,TRUE,"Y생산";#N/A,#N/A,TRUE,"Y판매";#N/A,#N/A,TRUE,"Y총물량";#N/A,#N/A,TRUE,"Y능력";#N/A,#N/A,TRUE,"YKD"}</definedName>
    <definedName name="임정호" localSheetId="0" hidden="1">#REF!</definedName>
    <definedName name="임차풀" localSheetId="0" hidden="1">{#N/A,#N/A,FALSE,"동부"}</definedName>
    <definedName name="ㅈㄳ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" localSheetId="0" hidden="1">'[51]지급어음(일별)'!#REF!</definedName>
    <definedName name="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가소비" localSheetId="0" hidden="1">#REF!</definedName>
    <definedName name="자금수지" localSheetId="0" hidden="1">#REF!</definedName>
    <definedName name="자본건축총괄" localSheetId="0" hidden="1">{#N/A,#N/A,FALSE,"97년 투자계획 세부내역 "}</definedName>
    <definedName name="자본금" localSheetId="0" hidden="1">{#N/A,#N/A,FALSE,"Aging Summary";#N/A,#N/A,FALSE,"Ratio Analysis";#N/A,#N/A,FALSE,"Test 120 Day Accts";#N/A,#N/A,FALSE,"Tickmarks"}</definedName>
    <definedName name="자진" localSheetId="0" hidden="1">#REF!</definedName>
    <definedName name="잔액" localSheetId="0" hidden="1">#REF!</definedName>
    <definedName name="장기" localSheetId="0" hidden="1">{#N/A,#N/A,TRUE,"Y생산";#N/A,#N/A,TRUE,"Y판매";#N/A,#N/A,TRUE,"Y총물량";#N/A,#N/A,TRUE,"Y능력";#N/A,#N/A,TRUE,"YKD"}</definedName>
    <definedName name="장비세부" localSheetId="0" hidden="1">#REF!</definedName>
    <definedName name="장비투자" localSheetId="0" hidden="1">#REF!</definedName>
    <definedName name="재고" localSheetId="0" hidden="1">#REF!</definedName>
    <definedName name="재무제표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전" localSheetId="0" hidden="1">{#N/A,#N/A,FALSE,"97년 투자계획 세부내역 "}</definedName>
    <definedName name="전기" localSheetId="0" hidden="1">{#N/A,#N/A,FALSE,"97년 투자계획 세부내역 "}</definedName>
    <definedName name="전용원" localSheetId="0" hidden="1">{#N/A,#N/A,FALSE,"97년 투자계획 세부내역 "}</definedName>
    <definedName name="전자CF" localSheetId="0" hidden="1">{#N/A,#N/A,FALSE,"지침";#N/A,#N/A,FALSE,"환경분석";#N/A,#N/A,FALSE,"Sheet16"}</definedName>
    <definedName name="전주우회" localSheetId="0" hidden="1">#REF!</definedName>
    <definedName name="절" localSheetId="0" hidden="1">[35]유림골조!#REF!</definedName>
    <definedName name="정리" localSheetId="0" hidden="1">{#N/A,#N/A,TRUE,"대 차 대 조 표"}</definedName>
    <definedName name="제조" localSheetId="0" hidden="1">{#N/A,#N/A,FALSE,"1.CRITERIA";#N/A,#N/A,FALSE,"2.IS";#N/A,#N/A,FALSE,"3.BS";#N/A,#N/A,FALSE,"4.PER PL";#N/A,#N/A,FALSE,"5.INVESTMENT";#N/A,#N/A,FALSE,"6.공문";#N/A,#N/A,FALSE,"7.netinvest"}</definedName>
    <definedName name="제조안" localSheetId="0" hidden="1">#REF!</definedName>
    <definedName name="조서" localSheetId="0" hidden="1">#REF!</definedName>
    <definedName name="조서1" localSheetId="0" hidden="1">#REF!</definedName>
    <definedName name="주" localSheetId="0" hidden="1">{#N/A,#N/A,FALSE,"지침";#N/A,#N/A,FALSE,"환경분석";#N/A,#N/A,FALSE,"Sheet16"}</definedName>
    <definedName name="증감분석96계획95실적" localSheetId="0" hidden="1">{#N/A,#N/A,FALSE,"97년 투자계획 세부내역 "}</definedName>
    <definedName name="지원동" localSheetId="0" hidden="1">{#N/A,#N/A,TRUE,"대 차 대 조 표"}</definedName>
    <definedName name="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행사항보고.xls" localSheetId="0" hidden="1">{#N/A,#N/A,FALSE,"97년 투자계획 세부내역 "}</definedName>
    <definedName name="ㅊㅇ" localSheetId="0" hidden="1">{#N/A,#N/A,TRUE,"대 차 대 조 표"}</definedName>
    <definedName name="ㅊㅊㅊㅊㅊㅊㅊㅊㅊㅊ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" localSheetId="0" hidden="1">{#N/A,#N/A,FALSE,"1.CRITERIA";#N/A,#N/A,FALSE,"2.IS";#N/A,#N/A,FALSE,"3.BS";#N/A,#N/A,FALSE,"4.PER PL";#N/A,#N/A,FALSE,"5.INVESTMENT";#N/A,#N/A,FALSE,"6.공문";#N/A,#N/A,FALSE,"7.netinvest"}</definedName>
    <definedName name="참고2" localSheetId="0" hidden="1">[53]현장!#REF!</definedName>
    <definedName name="체육관" localSheetId="0" hidden="1">{#N/A,#N/A,TRUE,"대 차 대 조 표"}</definedName>
    <definedName name="총괄" localSheetId="0" hidden="1">{#N/A,#N/A,TRUE,"1호 과표세액";#N/A,#N/A,TRUE,"6호 첨부(익)";#N/A,#N/A,TRUE,"6-3호 퇴충";#N/A,#N/A,TRUE,"PL";#N/A,#N/A,TRUE,"BS";#N/A,#N/A,TRUE,"RE";#N/A,#N/A,TRUE,"표지"}</definedName>
    <definedName name="총괄표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촤" localSheetId="0" hidden="1">{#N/A,#N/A,FALSE,"1.CRITERIA";#N/A,#N/A,FALSE,"2.IS";#N/A,#N/A,FALSE,"3.BS";#N/A,#N/A,FALSE,"4.PER PL";#N/A,#N/A,FALSE,"5.INVESTMENT";#N/A,#N/A,FALSE,"6.공문";#N/A,#N/A,FALSE,"7.netinvest"}</definedName>
    <definedName name="출판" localSheetId="0" hidden="1">{#N/A,#N/A,FALSE,"지침";#N/A,#N/A,FALSE,"환경분석";#N/A,#N/A,FALSE,"Sheet16"}</definedName>
    <definedName name="치" localSheetId="0" hidden="1">{#N/A,#N/A,FALSE,"97년 투자계획 세부내역 "}</definedName>
    <definedName name="ㅋㅋㅋ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localSheetId="0" hidden="1">{#N/A,#N/A,TRUE,"대 차 대 조 표"}</definedName>
    <definedName name="ㅋㅋㅋㅋㅋㅋㅋㅋㅋㅋㅋㅋㅋㅋㅋㅋ" localSheetId="0" hidden="1">#REF!</definedName>
    <definedName name="카러" localSheetId="0" hidden="1">{#N/A,#N/A,FALSE,"1.CRITERIA";#N/A,#N/A,FALSE,"2.IS";#N/A,#N/A,FALSE,"3.BS";#N/A,#N/A,FALSE,"4.PER PL";#N/A,#N/A,FALSE,"5.INVESTMENT";#N/A,#N/A,FALSE,"6.공문";#N/A,#N/A,FALSE,"7.netinvest"}</definedName>
    <definedName name="캐쉬" localSheetId="0" hidden="1">{#N/A,#N/A,FALSE,"지침";#N/A,#N/A,FALSE,"환경분석";#N/A,#N/A,FALSE,"Sheet16"}</definedName>
    <definedName name="커머" localSheetId="0" hidden="1">{#N/A,#N/A,FALSE,"1.CRITERIA";#N/A,#N/A,FALSE,"2.IS";#N/A,#N/A,FALSE,"3.BS";#N/A,#N/A,FALSE,"4.PER PL";#N/A,#N/A,FALSE,"5.INVESTMENT";#N/A,#N/A,FALSE,"6.공문";#N/A,#N/A,FALSE,"7.netinvest"}</definedName>
    <definedName name="컼커" localSheetId="0" hidden="1">{#N/A,#N/A,FALSE,"1.CRITERIA";#N/A,#N/A,FALSE,"2.IS";#N/A,#N/A,FALSE,"3.BS";#N/A,#N/A,FALSE,"4.PER PL";#N/A,#N/A,FALSE,"5.INVESTMENT";#N/A,#N/A,FALSE,"6.공문";#N/A,#N/A,FALSE,"7.netinvest"}</definedName>
    <definedName name="코" localSheetId="0" hidden="1">{#N/A,#N/A,FALSE,"1.CRITERIA";#N/A,#N/A,FALSE,"2.IS";#N/A,#N/A,FALSE,"3.BS";#N/A,#N/A,FALSE,"4.PER PL";#N/A,#N/A,FALSE,"5.INVESTMENT";#N/A,#N/A,FALSE,"6.공문";#N/A,#N/A,FALSE,"7.netinvest"}</definedName>
    <definedName name="키" localSheetId="0" hidden="1">{#N/A,#N/A,FALSE,"1.CRITERIA";#N/A,#N/A,FALSE,"2.IS";#N/A,#N/A,FALSE,"3.BS";#N/A,#N/A,FALSE,"4.PER PL";#N/A,#N/A,FALSE,"5.INVESTMENT";#N/A,#N/A,FALSE,"6.공문";#N/A,#N/A,FALSE,"7.netinvest"}</definedName>
    <definedName name="테넌트" localSheetId="0" hidden="1">{#N/A,#N/A,TRUE,"Y생산";#N/A,#N/A,TRUE,"Y판매";#N/A,#N/A,TRUE,"Y총물량";#N/A,#N/A,TRUE,"Y능력";#N/A,#N/A,TRUE,"YKD"}</definedName>
    <definedName name="테넌트팀" localSheetId="0" hidden="1">{#N/A,#N/A,TRUE,"Y생산";#N/A,#N/A,TRUE,"Y판매";#N/A,#N/A,TRUE,"Y총물량";#N/A,#N/A,TRUE,"Y능력";#N/A,#N/A,TRUE,"YKD"}</definedName>
    <definedName name="토목공사" localSheetId="0" hidden="1">{#N/A,#N/A,FALSE,"이태원철근"}</definedName>
    <definedName name="토목공사강릉" localSheetId="0" hidden="1">#REF!</definedName>
    <definedName name="토지평가요항표" localSheetId="0" hidden="1">#REF!</definedName>
    <definedName name="통합본관" localSheetId="0" hidden="1">#REF!</definedName>
    <definedName name="퇴직보험예치금" localSheetId="0" hidden="1">#REF!</definedName>
    <definedName name="퇴충명세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투" localSheetId="0" hidden="1">#REF!</definedName>
    <definedName name="특정" localSheetId="0" hidden="1">{#N/A,#N/A,FALSE,"1.CRITERIA";#N/A,#N/A,FALSE,"2.IS";#N/A,#N/A,FALSE,"3.BS";#N/A,#N/A,FALSE,"4.PER PL";#N/A,#N/A,FALSE,"5.INVESTMENT";#N/A,#N/A,FALSE,"6.공문";#N/A,#N/A,FALSE,"7.netinvest"}</definedName>
    <definedName name="특정현금과예금" localSheetId="0" hidden="1">#REF!</definedName>
    <definedName name="파아라" localSheetId="0" hidden="1">{#N/A,#N/A,FALSE,"1.CRITERIA";#N/A,#N/A,FALSE,"2.IS";#N/A,#N/A,FALSE,"3.BS";#N/A,#N/A,FALSE,"4.PER PL";#N/A,#N/A,FALSE,"5.INVESTMENT";#N/A,#N/A,FALSE,"6.공문";#N/A,#N/A,FALSE,"7.netinvest"}</definedName>
    <definedName name="파일" localSheetId="0" hidden="1">#REF!</definedName>
    <definedName name="파하" localSheetId="0" hidden="1">{#N/A,#N/A,FALSE,"1.CRITERIA";#N/A,#N/A,FALSE,"2.IS";#N/A,#N/A,FALSE,"3.BS";#N/A,#N/A,FALSE,"4.PER PL";#N/A,#N/A,FALSE,"5.INVESTMENT";#N/A,#N/A,FALSE,"6.공문";#N/A,#N/A,FALSE,"7.netinvest"}</definedName>
    <definedName name="퍄" localSheetId="0" hidden="1">{#N/A,#N/A,FALSE,"1.CRITERIA";#N/A,#N/A,FALSE,"2.IS";#N/A,#N/A,FALSE,"3.BS";#N/A,#N/A,FALSE,"4.PER PL";#N/A,#N/A,FALSE,"5.INVESTMENT";#N/A,#N/A,FALSE,"6.공문";#N/A,#N/A,FALSE,"7.netinvest"}</definedName>
    <definedName name="페" localSheetId="0" hidden="1">{#N/A,#N/A,FALSE,"1.CRITERIA";#N/A,#N/A,FALSE,"2.IS";#N/A,#N/A,FALSE,"3.BS";#N/A,#N/A,FALSE,"4.PER PL";#N/A,#N/A,FALSE,"5.INVESTMENT";#N/A,#N/A,FALSE,"6.공문";#N/A,#N/A,FALSE,"7.netinvest"}</definedName>
    <definedName name="펴" localSheetId="0" hidden="1">{#N/A,#N/A,FALSE,"1.CRITERIA";#N/A,#N/A,FALSE,"2.IS";#N/A,#N/A,FALSE,"3.BS";#N/A,#N/A,FALSE,"4.PER PL";#N/A,#N/A,FALSE,"5.INVESTMENT";#N/A,#N/A,FALSE,"6.공문";#N/A,#N/A,FALSE,"7.netinvest"}</definedName>
    <definedName name="평균이자율" localSheetId="0" hidden="1">#N/A</definedName>
    <definedName name="포" localSheetId="0" hidden="1">{#N/A,#N/A,FALSE,"1.CRITERIA";#N/A,#N/A,FALSE,"2.IS";#N/A,#N/A,FALSE,"3.BS";#N/A,#N/A,FALSE,"4.PER PL";#N/A,#N/A,FALSE,"5.INVESTMENT";#N/A,#N/A,FALSE,"6.공문";#N/A,#N/A,FALSE,"7.netinvest"}</definedName>
    <definedName name="포스코" localSheetId="0" hidden="1">{#N/A,#N/A,TRUE,"대 차 대 조 표"}</definedName>
    <definedName name="포장2월ocf" localSheetId="0" hidden="1">{#N/A,#N/A,FALSE,"지침";#N/A,#N/A,FALSE,"환경분석";#N/A,#N/A,FALSE,"Sheet16"}</definedName>
    <definedName name="포장ocf" localSheetId="0" hidden="1">{#N/A,#N/A,FALSE,"지침";#N/A,#N/A,FALSE,"환경분석";#N/A,#N/A,FALSE,"Sheet16"}</definedName>
    <definedName name="표지" localSheetId="0" hidden="1">{#N/A,#N/A,FALSE,"동부"}</definedName>
    <definedName name="표지2" localSheetId="0" hidden="1">#REF!</definedName>
    <definedName name="풀" localSheetId="0" hidden="1">{#N/A,#N/A,FALSE,"동부"}</definedName>
    <definedName name="풍납동" localSheetId="0" hidden="1">[42]Sheet4!#REF!</definedName>
    <definedName name="풍납동아파트" localSheetId="0" hidden="1">[42]Sheet4!#REF!</definedName>
    <definedName name="ㅎㄹㄴ" localSheetId="0" hidden="1">{#N/A,#N/A,FALSE,"97년 투자계획 세부내역 "}</definedName>
    <definedName name="ㅎㅇ" localSheetId="0" hidden="1">{#N/A,#N/A,FALSE,"Aging Summary";#N/A,#N/A,FALSE,"Ratio Analysis";#N/A,#N/A,FALSE,"Test 120 Day Accts";#N/A,#N/A,FALSE,"Tickmarks"}</definedName>
    <definedName name="ㅎㅇ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ㅎ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하" localSheetId="0" hidden="1">{#N/A,#N/A,FALSE,"1.CRITERIA";#N/A,#N/A,FALSE,"2.IS";#N/A,#N/A,FALSE,"3.BS";#N/A,#N/A,FALSE,"4.PER PL";#N/A,#N/A,FALSE,"5.INVESTMENT";#N/A,#N/A,FALSE,"6.공문";#N/A,#N/A,FALSE,"7.netinvest"}</definedName>
    <definedName name="하독급대비1" localSheetId="0" hidden="1">#REF!</definedName>
    <definedName name="하ㅏ라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한영사전" localSheetId="0" hidden="1">{#N/A,#N/A,TRUE,"Y생산";#N/A,#N/A,TRUE,"Y판매";#N/A,#N/A,TRUE,"Y총물량";#N/A,#N/A,TRUE,"Y능력";#N/A,#N/A,TRUE,"YKD"}</definedName>
    <definedName name="해외관게\" localSheetId="0" hidden="1">#REF!</definedName>
    <definedName name="햐" localSheetId="0" hidden="1">{#N/A,#N/A,FALSE,"1.CRITERIA";#N/A,#N/A,FALSE,"2.IS";#N/A,#N/A,FALSE,"3.BS";#N/A,#N/A,FALSE,"4.PER PL";#N/A,#N/A,FALSE,"5.INVESTMENT";#N/A,#N/A,FALSE,"6.공문";#N/A,#N/A,FALSE,"7.netinvest"}</definedName>
    <definedName name="혀" localSheetId="0" hidden="1">{#N/A,#N/A,FALSE,"1.CRITERIA";#N/A,#N/A,FALSE,"2.IS";#N/A,#N/A,FALSE,"3.BS";#N/A,#N/A,FALSE,"4.PER PL";#N/A,#N/A,FALSE,"5.INVESTMENT";#N/A,#N/A,FALSE,"6.공문";#N/A,#N/A,FALSE,"7.netinvest"}</definedName>
    <definedName name="현금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등가물" localSheetId="0" hidden="1">{#N/A,#N/A,FALSE,"Aging Summary";#N/A,#N/A,FALSE,"Ratio Analysis";#N/A,#N/A,FALSE,"Test 120 Day Accts";#N/A,#N/A,FALSE,"Tickmarks"}</definedName>
    <definedName name="현금등가물및단기" localSheetId="0" hidden="1">{#N/A,#N/A,FALSE,"Aging Summary";#N/A,#N/A,FALSE,"Ratio Analysis";#N/A,#N/A,FALSE,"Test 120 Day Accts";#N/A,#N/A,FALSE,"Tickmarks"}</definedName>
    <definedName name="현금흐름" localSheetId="0" hidden="1">{#N/A,#N/A,FALSE,"Aging Summary";#N/A,#N/A,FALSE,"Ratio Analysis";#N/A,#N/A,FALSE,"Test 120 Day Accts";#N/A,#N/A,FALSE,"Tickmarks"}</definedName>
    <definedName name="현대코아공통비" localSheetId="0" hidden="1">#REF!</definedName>
    <definedName name="협조전" localSheetId="0" hidden="1">#REF!</definedName>
    <definedName name="호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" localSheetId="0" hidden="1">#REF!</definedName>
    <definedName name="회" localSheetId="0" hidden="1">{#N/A,#N/A,FALSE,"동부"}</definedName>
    <definedName name="회계보고서" localSheetId="0" hidden="1">{#N/A,#N/A,TRUE,"대 차 대 조 표"}</definedName>
    <definedName name="효" localSheetId="0" hidden="1">{#N/A,#N/A,FALSE,"1.CRITERIA";#N/A,#N/A,FALSE,"2.IS";#N/A,#N/A,FALSE,"3.BS";#N/A,#N/A,FALSE,"4.PER PL";#N/A,#N/A,FALSE,"5.INVESTMENT";#N/A,#N/A,FALSE,"6.공문";#N/A,#N/A,FALSE,"7.netinvest"}</definedName>
    <definedName name="효진" localSheetId="0" hidden="1">#REF!</definedName>
    <definedName name="후" localSheetId="0" hidden="1">{#N/A,#N/A,FALSE,"1.CRITERIA";#N/A,#N/A,FALSE,"2.IS";#N/A,#N/A,FALSE,"3.BS";#N/A,#N/A,FALSE,"4.PER PL";#N/A,#N/A,FALSE,"5.INVESTMENT";#N/A,#N/A,FALSE,"6.공문";#N/A,#N/A,FALSE,"7.netinvest"}</definedName>
    <definedName name="휴" localSheetId="0" hidden="1">{#N/A,#N/A,FALSE,"1.CRITERIA";#N/A,#N/A,FALSE,"2.IS";#N/A,#N/A,FALSE,"3.BS";#N/A,#N/A,FALSE,"4.PER PL";#N/A,#N/A,FALSE,"5.INVESTMENT";#N/A,#N/A,FALSE,"6.공문";#N/A,#N/A,FALSE,"7.netinvest"}</definedName>
    <definedName name="흐" localSheetId="0" hidden="1">{#N/A,#N/A,FALSE,"1.CRITERIA";#N/A,#N/A,FALSE,"2.IS";#N/A,#N/A,FALSE,"3.BS";#N/A,#N/A,FALSE,"4.PER PL";#N/A,#N/A,FALSE,"5.INVESTMENT";#N/A,#N/A,FALSE,"6.공문";#N/A,#N/A,FALSE,"7.netinvest"}</definedName>
    <definedName name="ㅏ" localSheetId="0" hidden="1">{#N/A,#N/A,FALSE,"BS";#N/A,#N/A,FALSE,"PL";#N/A,#N/A,FALSE,"처분";#N/A,#N/A,FALSE,"현금";#N/A,#N/A,FALSE,"매출";#N/A,#N/A,FALSE,"원가";#N/A,#N/A,FALSE,"경영"}</definedName>
    <definedName name="ㅏ나앙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앙" localSheetId="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어러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ㅏㅏㅏ" localSheetId="0" hidden="1">#REF!</definedName>
    <definedName name="ㅐㅐㅐ" localSheetId="0" hidden="1">{#N/A,#N/A,FALSE,"지침";#N/A,#N/A,FALSE,"환경분석";#N/A,#N/A,FALSE,"Sheet16"}</definedName>
    <definedName name="ㅑㅑㅑ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ㅓㅓ" localSheetId="0" hidden="1">{#N/A,#N/A,FALSE,"97년 투자계획 세부내역 "}</definedName>
    <definedName name="ㅓㅗㅓ" localSheetId="0" hidden="1">#REF!</definedName>
    <definedName name="ㅓㅛ" localSheetId="0" hidden="1">#REF!</definedName>
    <definedName name="ㅔ" localSheetId="0" hidden="1">{#N/A,#N/A,FALSE,"이태원철근"}</definedName>
    <definedName name="ㅗㄹ호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홓로" localSheetId="0" hidden="1">#REF!</definedName>
    <definedName name="ㅗㅓ" localSheetId="0" hidden="1">{#N/A,#N/A,TRUE,"대 차 대 조 표"}</definedName>
    <definedName name="ㅛ" localSheetId="0" hidden="1">{#N/A,#N/A,FALSE,"이태원철근"}</definedName>
    <definedName name="ㅛㅛㅛ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ㅊ4263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ㅠㅠ" localSheetId="0" hidden="1">{#N/A,#N/A,FALSE,"동부"}</definedName>
    <definedName name="ㅡㅡㅡ" localSheetId="0" hidden="1">{#N/A,#N/A,FALSE,"지침";#N/A,#N/A,FALSE,"환경분석";#N/A,#N/A,FALSE,"Sheet16"}</definedName>
    <definedName name="ㅣㅏㅏ" localSheetId="0" hidden="1">{#N/A,#N/A,FALSE,"97년 투자계획 세부내역 "}</definedName>
    <definedName name="_xlnm._FilterDatabase" localSheetId="0" hidden="1">'2026(예정)'!$A$4:$M$29</definedName>
    <definedName name="_xlnm.Print_Area" localSheetId="0">'2026(예정)'!$A$1:$AQ$49</definedName>
    <definedName name="_Toc191645711" localSheetId="4">상환비율!$C$2</definedName>
    <definedName name="_Toc191645712" localSheetId="4">상환비율!$C$3</definedName>
    <definedName name="____PL7" localSheetId="5" hidden="1">{#N/A,#N/A,TRUE,"대 차 대 조 표"}</definedName>
    <definedName name="___PL7" localSheetId="5" hidden="1">{#N/A,#N/A,TRUE,"대 차 대 조 표"}</definedName>
    <definedName name="___PL8" localSheetId="5" hidden="1">{#N/A,#N/A,TRUE,"대 차 대 조 표"}</definedName>
    <definedName name="__123Graph_A" localSheetId="5" hidden="1">#REF!</definedName>
    <definedName name="__123Graph_B" localSheetId="5" hidden="1">#REF!</definedName>
    <definedName name="__123Graph_D" localSheetId="5" hidden="1">#REF!</definedName>
    <definedName name="__123Graph_E" localSheetId="5" hidden="1">#REF!</definedName>
    <definedName name="__123Graph_X" localSheetId="5" hidden="1">#REF!</definedName>
    <definedName name="__PL7" localSheetId="5" hidden="1">{#N/A,#N/A,TRUE,"대 차 대 조 표"}</definedName>
    <definedName name="__SSS1" localSheetId="5" hidden="1">#REF!</definedName>
    <definedName name="_Dist_Bin" localSheetId="5" hidden="1">#REF!</definedName>
    <definedName name="_Dist_Values" localSheetId="5" hidden="1">#REF!</definedName>
    <definedName name="_Fill" localSheetId="5" hidden="1">#REF!</definedName>
    <definedName name="_FILL1" localSheetId="5" hidden="1">#REF!</definedName>
    <definedName name="_jyr6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_1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ey1" localSheetId="5" hidden="1">#REF!</definedName>
    <definedName name="_Key2" localSheetId="5" hidden="1">#REF!</definedName>
    <definedName name="_Key3" localSheetId="5" hidden="1">#REF!</definedName>
    <definedName name="_Parse_In" localSheetId="5" hidden="1">#REF!</definedName>
    <definedName name="_Parse_Out" localSheetId="5" hidden="1">#REF!</definedName>
    <definedName name="_PL7" localSheetId="5" hidden="1">{#N/A,#N/A,TRUE,"대 차 대 조 표"}</definedName>
    <definedName name="_PL7_1" localSheetId="5" hidden="1">{#N/A,#N/A,TRUE,"대 차 대 조 표"}</definedName>
    <definedName name="_Regression_Out" localSheetId="5" hidden="1">#REF!</definedName>
    <definedName name="_Regression_X" localSheetId="5" hidden="1">#REF!</definedName>
    <definedName name="_Regression_Y" localSheetId="5" hidden="1">#REF!</definedName>
    <definedName name="_Sort" localSheetId="5" hidden="1">#REF!</definedName>
    <definedName name="_SORT1" localSheetId="5" hidden="1">#REF!</definedName>
    <definedName name="_SSS1" localSheetId="5" hidden="1">#REF!</definedName>
    <definedName name="_Table1_In1" localSheetId="5" hidden="1">#REF!</definedName>
    <definedName name="_Table1_Out" localSheetId="5" hidden="1">#REF!</definedName>
    <definedName name="a" localSheetId="5">#REF!</definedName>
    <definedName name="a_1" localSheetId="5" hidden="1">{"MonthlyRentRoll",#N/A,FALSE,"RentRoll"}</definedName>
    <definedName name="aaa" localSheetId="5" hidden="1">{#N/A,#N/A,FALSE,"동부"}</definedName>
    <definedName name="aaa_1" localSheetId="5" hidden="1">{"MonthlyRentRoll",#N/A,FALSE,"RentRoll"}</definedName>
    <definedName name="aaaa" localSheetId="5">#REF!</definedName>
    <definedName name="aaaaa" localSheetId="5" hidden="1">#REF!</definedName>
    <definedName name="aaaaa_1" localSheetId="5" hidden="1">{"p",#N/A,FALSE,"Sheet1";"p 2",#N/A,FALSE,"Sheet1";"p 3",#N/A,FALSE,"Sheet1"}</definedName>
    <definedName name="aaaaaaa" localSheetId="5" hidden="1">{#N/A,#N/A,FALSE,"동부"}</definedName>
    <definedName name="aab" localSheetId="5" hidden="1">{#N/A,#N/A,FALSE,"동부"}</definedName>
    <definedName name="abcc" localSheetId="5" hidden="1">{#N/A,#N/A,FALSE,"1.CRITERIA";#N/A,#N/A,FALSE,"2.IS";#N/A,#N/A,FALSE,"3.BS";#N/A,#N/A,FALSE,"4.PER PL";#N/A,#N/A,FALSE,"5.INVESTMENT";#N/A,#N/A,FALSE,"6.공문";#N/A,#N/A,FALSE,"7.netinvest"}</definedName>
    <definedName name="adf" localSheetId="5" hidden="1">{"MonthlyRentRoll",#N/A,FALSE,"RentRoll"}</definedName>
    <definedName name="adf_1" localSheetId="5" hidden="1">{"MonthlyRentRoll",#N/A,FALSE,"RentRoll"}</definedName>
    <definedName name="adfasdfa" localSheetId="5" hidden="1">#REF!</definedName>
    <definedName name="adsas" localSheetId="5" hidden="1">{#N/A,#N/A,FALSE,"Aging Summary";#N/A,#N/A,FALSE,"Ratio Analysis";#N/A,#N/A,FALSE,"Test 120 Day Accts";#N/A,#N/A,FALSE,"Tickmarks"}</definedName>
    <definedName name="ADSDF" localSheetId="5" hidden="1">{#N/A,#N/A,TRUE,"Y생산";#N/A,#N/A,TRUE,"Y판매";#N/A,#N/A,TRUE,"Y총물량";#N/A,#N/A,TRUE,"Y능력";#N/A,#N/A,TRUE,"YKD"}</definedName>
    <definedName name="ADSDF_1" localSheetId="5" hidden="1">{#N/A,#N/A,TRUE,"Y생산";#N/A,#N/A,TRUE,"Y판매";#N/A,#N/A,TRUE,"Y총물량";#N/A,#N/A,TRUE,"Y능력";#N/A,#N/A,TRUE,"YKD"}</definedName>
    <definedName name="al" localSheetId="5">#REF!</definedName>
    <definedName name="anscount" localSheetId="5" hidden="1">2</definedName>
    <definedName name="app.3.2.2" localSheetId="5" hidden="1">{#N/A,#N/A,FALSE,"동부"}</definedName>
    <definedName name="App3.2.2" localSheetId="5" hidden="1">{#N/A,#N/A,TRUE,"대 차 대 조 표"}</definedName>
    <definedName name="AS2DocOpenMode" localSheetId="5" hidden="1">"AS2DocumentEdit"</definedName>
    <definedName name="AS2StaticLS" localSheetId="5" hidden="1">#REF!</definedName>
    <definedName name="AS2TickmarkLS" localSheetId="5" hidden="1">#REF!</definedName>
    <definedName name="b" localSheetId="5">#REF!</definedName>
    <definedName name="BadLink" localSheetId="5" hidden="1">#REF!</definedName>
    <definedName name="ban" localSheetId="5" hidden="1">{#N/A,#N/A,FALSE,"5YRASSPl - consol'd";#N/A,#N/A,FALSE,"5YRASSPl - hotel";#N/A,#N/A,FALSE,"5YRASSPl - excl htl";#N/A,#N/A,FALSE,"VarReport";#N/A,#N/A,FALSE,"Sensitivity";#N/A,#N/A,FALSE,"House View ";#N/A,#N/A,FALSE,"KPI"}</definedName>
    <definedName name="bb" localSheetId="5">#REF!</definedName>
    <definedName name="bbb" localSheetId="5" hidden="1">#REF!</definedName>
    <definedName name="BC" localSheetId="5" hidden="1">{#N/A,#N/A,FALSE,"이태원철근"}</definedName>
    <definedName name="Beachwood" localSheetId="5" hidden="1">{"p",#N/A,FALSE,"Sheet1";"p 2",#N/A,FALSE,"Sheet1";"p 3",#N/A,FALSE,"Sheet1"}</definedName>
    <definedName name="Beachwood_1" localSheetId="5" hidden="1">{"p",#N/A,FALSE,"Sheet1";"p 2",#N/A,FALSE,"Sheet1";"p 3",#N/A,FALSE,"Sheet1"}</definedName>
    <definedName name="BI" localSheetId="5" hidden="1">{#N/A,#N/A,FALSE,"이태원철근"}</definedName>
    <definedName name="BT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U별" localSheetId="5" hidden="1">{#N/A,#N/A,FALSE,"동부"}</definedName>
    <definedName name="bv" localSheetId="5" hidden="1">{#N/A,#N/A,FALSE,"1.CRITERIA";#N/A,#N/A,FALSE,"2.IS";#N/A,#N/A,FALSE,"3.BS";#N/A,#N/A,FALSE,"4.PER PL";#N/A,#N/A,FALSE,"5.INVESTMENT";#N/A,#N/A,FALSE,"6.공문";#N/A,#N/A,FALSE,"7.netinvest"}</definedName>
    <definedName name="cash" localSheetId="5">#REF!</definedName>
    <definedName name="ccc" localSheetId="5" hidden="1">#REF!</definedName>
    <definedName name="cf" localSheetId="5" hidden="1">#REF!</definedName>
    <definedName name="ckdl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" localSheetId="5">#REF!</definedName>
    <definedName name="dd" localSheetId="5">#REF!</definedName>
    <definedName name="ddd" localSheetId="5">#REF!</definedName>
    <definedName name="dddd" localSheetId="5">#REF!</definedName>
    <definedName name="dddd_1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d" localSheetId="5" hidden="1">#REF!</definedName>
    <definedName name="DDDDDDDDDD" localSheetId="5" hidden="1">{#N/A,#N/A,TRUE,"Y생산";#N/A,#N/A,TRUE,"Y판매";#N/A,#N/A,TRUE,"Y총물량";#N/A,#N/A,TRUE,"Y능력";#N/A,#N/A,TRUE,"YKD"}</definedName>
    <definedName name="DDDDDDDDDD_1" localSheetId="5" hidden="1">{#N/A,#N/A,TRUE,"Y생산";#N/A,#N/A,TRUE,"Y판매";#N/A,#N/A,TRUE,"Y총물량";#N/A,#N/A,TRUE,"Y능력";#N/A,#N/A,TRUE,"YKD"}</definedName>
    <definedName name="DF" localSheetId="5" hidden="1">{#N/A,#N/A,FALSE,"Aging Summary";#N/A,#N/A,FALSE,"Ratio Analysis";#N/A,#N/A,FALSE,"Test 120 Day Accts";#N/A,#N/A,FALSE,"Tickmarks"}</definedName>
    <definedName name="dfakdf" localSheetId="5" hidden="1">#REF!</definedName>
    <definedName name="DFDF" localSheetId="5" hidden="1">{#N/A,#N/A,FALSE,"Aging Summary";#N/A,#N/A,FALSE,"Ratio Analysis";#N/A,#N/A,FALSE,"Test 120 Day Accts";#N/A,#N/A,FALSE,"Tickmarks"}</definedName>
    <definedName name="dfdfsd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L" localSheetId="5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sdfd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QAN" localSheetId="5" hidden="1">{#N/A,#N/A,TRUE,"대 차 대 조 표"}</definedName>
    <definedName name="DJQAN_1" localSheetId="5" hidden="1">{#N/A,#N/A,TRUE,"대 차 대 조 표"}</definedName>
    <definedName name="dkd" localSheetId="5" hidden="1">{#N/A,#N/A,FALSE,"1.CRITERIA";#N/A,#N/A,FALSE,"2.IS";#N/A,#N/A,FALSE,"3.BS";#N/A,#N/A,FALSE,"4.PER PL";#N/A,#N/A,FALSE,"5.INVESTMENT";#N/A,#N/A,FALSE,"6.공문";#N/A,#N/A,FALSE,"7.netinvest"}</definedName>
    <definedName name="dkskslfjklsd" localSheetId="5" hidden="1">{#N/A,#N/A,FALSE,"1.CRITERIA";#N/A,#N/A,FALSE,"2.IS";#N/A,#N/A,FALSE,"3.BS";#N/A,#N/A,FALSE,"4.PER PL";#N/A,#N/A,FALSE,"5.INVESTMENT";#N/A,#N/A,FALSE,"6.공문";#N/A,#N/A,FALSE,"7.netinvest"}</definedName>
    <definedName name="dlfma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NFL" localSheetId="5" hidden="1">{#N/A,#N/A,FALSE,"동부"}</definedName>
    <definedName name="DpFKDL" localSheetId="5" hidden="1">{#N/A,#N/A,FALSE,"이태원철근"}</definedName>
    <definedName name="DPFLSDPFL" localSheetId="5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sfkljsd" localSheetId="5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gsdgsd" localSheetId="5" hidden="1">{#N/A,#N/A,FALSE,"5YRASSPl - consol'd";#N/A,#N/A,FALSE,"5YRASSPl - hotel";#N/A,#N/A,FALSE,"5YRASSPl - excl htl";#N/A,#N/A,FALSE,"VarReport";#N/A,#N/A,FALSE,"Sensitivity";#N/A,#N/A,FALSE,"House View ";#N/A,#N/A,FALSE,"KPI"}</definedName>
    <definedName name="ELSK" localSheetId="5" hidden="1">{#N/A,#N/A,FALSE,"1.CRITERIA";#N/A,#N/A,FALSE,"2.IS";#N/A,#N/A,FALSE,"3.BS";#N/A,#N/A,FALSE,"4.PER PL";#N/A,#N/A,FALSE,"5.INVESTMENT";#N/A,#N/A,FALSE,"6.공문";#N/A,#N/A,FALSE,"7.netinvest"}</definedName>
    <definedName name="FD" localSheetId="5" hidden="1">{#N/A,#N/A,FALSE,"Aging Summary";#N/A,#N/A,FALSE,"Ratio Analysis";#N/A,#N/A,FALSE,"Test 120 Day Accts";#N/A,#N/A,FALSE,"Tickmarks"}</definedName>
    <definedName name="FDFD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f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f" localSheetId="5">#REF!</definedName>
    <definedName name="FM계약일할" localSheetId="5" hidden="1">{#N/A,#N/A,TRUE,"대 차 대 조 표"}</definedName>
    <definedName name="FM계약일할_1" localSheetId="5" hidden="1">{#N/A,#N/A,TRUE,"대 차 대 조 표"}</definedName>
    <definedName name="gg" localSheetId="5">#REF!</definedName>
    <definedName name="gg_1" localSheetId="5" hidden="1">{#N/A,#N/A,FALSE,"Aging Summary";#N/A,#N/A,FALSE,"Ratio Analysis";#N/A,#N/A,FALSE,"Test 120 Day Accts";#N/A,#N/A,FALSE,"Tickmarks"}</definedName>
    <definedName name="haha" localSheetId="5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g" localSheetId="5" hidden="1">#REF!</definedName>
    <definedName name="hgc" localSheetId="5" hidden="1">{#N/A,#N/A,TRUE,"대 차 대 조 표"}</definedName>
    <definedName name="hgc_1" localSheetId="5" hidden="1">{#N/A,#N/A,TRUE,"대 차 대 조 표"}</definedName>
    <definedName name="hgfhg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kdj" localSheetId="5" hidden="1">{"AnnualRentRoll",#N/A,FALSE,"RentRoll"}</definedName>
    <definedName name="hgkdj_1" localSheetId="5" hidden="1">{"AnnualRentRoll",#N/A,FALSE,"RentRoll"}</definedName>
    <definedName name="hhh" localSheetId="5">#REF!</definedName>
    <definedName name="hj" localSheetId="5">BlankMacro1</definedName>
    <definedName name="hjdg" localSheetId="5" hidden="1">{#N/A,#N/A,FALSE,"PropertyInfo"}</definedName>
    <definedName name="hjdg_1" localSheetId="5" hidden="1">{#N/A,#N/A,FALSE,"PropertyInfo"}</definedName>
    <definedName name="HJK" localSheetId="5" hidden="1">{#N/A,#N/A,FALSE,"이태원철근"}</definedName>
    <definedName name="HTML_CodePage" localSheetId="5" hidden="1">1252</definedName>
    <definedName name="HTML_Control" localSheetId="5" hidden="1">{"'Sheet1'!$A$1:$G$85"}</definedName>
    <definedName name="HTML_Header" localSheetId="5" hidden="1">"Sheet1"</definedName>
    <definedName name="HTML_LastUpdate" localSheetId="5" hidden="1">"2/24/99"</definedName>
    <definedName name="HTML_LineAfter" localSheetId="5" hidden="1">TRUE</definedName>
    <definedName name="HTML_LineBefore" localSheetId="5" hidden="1">TRUE</definedName>
    <definedName name="HTML_Name" localSheetId="5" hidden="1">"Aswath Damodaran"</definedName>
    <definedName name="HTML_OS" localSheetId="5" hidden="1">1</definedName>
    <definedName name="HTML_Title" localSheetId="5" hidden="1">"Historical Returns on Stocks, Bonds and Bills"</definedName>
    <definedName name="HTML1_1" localSheetId="5" hidden="1">"[ReturnsHistorical]Sheet1!$A$1:$D$77"</definedName>
    <definedName name="HTML1_12" localSheetId="5" hidden="1">"Zip 100:New_Home_Page:datafile:histret.html"</definedName>
    <definedName name="HTML1_3" localSheetId="5" hidden="1">"ReturnsHistorical"</definedName>
    <definedName name="HTML1_4" localSheetId="5" hidden="1">"Historical Returns on Stocks, Bonds and Bills"</definedName>
    <definedName name="HTML1_5" localSheetId="5" hidden="1">"Ibbotson Data"</definedName>
    <definedName name="HTML1_6" localSheetId="5" hidden="1">-4146</definedName>
    <definedName name="HTML1_7" localSheetId="5" hidden="1">-4146</definedName>
    <definedName name="HTML1_8" localSheetId="5" hidden="1">"3/17/97"</definedName>
    <definedName name="HTML1_9" localSheetId="5" hidden="1">"Aswath Damodaran"</definedName>
    <definedName name="HTMLCount" localSheetId="5" hidden="1">2</definedName>
    <definedName name="HTR" localSheetId="5" hidden="1">{#N/A,#N/A,FALSE,"이태원철근"}</definedName>
    <definedName name="hugugguugu" localSheetId="5" hidden="1">#REF!</definedName>
    <definedName name="jd" localSheetId="5" hidden="1">{#N/A,#N/A,FALSE,"LoanAssumptions"}</definedName>
    <definedName name="jd_1" localSheetId="5" hidden="1">{#N/A,#N/A,FALSE,"LoanAssumptions"}</definedName>
    <definedName name="jkljk" localSheetId="5" hidden="1">{#N/A,#N/A,FALSE,"이력서&amp;자기소개서"}</definedName>
    <definedName name="k" localSheetId="5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kkk" localSheetId="5">#REF!</definedName>
    <definedName name="kkkk" localSheetId="5" hidden="1">{#N/A,#N/A,FALSE,"BS";#N/A,#N/A,FALSE,"PL";#N/A,#N/A,FALSE,"처분";#N/A,#N/A,FALSE,"현금";#N/A,#N/A,FALSE,"매출";#N/A,#N/A,FALSE,"원가";#N/A,#N/A,FALSE,"경영"}</definedName>
    <definedName name="KSJ_25" localSheetId="5" hidden="1">{#N/A,#N/A,FALSE,"동부"}</definedName>
    <definedName name="KSJ_25_1" localSheetId="5" hidden="1">{#N/A,#N/A,FALSE,"동부"}</definedName>
    <definedName name="kyd.ChngCell.01." localSheetId="5" hidden="1">#REF!</definedName>
    <definedName name="kyd.ElementList.01." localSheetId="5" hidden="1">#REF!</definedName>
    <definedName name="kyd.PrintStdAlertCell." localSheetId="5" hidden="1">#REF!</definedName>
    <definedName name="kyd.ServerCell." localSheetId="5" hidden="1">#REF!</definedName>
    <definedName name="l" localSheetId="5" hidden="1">{#N/A,#N/A,FALSE,"동부"}</definedName>
    <definedName name="lkjjkhhhh" localSheetId="5" hidden="1">#REF!</definedName>
    <definedName name="lll" localSheetId="5" hidden="1">#REF!</definedName>
    <definedName name="lll_1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Y" localSheetId="5" hidden="1">#REF!</definedName>
    <definedName name="M" localSheetId="5">#REF!</definedName>
    <definedName name="mkl" localSheetId="5" hidden="1">{#N/A,#N/A,TRUE,"Y생산";#N/A,#N/A,TRUE,"Y판매";#N/A,#N/A,TRUE,"Y총물량";#N/A,#N/A,TRUE,"Y능력";#N/A,#N/A,TRUE,"YKD"}</definedName>
    <definedName name="mkl_1" localSheetId="5" hidden="1">{#N/A,#N/A,TRUE,"Y생산";#N/A,#N/A,TRUE,"Y판매";#N/A,#N/A,TRUE,"Y총물량";#N/A,#N/A,TRUE,"Y능력";#N/A,#N/A,TRUE,"YKD"}</definedName>
    <definedName name="mmm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_1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P" localSheetId="5" hidden="1">{#N/A,#N/A,FALSE,"BS";#N/A,#N/A,FALSE,"PL";#N/A,#N/A,FALSE,"처분";#N/A,#N/A,FALSE,"현금";#N/A,#N/A,FALSE,"매출";#N/A,#N/A,FALSE,"원가";#N/A,#N/A,FALSE,"경영"}</definedName>
    <definedName name="NEW" localSheetId="5" hidden="1">#REF!</definedName>
    <definedName name="NEWNAME" localSheetId="5" hidden="1">{#N/A,#N/A,FALSE,"CCTV"}</definedName>
    <definedName name="njk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jk_1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November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November_1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Office10" localSheetId="5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Office11" localSheetId="5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Office12" localSheetId="5" hidden="1">{#N/A,#N/A,FALSE,"5YRASSPl - consol'd";#N/A,#N/A,FALSE,"5YRASSPl - hotel";#N/A,#N/A,FALSE,"5YRASSPl - excl htl";#N/A,#N/A,FALSE,"VarReport";#N/A,#N/A,FALSE,"Sensitivity";#N/A,#N/A,FALSE,"House View ";#N/A,#N/A,FALSE,"KPI"}</definedName>
    <definedName name="Office2" localSheetId="5" hidden="1">{#N/A,#N/A,FALSE,"5YRASSPl - consol'd";#N/A,#N/A,FALSE,"5YRASSPl - hotel";#N/A,#N/A,FALSE,"5YRASSPl - excl htl";#N/A,#N/A,FALSE,"VarReport";#N/A,#N/A,FALSE,"Sensitivity";#N/A,#N/A,FALSE,"House View ";#N/A,#N/A,FALSE,"KPI"}</definedName>
    <definedName name="Office3" localSheetId="5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Office4" localSheetId="5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Office5" localSheetId="5" hidden="1">{#N/A,#N/A,FALSE,"5YRASSPl - consol'd";#N/A,#N/A,FALSE,"5YRASSPl - hotel";#N/A,#N/A,FALSE,"5YRASSPl - excl htl";#N/A,#N/A,FALSE,"VarReport";#N/A,#N/A,FALSE,"Sensitivity";#N/A,#N/A,FALSE,"House View ";#N/A,#N/A,FALSE,"KPI"}</definedName>
    <definedName name="Office6" localSheetId="5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Office7" localSheetId="5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Office8" localSheetId="5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Office9" localSheetId="5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qhrh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ldyd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localSheetId="5" hidden="1">{#N/A,#N/A,FALSE,"동부"}</definedName>
    <definedName name="QQQAAASSS" localSheetId="5" hidden="1">{#N/A,#N/A,TRUE,"Y생산";#N/A,#N/A,TRUE,"Y판매";#N/A,#N/A,TRUE,"Y총물량";#N/A,#N/A,TRUE,"Y능력";#N/A,#N/A,TRUE,"YKD"}</definedName>
    <definedName name="QQQAAASSS_1" localSheetId="5" hidden="1">{#N/A,#N/A,TRUE,"Y생산";#N/A,#N/A,TRUE,"Y판매";#N/A,#N/A,TRUE,"Y총물량";#N/A,#N/A,TRUE,"Y능력";#N/A,#N/A,TRUE,"YKD"}</definedName>
    <definedName name="QQQQQQQ" localSheetId="5" hidden="1">{#N/A,#N/A,TRUE,"Y생산";#N/A,#N/A,TRUE,"Y판매";#N/A,#N/A,TRUE,"Y총물량";#N/A,#N/A,TRUE,"Y능력";#N/A,#N/A,TRUE,"YKD"}</definedName>
    <definedName name="QQQQQQQ_1" localSheetId="5" hidden="1">{#N/A,#N/A,TRUE,"Y생산";#N/A,#N/A,TRUE,"Y판매";#N/A,#N/A,TRUE,"Y총물량";#N/A,#N/A,TRUE,"Y능력";#N/A,#N/A,TRUE,"YKD"}</definedName>
    <definedName name="qw" localSheetId="5">#REF!</definedName>
    <definedName name="qwe" localSheetId="5">#REF!</definedName>
    <definedName name="qweqt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WER" localSheetId="5" hidden="1">{#N/A,#N/A,FALSE,"이태원철근"}</definedName>
    <definedName name="rent" localSheetId="5" hidden="1">{#N/A,#N/A,FALSE,"동부"}</definedName>
    <definedName name="rerew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wr" localSheetId="5" hidden="1">{#N/A,#N/A,FALSE,"이력서&amp;자기소개서"}</definedName>
    <definedName name="rewr_1" localSheetId="5" hidden="1">{#N/A,#N/A,FALSE,"이력서&amp;자기소개서"}</definedName>
    <definedName name="rewrs" localSheetId="5" hidden="1">{#N/A,#N/A,FALSE,"이력서&amp;자기소개서"}</definedName>
    <definedName name="rfff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HDK" localSheetId="5" hidden="1">{#N/A,#N/A,FALSE,"이태원철근"}</definedName>
    <definedName name="ropponngi" localSheetId="5" hidden="1">{"AnnualRentRoll",#N/A,FALSE,"RentRoll"}</definedName>
    <definedName name="ropponngi_1" localSheetId="5" hidden="1">{"AnnualRentRoll",#N/A,FALSE,"RentRoll"}</definedName>
    <definedName name="RT" localSheetId="5">#REF!,#REF!,#REF!</definedName>
    <definedName name="sadd" localSheetId="5" hidden="1">{"MonthlyRentRoll",#N/A,FALSE,"RentRoll"}</definedName>
    <definedName name="sadd_1" localSheetId="5" hidden="1">{"MonthlyRentRoll",#N/A,FALSE,"RentRoll"}</definedName>
    <definedName name="saddd" localSheetId="5" hidden="1">{"AnnualRentRoll",#N/A,FALSE,"RentRoll"}</definedName>
    <definedName name="saddd_1" localSheetId="5" hidden="1">{"AnnualRentRoll",#N/A,FALSE,"RentRoll"}</definedName>
    <definedName name="saddddd" localSheetId="5" hidden="1">{"AnnualRentRoll",#N/A,FALSE,"RentRoll"}</definedName>
    <definedName name="saddddd_1" localSheetId="5" hidden="1">{"AnnualRentRoll",#N/A,FALSE,"RentRoll"}</definedName>
    <definedName name="sadddddddd" localSheetId="5" hidden="1">{#N/A,#N/A,FALSE,"ExitStratigy"}</definedName>
    <definedName name="sadddddddd_1" localSheetId="5" hidden="1">{#N/A,#N/A,FALSE,"ExitStratigy"}</definedName>
    <definedName name="sadddddddddd" localSheetId="5" hidden="1">{#N/A,#N/A,FALSE,"LoanAssumptions"}</definedName>
    <definedName name="sadddddddddd_1" localSheetId="5" hidden="1">{#N/A,#N/A,FALSE,"LoanAssumptions"}</definedName>
    <definedName name="saddddddddddddd" localSheetId="5" hidden="1">{#N/A,#N/A,FALSE,"OperatingAssumptions"}</definedName>
    <definedName name="saddddddddddddd_1" localSheetId="5" hidden="1">{#N/A,#N/A,FALSE,"OperatingAssumptions"}</definedName>
    <definedName name="sample" localSheetId="5">#REF!</definedName>
    <definedName name="SDAS" localSheetId="5" hidden="1">{"'Firr(선)'!$AS$1:$AY$62","'Firr(사)'!$AS$1:$AY$62","'Firr(회)'!$AS$1:$AY$62","'Firr(선)'!$L$1:$V$62","'Firr(사)'!$L$1:$V$62","'Firr(회)'!$L$1:$V$62"}</definedName>
    <definedName name="sdfgfdg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hsdfsd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gdsfdsgdsfggfdsd" localSheetId="5" hidden="1">#REF!</definedName>
    <definedName name="SERVICE" localSheetId="5" hidden="1">{#N/A,#N/A,FALSE,"이태원철근"}</definedName>
    <definedName name="sheet2" localSheetId="5" hidden="1">{"CF",#N/A,FALSE,"Cash Flow";"RET",#N/A,FALSE,"Returns";"NPV",#N/A,FALSE,"Values";"ASMPT",#N/A,FALSE,"Assumptions"}</definedName>
    <definedName name="sk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olver_lhs1" localSheetId="5" hidden="1">#REF!</definedName>
    <definedName name="solver_rhs1" localSheetId="5" hidden="1">#REF!*1.5</definedName>
    <definedName name="ss" localSheetId="5">#REF!</definedName>
    <definedName name="sss" localSheetId="5" hidden="1">{#N/A,#N/A,FALSE,"동부"}</definedName>
    <definedName name="sssss" localSheetId="5" hidden="1">#REF!</definedName>
    <definedName name="TextRefCopyRangeCount" localSheetId="5" hidden="1">20</definedName>
    <definedName name="TFor" localSheetId="5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odoroki" localSheetId="5" hidden="1">#REF!</definedName>
    <definedName name="V" localSheetId="5">#REF!</definedName>
    <definedName name="VB" localSheetId="5" hidden="1">{#N/A,#N/A,FALSE,"이태원철근"}</definedName>
    <definedName name="VBN" localSheetId="5" hidden="1">{#N/A,#N/A,FALSE,"이태원철근"}</definedName>
    <definedName name="w" localSheetId="5">#REF!</definedName>
    <definedName name="WEARF" localSheetId="5" hidden="1">{#N/A,#N/A,TRUE,"Y생산";#N/A,#N/A,TRUE,"Y판매";#N/A,#N/A,TRUE,"Y총물량";#N/A,#N/A,TRUE,"Y능력";#N/A,#N/A,TRUE,"YKD"}</definedName>
    <definedName name="WEARF_1" localSheetId="5" hidden="1">{#N/A,#N/A,TRUE,"Y생산";#N/A,#N/A,TRUE,"Y판매";#N/A,#N/A,TRUE,"Y총물량";#N/A,#N/A,TRUE,"Y능력";#N/A,#N/A,TRUE,"YKD"}</definedName>
    <definedName name="wkgk" localSheetId="5" hidden="1">{#N/A,#N/A,FALSE,"BS";#N/A,#N/A,FALSE,"PL";#N/A,#N/A,FALSE,"처분";#N/A,#N/A,FALSE,"현금";#N/A,#N/A,FALSE,"매출";#N/A,#N/A,FALSE,"원가";#N/A,#N/A,FALSE,"경영"}</definedName>
    <definedName name="WRITE" localSheetId="5" hidden="1">{#N/A,#N/A,FALSE,"CCTV"}</definedName>
    <definedName name="wrn.97년._.9월._.임차현황." localSheetId="5" hidden="1">{#N/A,#N/A,FALSE,"동부"}</definedName>
    <definedName name="wrn.97년._.9월._.임차현황._1" localSheetId="5" hidden="1">{#N/A,#N/A,FALSE,"동부"}</definedName>
    <definedName name="wrn.ACHESON94TAXRETURN." localSheetId="5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_1" localSheetId="5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_1" localSheetId="5" hidden="1">{#N/A,#N/A,FALSE,"Aging Summary";#N/A,#N/A,FALSE,"Ratio Analysis";#N/A,#N/A,FALSE,"Test 120 Day Accts";#N/A,#N/A,FALSE,"Tickmarks"}</definedName>
    <definedName name="wrn.ALL." localSheetId="5" hidden="1">{#N/A,#N/A,FALSE,"PROG &amp; MARKET";#N/A,#N/A,FALSE,"SUMMARY";#N/A,#N/A,FALSE,"LANDSIDE -DETAIL";#N/A,#N/A,FALSE,"VESSEL"}</definedName>
    <definedName name="wrn.ALL._.METRICS." localSheetId="5" hidden="1">{#N/A,#N/A,TRUE,"contents";#N/A,#N/A,TRUE,"production";#N/A,#N/A,TRUE,"svcg";#N/A,#N/A,TRUE,"cent_offices";#N/A,#N/A,TRUE,"subs"}</definedName>
    <definedName name="wrn.ALL._1" localSheetId="5" hidden="1">{#N/A,#N/A,FALSE,"PROG &amp; MARKET";#N/A,#N/A,FALSE,"SUMMARY";#N/A,#N/A,FALSE,"LANDSIDE -DETAIL";#N/A,#N/A,FALSE,"VESSEL"}</definedName>
    <definedName name="wrn.AnnualRentRoll" localSheetId="5" hidden="1">{"AnnualRentRoll",#N/A,FALSE,"RentRoll"}</definedName>
    <definedName name="wrn.AnnualRentRoll." localSheetId="5" hidden="1">{"AnnualRentRoll",#N/A,FALSE,"RentRoll"}</definedName>
    <definedName name="wrn.AnnualRentRoll._1" localSheetId="5" hidden="1">{"AnnualRentRoll",#N/A,FALSE,"RentRoll"}</definedName>
    <definedName name="wrn.AnnualRentRoll_1" localSheetId="5" hidden="1">{"AnnualRentRoll",#N/A,FALSE,"RentRoll"}</definedName>
    <definedName name="wrn.balance._.france." localSheetId="5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france._1" localSheetId="5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L94TAXRETURN." localSheetId="5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L94TAXRETURN._1" localSheetId="5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BM." localSheetId="5" hidden="1">{#N/A,#N/A,FALSE,"CCTV"}</definedName>
    <definedName name="wrn.budget." localSheetId="5" hidden="1">{"budget1",#N/A,FALSE,"BUDG.XLS";"budget2",#N/A,FALSE,"BUDG.XLS"}</definedName>
    <definedName name="wrn.budget._1" localSheetId="5" hidden="1">{"budget1",#N/A,FALSE,"BUDG.XLS";"budget2",#N/A,FALSE,"BUDG.XLS"}</definedName>
    <definedName name="wrn.Capex." localSheetId="5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ash._.Flow._.Analysis." localSheetId="5" hidden="1">{"CF",#N/A,FALSE,"Cash Flow";"RET",#N/A,FALSE,"Returns";"NPV",#N/A,FALSE,"Values";"ASMPT",#N/A,FALSE,"Assumptions"}</definedName>
    <definedName name="wrn.CIC94TAX." localSheetId="5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_1" localSheetId="5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omplet._.sauf._.balance." localSheetId="5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._.sauf._.balance._1" localSheetId="5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SA._.FS._.국문." localSheetId="5" hidden="1">{#N/A,#N/A,FALSE,"BS";#N/A,#N/A,FALSE,"PL";#N/A,#N/A,FALSE,"처분";#N/A,#N/A,FALSE,"현금";#N/A,#N/A,FALSE,"매출";#N/A,#N/A,FALSE,"원가";#N/A,#N/A,FALSE,"경영"}</definedName>
    <definedName name="wrn.COSA._.FS._.국문._1" localSheetId="5" hidden="1">{#N/A,#N/A,FALSE,"BS";#N/A,#N/A,FALSE,"PL";#N/A,#N/A,FALSE,"처분";#N/A,#N/A,FALSE,"현금";#N/A,#N/A,FALSE,"매출";#N/A,#N/A,FALSE,"원가";#N/A,#N/A,FALSE,"경영"}</definedName>
    <definedName name="wrn.COSA94TAXRETURN.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_1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riteria.95p." localSheetId="5" hidden="1">{#N/A,#N/A,FALSE,"1.CRITERIA";#N/A,#N/A,FALSE,"2.IS";#N/A,#N/A,FALSE,"3.BS";#N/A,#N/A,FALSE,"4.PER PL";#N/A,#N/A,FALSE,"5.INVESTMENT";#N/A,#N/A,FALSE,"6.공문";#N/A,#N/A,FALSE,"7.netinvest"}</definedName>
    <definedName name="wrn.ExitAndSalesAssumptions." localSheetId="5" hidden="1">{#N/A,#N/A,FALSE,"ExitStratigy"}</definedName>
    <definedName name="wrn.ExitAndSalesAssumptions._1" localSheetId="5" hidden="1">{#N/A,#N/A,FALSE,"ExitStratigy"}</definedName>
    <definedName name="wrn.FULL." localSheetId="5" hidden="1">{#N/A,#N/A,FALSE,"B"}</definedName>
    <definedName name="wrn.FULL._1" localSheetId="5" hidden="1">{#N/A,#N/A,FALSE,"B"}</definedName>
    <definedName name="wrn.fullreport." localSheetId="5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gamme." localSheetId="5" hidden="1">{#N/A,#N/A,FALSE,"original";#N/A,#N/A,FALSE,"boiler";#N/A,#N/A,FALSE,"burner";#N/A,#N/A,FALSE,"absorbtion unit"}</definedName>
    <definedName name="wrn.HILTON._.GARDEN._.INN." localSheetId="5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_1" localSheetId="5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IFF94TAX." localSheetId="5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_1" localSheetId="5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jck94TAXRETURN.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_1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localSheetId="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oanInformation." localSheetId="5" hidden="1">{#N/A,#N/A,FALSE,"LoanAssumptions"}</definedName>
    <definedName name="wrn.LoanInformation._1" localSheetId="5" hidden="1">{#N/A,#N/A,FALSE,"LoanAssumptions"}</definedName>
    <definedName name="wrn.lodging." localSheetId="5" hidden="1">{"p",#N/A,FALSE,"Sheet1";"p 2",#N/A,FALSE,"Sheet1";"p 3",#N/A,FALSE,"Sheet1"}</definedName>
    <definedName name="wrn.lodging._1" localSheetId="5" hidden="1">{"p",#N/A,FALSE,"Sheet1";"p 2",#N/A,FALSE,"Sheet1";"p 3",#N/A,FALSE,"Sheet1"}</definedName>
    <definedName name="wrn.MonthlyRentRoll." localSheetId="5" hidden="1">{"MonthlyRentRoll",#N/A,FALSE,"RentRoll"}</definedName>
    <definedName name="wrn.MonthlyRentRoll._1" localSheetId="5" hidden="1">{"MonthlyRentRoll",#N/A,FALSE,"RentRoll"}</definedName>
    <definedName name="wrn.mortassetplan." localSheetId="5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nov29" localSheetId="5" hidden="1">{#N/A,#N/A,FALSE,"BALLY COSTS";#N/A,#N/A,FALSE,"FF&amp;E";#N/A,#N/A,FALSE,"FEES";#N/A,#N/A,FALSE,"CONTINGENCY";#N/A,#N/A,FALSE,"SOFT COSTS";#N/A,#N/A,FALSE,"DETAIL";#N/A,#N/A,FALSE,"sum12-3"}</definedName>
    <definedName name="Wrn.nov29_1" localSheetId="5" hidden="1">{#N/A,#N/A,FALSE,"BALLY COSTS";#N/A,#N/A,FALSE,"FF&amp;E";#N/A,#N/A,FALSE,"FEES";#N/A,#N/A,FALSE,"CONTINGENCY";#N/A,#N/A,FALSE,"SOFT COSTS";#N/A,#N/A,FALSE,"DETAIL";#N/A,#N/A,FALSE,"sum12-3"}</definedName>
    <definedName name="wrn.NOV30." localSheetId="5" hidden="1">{#N/A,#N/A,FALSE,"BALLY COSTS";#N/A,#N/A,FALSE,"FF&amp;E";#N/A,#N/A,FALSE,"FEES";#N/A,#N/A,FALSE,"CONTINGENCY";#N/A,#N/A,FALSE,"SOFT COSTS";#N/A,#N/A,FALSE,"DETAIL";#N/A,#N/A,FALSE,"sum12-3"}</definedName>
    <definedName name="wrn.NOV30._1" localSheetId="5" hidden="1">{#N/A,#N/A,FALSE,"BALLY COSTS";#N/A,#N/A,FALSE,"FF&amp;E";#N/A,#N/A,FALSE,"FEES";#N/A,#N/A,FALSE,"CONTINGENCY";#N/A,#N/A,FALSE,"SOFT COSTS";#N/A,#N/A,FALSE,"DETAIL";#N/A,#N/A,FALSE,"sum12-3"}</definedName>
    <definedName name="wrn.november._.17." localSheetId="5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_1" localSheetId="5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OperatingAssumtions." localSheetId="5" hidden="1">{#N/A,#N/A,FALSE,"OperatingAssumptions"}</definedName>
    <definedName name="wrn.OperatingAssumtions._1" localSheetId="5" hidden="1">{#N/A,#N/A,FALSE,"OperatingAssumptions"}</definedName>
    <definedName name="wrn.PAIM._.TAX._.PRO." localSheetId="5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_1" localSheetId="5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resentation." localSheetId="5" hidden="1">{#N/A,#N/A,TRUE,"Summary";"AnnualRentRoll",#N/A,TRUE,"RentRoll";#N/A,#N/A,TRUE,"ExitStratigy";#N/A,#N/A,TRUE,"OperatingAssumptions"}</definedName>
    <definedName name="wrn.Presentation._1" localSheetId="5" hidden="1">{#N/A,#N/A,TRUE,"Summary";"AnnualRentRoll",#N/A,TRUE,"RentRoll";#N/A,#N/A,TRUE,"ExitStratigy";#N/A,#N/A,TRUE,"OperatingAssumptions"}</definedName>
    <definedName name="wrn.print." localSheetId="5" hidden="1">{"page1",#N/A,FALSE,"Sheet1";"page2",#N/A,FALSE,"Sheet1"}</definedName>
    <definedName name="wrn.Print._.All." localSheetId="5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wrn.print._1" localSheetId="5" hidden="1">{"page1",#N/A,FALSE,"Sheet1";"page2",#N/A,FALSE,"Sheet1"}</definedName>
    <definedName name="wrn.PropertyInformation." localSheetId="5" hidden="1">{#N/A,#N/A,FALSE,"PropertyInfo"}</definedName>
    <definedName name="wrn.PropertyInformation._1" localSheetId="5" hidden="1">{#N/A,#N/A,FALSE,"PropertyInfo"}</definedName>
    <definedName name="wrn.QAPU." localSheetId="5" hidden="1">{#N/A,#N/A,FALSE,"5YRASSPl - consol'd";#N/A,#N/A,FALSE,"5YRASSPl - hotel";#N/A,#N/A,FALSE,"5YRASSPl - excl htl";#N/A,#N/A,FALSE,"VarReport";#N/A,#N/A,FALSE,"Sensitivity";#N/A,#N/A,FALSE,"House View ";#N/A,#N/A,FALSE,"KPI"}</definedName>
    <definedName name="wrn.REPORT._.ALL." localSheetId="5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_1" localSheetId="5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SAA94TAX.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_1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5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_1" localSheetId="5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ituation._.complete." localSheetId="5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ituation._.complete._1" localSheetId="5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ummary." localSheetId="5" hidden="1">{#N/A,#N/A,FALSE,"Summary"}</definedName>
    <definedName name="wrn.Summary._1" localSheetId="5" hidden="1">{#N/A,#N/A,FALSE,"Summary"}</definedName>
    <definedName name="wrn.UNIONGAS94TAXRETURN.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_1" localSheetId="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간단한세무조정계산서.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_1" localSheetId="5" hidden="1">{#N/A,#N/A,TRUE,"1호 과표세액";#N/A,#N/A,TRUE,"6호 첨부(익)";#N/A,#N/A,TRUE,"6-3호 퇴충";#N/A,#N/A,TRUE,"PL";#N/A,#N/A,TRUE,"BS";#N/A,#N/A,TRUE,"RE";#N/A,#N/A,TRUE,"표지"}</definedName>
    <definedName name="wrn.감가." localSheetId="5" hidden="1">{#N/A,#N/A,FALSE,"buildings"}</definedName>
    <definedName name="wrn.대차._.대조표." localSheetId="5" hidden="1">{#N/A,#N/A,TRUE,"대 차 대 조 표"}</definedName>
    <definedName name="wrn.대차._.대조표._1" localSheetId="5" hidden="1">{#N/A,#N/A,TRUE,"대 차 대 조 표"}</definedName>
    <definedName name="wrn.보고서." localSheetId="5" hidden="1">{#N/A,#N/A,FALSE,"Sheet1";#N/A,#N/A,FALSE,"기평9607"}</definedName>
    <definedName name="wrn.보고서._1" localSheetId="5" hidden="1">{#N/A,#N/A,FALSE,"Sheet1";#N/A,#N/A,FALSE,"기평9607"}</definedName>
    <definedName name="wrn.세무조정계산서.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_1" localSheetId="5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_1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손익보고.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업체별._.견적공사명." localSheetId="5" hidden="1">{"SJ - 기본 보기",#N/A,FALSE,"공사별 외주견적"}</definedName>
    <definedName name="wrn.월추정." localSheetId="5" hidden="1">{#N/A,#N/A,FALSE,"월추정감가상각비";#N/A,#N/A,FALSE,"main_prog"}</definedName>
    <definedName name="wrn.이력서._.자기소개서." localSheetId="5" hidden="1">{#N/A,#N/A,FALSE,"이력서&amp;자기소개서"}</definedName>
    <definedName name="wrn.이력서._.자기소개서._1" localSheetId="5" hidden="1">{#N/A,#N/A,FALSE,"이력서&amp;자기소개서"}</definedName>
    <definedName name="wrn.이태원._.철근." localSheetId="5" hidden="1">{#N/A,#N/A,FALSE,"이태원철근"}</definedName>
    <definedName name="wrn.재무제표." localSheetId="5" hidden="1">{"PL2",#N/A,FALSE,"PL";"CH1",#N/A,FALSE,"현금흐름표";"CH2",#N/A,FALSE,"현금흐름표";"BS1",#N/A,FALSE,"BS";"CO",#N/A,FALSE,"매출원가";"BS2",#N/A,FALSE,"BS"}</definedName>
    <definedName name="wrn.조흥94세무.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_1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_1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집기비품보고서._.품목별._.및._.현장별._.집계표." localSheetId="5" hidden="1">{#N/A,#N/A,FALSE,"Sheet6"}</definedName>
    <definedName name="wrn.포항강판." localSheetId="5" hidden="1">{"현수",#N/A,FALSE,"월추정감가상각비"}</definedName>
    <definedName name="XREF_COLUMN_1" localSheetId="5" hidden="1">#REF!</definedName>
    <definedName name="XREF_COLUMN_10" localSheetId="5" hidden="1">#REF!</definedName>
    <definedName name="XREF_COLUMN_2" localSheetId="5" hidden="1">#REF!</definedName>
    <definedName name="XREF_COLUMN_3" localSheetId="5" hidden="1">#REF!</definedName>
    <definedName name="XREF_COLUMN_4" localSheetId="5" hidden="1">#REF!</definedName>
    <definedName name="XREF_COLUMN_5" localSheetId="5" hidden="1">#REF!</definedName>
    <definedName name="XREF_COLUMN_6" localSheetId="5" hidden="1">#REF!</definedName>
    <definedName name="XREF_COLUMN_7" localSheetId="5" hidden="1">#REF!</definedName>
    <definedName name="XREF_COLUMN_8" localSheetId="5" hidden="1">#REF!</definedName>
    <definedName name="XREF_COLUMN_9" localSheetId="5" hidden="1">#REF!</definedName>
    <definedName name="XRefCopy1" localSheetId="5" hidden="1">#REF!</definedName>
    <definedName name="XRefCopy10" localSheetId="5" hidden="1">#REF!</definedName>
    <definedName name="XRefCopy10Row" localSheetId="5" hidden="1">#REF!</definedName>
    <definedName name="XRefCopy11" localSheetId="5" hidden="1">#REF!</definedName>
    <definedName name="XRefCopy11Row" localSheetId="5" hidden="1">#REF!</definedName>
    <definedName name="XRefCopy12" localSheetId="5" hidden="1">#REF!</definedName>
    <definedName name="XRefCopy12Row" localSheetId="5" hidden="1">#REF!</definedName>
    <definedName name="XRefCopy13" localSheetId="5" hidden="1">#REF!</definedName>
    <definedName name="XRefCopy13Row" localSheetId="5" hidden="1">#REF!</definedName>
    <definedName name="XRefCopy14" localSheetId="5" hidden="1">#REF!</definedName>
    <definedName name="XRefCopy14Row" localSheetId="5" hidden="1">#REF!</definedName>
    <definedName name="XRefCopy15" localSheetId="5" hidden="1">#REF!</definedName>
    <definedName name="XRefCopy16" localSheetId="5" hidden="1">#REF!</definedName>
    <definedName name="XRefCopy17" localSheetId="5" hidden="1">#REF!</definedName>
    <definedName name="XRefCopy18" localSheetId="5" hidden="1">#REF!</definedName>
    <definedName name="XRefCopy19" localSheetId="5" hidden="1">#REF!</definedName>
    <definedName name="XRefCopy1Row" localSheetId="5" hidden="1">#REF!</definedName>
    <definedName name="XRefCopy2" localSheetId="5" hidden="1">#REF!</definedName>
    <definedName name="XRefCopy20" localSheetId="5" hidden="1">#REF!</definedName>
    <definedName name="XRefCopy20Row" localSheetId="5" hidden="1">#REF!</definedName>
    <definedName name="XRefCopy2Row" localSheetId="5" hidden="1">#REF!</definedName>
    <definedName name="XRefCopy3" localSheetId="5" hidden="1">#REF!</definedName>
    <definedName name="XRefCopy3Row" localSheetId="5" hidden="1">#REF!</definedName>
    <definedName name="XRefCopy4" localSheetId="5" hidden="1">#REF!</definedName>
    <definedName name="XRefCopy4Row" localSheetId="5" hidden="1">#REF!</definedName>
    <definedName name="XRefCopy5" localSheetId="5" hidden="1">#REF!</definedName>
    <definedName name="XRefCopy5Row" localSheetId="5" hidden="1">#REF!</definedName>
    <definedName name="XRefCopy6" localSheetId="5" hidden="1">#REF!</definedName>
    <definedName name="XRefCopy6Row" localSheetId="5" hidden="1">#REF!</definedName>
    <definedName name="XRefCopy7" localSheetId="5" hidden="1">#REF!</definedName>
    <definedName name="XRefCopy7Row" localSheetId="5" hidden="1">#REF!</definedName>
    <definedName name="XRefCopy8" localSheetId="5" hidden="1">#REF!</definedName>
    <definedName name="XRefCopy8Row" localSheetId="5" hidden="1">#REF!</definedName>
    <definedName name="XRefCopy9" localSheetId="5" hidden="1">#REF!</definedName>
    <definedName name="XRefCopy9Row" localSheetId="5" hidden="1">#REF!</definedName>
    <definedName name="XRefPaste1" localSheetId="5" hidden="1">#REF!</definedName>
    <definedName name="XRefPaste10" localSheetId="5" hidden="1">#REF!</definedName>
    <definedName name="XRefPaste10Row" localSheetId="5" hidden="1">#REF!</definedName>
    <definedName name="XRefPaste11" localSheetId="5" hidden="1">#REF!</definedName>
    <definedName name="XRefPaste11Row" localSheetId="5" hidden="1">#REF!</definedName>
    <definedName name="XRefPaste12" localSheetId="5" hidden="1">#REF!</definedName>
    <definedName name="XRefPaste12Row" localSheetId="5" hidden="1">#REF!</definedName>
    <definedName name="XRefPaste13" localSheetId="5" hidden="1">#REF!</definedName>
    <definedName name="XRefPaste13Row" localSheetId="5" hidden="1">#REF!</definedName>
    <definedName name="XRefPaste14" localSheetId="5" hidden="1">#REF!</definedName>
    <definedName name="XRefPaste14Row" localSheetId="5" hidden="1">#REF!</definedName>
    <definedName name="XRefPaste15" localSheetId="5" hidden="1">#REF!</definedName>
    <definedName name="XRefPaste15Row" localSheetId="5" hidden="1">#REF!</definedName>
    <definedName name="XRefPaste16" localSheetId="5" hidden="1">#REF!</definedName>
    <definedName name="XRefPaste16Row" localSheetId="5" hidden="1">#REF!</definedName>
    <definedName name="XRefPaste17" localSheetId="5" hidden="1">#REF!</definedName>
    <definedName name="XRefPaste17Row" localSheetId="5" hidden="1">#REF!</definedName>
    <definedName name="XRefPaste18" localSheetId="5" hidden="1">#REF!</definedName>
    <definedName name="XRefPaste18Row" localSheetId="5" hidden="1">#REF!</definedName>
    <definedName name="XRefPaste19" localSheetId="5" hidden="1">#REF!</definedName>
    <definedName name="XRefPaste19Row" localSheetId="5" hidden="1">#REF!</definedName>
    <definedName name="XRefPaste1Row" localSheetId="5" hidden="1">#REF!</definedName>
    <definedName name="XRefPaste2" localSheetId="5" hidden="1">#REF!</definedName>
    <definedName name="XRefPaste20" localSheetId="5" hidden="1">#REF!</definedName>
    <definedName name="XRefPaste20Row" localSheetId="5" hidden="1">#REF!</definedName>
    <definedName name="XRefPaste21" localSheetId="5" hidden="1">#REF!</definedName>
    <definedName name="XRefPaste21Row" localSheetId="5" hidden="1">#REF!</definedName>
    <definedName name="XRefPaste22" localSheetId="5" hidden="1">#REF!</definedName>
    <definedName name="XRefPaste22Row" localSheetId="5" hidden="1">#REF!</definedName>
    <definedName name="XRefPaste23" localSheetId="5" hidden="1">#REF!</definedName>
    <definedName name="XRefPaste23Row" localSheetId="5" hidden="1">#REF!</definedName>
    <definedName name="XRefPaste24" localSheetId="5" hidden="1">#REF!</definedName>
    <definedName name="XRefPaste24Row" localSheetId="5" hidden="1">#REF!</definedName>
    <definedName name="XRefPaste25" localSheetId="5" hidden="1">#REF!</definedName>
    <definedName name="XRefPaste25Row" localSheetId="5" hidden="1">#REF!</definedName>
    <definedName name="XRefPaste26" localSheetId="5" hidden="1">#REF!</definedName>
    <definedName name="XRefPaste26Row" localSheetId="5" hidden="1">#REF!</definedName>
    <definedName name="XRefPaste27" localSheetId="5" hidden="1">#REF!</definedName>
    <definedName name="XRefPaste27Row" localSheetId="5" hidden="1">#REF!</definedName>
    <definedName name="XRefPaste28" localSheetId="5" hidden="1">#REF!</definedName>
    <definedName name="XRefPaste28Row" localSheetId="5" hidden="1">#REF!</definedName>
    <definedName name="XRefPaste29" localSheetId="5" hidden="1">#REF!</definedName>
    <definedName name="XRefPaste29Row" localSheetId="5" hidden="1">#REF!</definedName>
    <definedName name="XRefPaste2Row" localSheetId="5" hidden="1">#REF!</definedName>
    <definedName name="XRefPaste3" localSheetId="5" hidden="1">#REF!</definedName>
    <definedName name="XRefPaste30" localSheetId="5" hidden="1">#REF!</definedName>
    <definedName name="XRefPaste30Row" localSheetId="5" hidden="1">#REF!</definedName>
    <definedName name="XRefPaste31" localSheetId="5" hidden="1">#REF!</definedName>
    <definedName name="XRefPaste31Row" localSheetId="5" hidden="1">#REF!</definedName>
    <definedName name="XRefPaste32" localSheetId="5" hidden="1">#REF!</definedName>
    <definedName name="XRefPaste32Row" localSheetId="5" hidden="1">#REF!</definedName>
    <definedName name="XRefPaste33" localSheetId="5" hidden="1">#REF!</definedName>
    <definedName name="XRefPaste33Row" localSheetId="5" hidden="1">#REF!</definedName>
    <definedName name="XRefPaste34" localSheetId="5" hidden="1">#REF!</definedName>
    <definedName name="XRefPaste35" localSheetId="5" hidden="1">#REF!</definedName>
    <definedName name="XRefPaste36" localSheetId="5" hidden="1">#REF!</definedName>
    <definedName name="XRefPaste37" localSheetId="5" hidden="1">#REF!</definedName>
    <definedName name="XRefPaste38" localSheetId="5" hidden="1">#REF!</definedName>
    <definedName name="XRefPaste39" localSheetId="5" hidden="1">#REF!</definedName>
    <definedName name="XRefPaste3Row" localSheetId="5" hidden="1">#REF!</definedName>
    <definedName name="XRefPaste4" localSheetId="5" hidden="1">#REF!</definedName>
    <definedName name="XRefPaste40" localSheetId="5" hidden="1">#REF!</definedName>
    <definedName name="XRefPaste41" localSheetId="5" hidden="1">#REF!</definedName>
    <definedName name="XRefPaste42" localSheetId="5" hidden="1">#REF!</definedName>
    <definedName name="XRefPaste43" localSheetId="5" hidden="1">#REF!</definedName>
    <definedName name="XRefPaste44" localSheetId="5" hidden="1">#REF!</definedName>
    <definedName name="XRefPaste45" localSheetId="5" hidden="1">#REF!</definedName>
    <definedName name="XRefPaste46" localSheetId="5" hidden="1">#REF!</definedName>
    <definedName name="XRefPaste47" localSheetId="5" hidden="1">#REF!</definedName>
    <definedName name="XRefPaste48" localSheetId="5" hidden="1">#REF!</definedName>
    <definedName name="XRefPaste49" localSheetId="5" hidden="1">#REF!</definedName>
    <definedName name="XRefPaste4Row" localSheetId="5" hidden="1">#REF!</definedName>
    <definedName name="XRefPaste5" localSheetId="5" hidden="1">#REF!</definedName>
    <definedName name="XRefPaste50" localSheetId="5" hidden="1">#REF!</definedName>
    <definedName name="XRefPaste51" localSheetId="5" hidden="1">#REF!</definedName>
    <definedName name="XRefPaste52" localSheetId="5" hidden="1">#REF!</definedName>
    <definedName name="XRefPaste53" localSheetId="5" hidden="1">#REF!</definedName>
    <definedName name="XRefPaste5Row" localSheetId="5" hidden="1">#REF!</definedName>
    <definedName name="XRefPaste6" localSheetId="5" hidden="1">#REF!</definedName>
    <definedName name="XRefPaste6Row" localSheetId="5" hidden="1">#REF!</definedName>
    <definedName name="XRefPaste7" localSheetId="5" hidden="1">#REF!</definedName>
    <definedName name="XRefPaste7Row" localSheetId="5" hidden="1">#REF!</definedName>
    <definedName name="XRefPaste8" localSheetId="5" hidden="1">#REF!</definedName>
    <definedName name="XRefPaste8Row" localSheetId="5" hidden="1">#REF!</definedName>
    <definedName name="XRefPaste9" localSheetId="5" hidden="1">#REF!</definedName>
    <definedName name="XRefPaste9Row" localSheetId="5" hidden="1">#REF!</definedName>
    <definedName name="XRefPasteRangeCount" localSheetId="5" hidden="1">69</definedName>
    <definedName name="Z_18B7B7A5_CB81_11D4_B8D9_00D0B79CFA38_.wvu.FilterData" localSheetId="5" hidden="1">#REF!</definedName>
    <definedName name="Z_1E68EE86_CB81_11D4_8D98_0008C73BAB8A_.wvu.FilterData" localSheetId="5" hidden="1">#REF!</definedName>
    <definedName name="Z_1F713D72_E6F4_11D3_8E1E_00A0244E179B_.wvu.Cols" localSheetId="5" hidden="1">#REF!</definedName>
    <definedName name="Z_1F713D72_E6F4_11D3_8E1E_00A0244E179B_.wvu.PrintArea" localSheetId="5" hidden="1">#REF!</definedName>
    <definedName name="Z_6332A1C3_4451_11D5_8DF3_00C026000EEF_.wvu.PrintTitles" localSheetId="5" hidden="1">#REF!</definedName>
    <definedName name="Z_6C188702_CB61_11D4_8F58_00508BF61DE6_.wvu.FilterData" localSheetId="5" hidden="1">#REF!</definedName>
    <definedName name="Z_A56863A1_CC32_11D4_8E20_00D0B79C982E_.wvu.FilterData" localSheetId="5" hidden="1">#REF!</definedName>
    <definedName name="Z_BFEEB821_E6AD_11D3_88E4_00E09870C276_.wvu.PrintArea" localSheetId="5" hidden="1">#REF!</definedName>
    <definedName name="Z_DB8AC590_3D3A_11D5_BCB0_000021EC112A_.wvu.Cols" localSheetId="5" hidden="1">#REF!</definedName>
    <definedName name="Z_DB8AC590_3D3A_11D5_BCB0_000021EC112A_.wvu.PrintArea" localSheetId="5" hidden="1">#REF!</definedName>
    <definedName name="Z_DB8AC590_3D3A_11D5_BCB0_000021EC112A_.wvu.PrintTitles" localSheetId="5" hidden="1">#REF!</definedName>
    <definedName name="Z_DB8AC590_3D3A_11D5_BCB0_000021EC112A_.wvu.Rows" localSheetId="5" hidden="1">#REF!,#REF!</definedName>
    <definedName name="Z_F6AB6A24_E5D5_11D3_B573_00104BA1686B_.wvu.Cols" localSheetId="5" hidden="1">#REF!,#REF!,#REF!</definedName>
    <definedName name="ZXC" localSheetId="5" hidden="1">{#N/A,#N/A,FALSE,"이태원철근"}</definedName>
    <definedName name="ㄱ" localSheetId="5" hidden="1">{#N/A,#N/A,FALSE,"이태원철근"}</definedName>
    <definedName name="ㄱㄱ" localSheetId="5">#REF!</definedName>
    <definedName name="ㄱㄱㅈㄷㅂ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ㅅㄱㄷ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ㄺㄹ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히망ㅎ" localSheetId="5" hidden="1">{#N/A,#N/A,FALSE,"1.CRITERIA";#N/A,#N/A,FALSE,"2.IS";#N/A,#N/A,FALSE,"3.BS";#N/A,#N/A,FALSE,"4.PER PL";#N/A,#N/A,FALSE,"5.INVESTMENT";#N/A,#N/A,FALSE,"6.공문";#N/A,#N/A,FALSE,"7.netinvest"}</definedName>
    <definedName name="가가" localSheetId="5">#REF!</definedName>
    <definedName name="가갸" localSheetId="5" hidden="1">{#N/A,#N/A,FALSE,"이태원철근"}</definedName>
    <definedName name="가격산출" localSheetId="5" hidden="1">#REF!</definedName>
    <definedName name="가나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나라" localSheetId="5" hidden="1">{#N/A,#N/A,FALSE,"1.CRITERIA";#N/A,#N/A,FALSE,"2.IS";#N/A,#N/A,FALSE,"3.BS";#N/A,#N/A,FALSE,"4.PER PL";#N/A,#N/A,FALSE,"5.INVESTMENT";#N/A,#N/A,FALSE,"6.공문";#N/A,#N/A,FALSE,"7.netinvest"}</definedName>
    <definedName name="가다" localSheetId="5" hidden="1">{#N/A,#N/A,FALSE,"1.CRITERIA";#N/A,#N/A,FALSE,"2.IS";#N/A,#N/A,FALSE,"3.BS";#N/A,#N/A,FALSE,"4.PER PL";#N/A,#N/A,FALSE,"5.INVESTMENT";#N/A,#N/A,FALSE,"6.공문";#N/A,#N/A,FALSE,"7.netinvest"}</definedName>
    <definedName name="가라" localSheetId="5" hidden="1">{#N/A,#N/A,FALSE,"1.CRITERIA";#N/A,#N/A,FALSE,"2.IS";#N/A,#N/A,FALSE,"3.BS";#N/A,#N/A,FALSE,"4.PER PL";#N/A,#N/A,FALSE,"5.INVESTMENT";#N/A,#N/A,FALSE,"6.공문";#N/A,#N/A,FALSE,"7.netinvest"}</definedName>
    <definedName name="가람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아" localSheetId="5" hidden="1">{#N/A,#N/A,FALSE,"1.CRITERIA";#N/A,#N/A,FALSE,"2.IS";#N/A,#N/A,FALSE,"3.BS";#N/A,#N/A,FALSE,"4.PER PL";#N/A,#N/A,FALSE,"5.INVESTMENT";#N/A,#N/A,FALSE,"6.공문";#N/A,#N/A,FALSE,"7.netinvest"}</definedName>
    <definedName name="가아노" localSheetId="5" hidden="1">{#N/A,#N/A,FALSE,"1.CRITERIA";#N/A,#N/A,FALSE,"2.IS";#N/A,#N/A,FALSE,"3.BS";#N/A,#N/A,FALSE,"4.PER PL";#N/A,#N/A,FALSE,"5.INVESTMENT";#N/A,#N/A,FALSE,"6.공문";#N/A,#N/A,FALSE,"7.netinvest"}</definedName>
    <definedName name="가아다" localSheetId="5" hidden="1">{#N/A,#N/A,FALSE,"1.CRITERIA";#N/A,#N/A,FALSE,"2.IS";#N/A,#N/A,FALSE,"3.BS";#N/A,#N/A,FALSE,"4.PER PL";#N/A,#N/A,FALSE,"5.INVESTMENT";#N/A,#N/A,FALSE,"6.공문";#N/A,#N/A,FALSE,"7.netinvest"}</definedName>
    <definedName name="가아차" localSheetId="5" hidden="1">{#N/A,#N/A,FALSE,"1.CRITERIA";#N/A,#N/A,FALSE,"2.IS";#N/A,#N/A,FALSE,"3.BS";#N/A,#N/A,FALSE,"4.PER PL";#N/A,#N/A,FALSE,"5.INVESTMENT";#N/A,#N/A,FALSE,"6.공문";#N/A,#N/A,FALSE,"7.netinvest"}</definedName>
    <definedName name="가오" localSheetId="5" hidden="1">{#N/A,#N/A,FALSE,"1.CRITERIA";#N/A,#N/A,FALSE,"2.IS";#N/A,#N/A,FALSE,"3.BS";#N/A,#N/A,FALSE,"4.PER PL";#N/A,#N/A,FALSE,"5.INVESTMENT";#N/A,#N/A,FALSE,"6.공문";#N/A,#N/A,FALSE,"7.netinvest"}</definedName>
    <definedName name="가오나" localSheetId="5" hidden="1">{#N/A,#N/A,FALSE,"1.CRITERIA";#N/A,#N/A,FALSE,"2.IS";#N/A,#N/A,FALSE,"3.BS";#N/A,#N/A,FALSE,"4.PER PL";#N/A,#N/A,FALSE,"5.INVESTMENT";#N/A,#N/A,FALSE,"6.공문";#N/A,#N/A,FALSE,"7.netinvest"}</definedName>
    <definedName name="가오아" localSheetId="5" hidden="1">{#N/A,#N/A,FALSE,"1.CRITERIA";#N/A,#N/A,FALSE,"2.IS";#N/A,#N/A,FALSE,"3.BS";#N/A,#N/A,FALSE,"4.PER PL";#N/A,#N/A,FALSE,"5.INVESTMENT";#N/A,#N/A,FALSE,"6.공문";#N/A,#N/A,FALSE,"7.netinvest"}</definedName>
    <definedName name="가카" localSheetId="5" hidden="1">{#N/A,#N/A,FALSE,"1.CRITERIA";#N/A,#N/A,FALSE,"2.IS";#N/A,#N/A,FALSE,"3.BS";#N/A,#N/A,FALSE,"4.PER PL";#N/A,#N/A,FALSE,"5.INVESTMENT";#N/A,#N/A,FALSE,"6.공문";#N/A,#N/A,FALSE,"7.netinvest"}</definedName>
    <definedName name="가타" localSheetId="5" hidden="1">{#N/A,#N/A,FALSE,"1.CRITERIA";#N/A,#N/A,FALSE,"2.IS";#N/A,#N/A,FALSE,"3.BS";#N/A,#N/A,FALSE,"4.PER PL";#N/A,#N/A,FALSE,"5.INVESTMENT";#N/A,#N/A,FALSE,"6.공문";#N/A,#N/A,FALSE,"7.netinvest"}</definedName>
    <definedName name="갈" localSheetId="5" hidden="1">{#N/A,#N/A,FALSE,"1.CRITERIA";#N/A,#N/A,FALSE,"2.IS";#N/A,#N/A,FALSE,"3.BS";#N/A,#N/A,FALSE,"4.PER PL";#N/A,#N/A,FALSE,"5.INVESTMENT";#N/A,#N/A,FALSE,"6.공문";#N/A,#N/A,FALSE,"7.netinvest"}</definedName>
    <definedName name="갑지" localSheetId="5" hidden="1">#REF!</definedName>
    <definedName name="강" localSheetId="5">#REF!</definedName>
    <definedName name="강릉교동" localSheetId="5" hidden="1">#REF!</definedName>
    <definedName name="강릉교동터파기" localSheetId="5" hidden="1">#REF!</definedName>
    <definedName name="강릉교동토목" localSheetId="5" hidden="1">#REF!</definedName>
    <definedName name="강릉교동흙막이" localSheetId="5" hidden="1">#REF!</definedName>
    <definedName name="강릉토공사" localSheetId="5" hidden="1">#REF!</definedName>
    <definedName name="강릉토목공사" localSheetId="5" hidden="1">#REF!</definedName>
    <definedName name="강릉토목임" localSheetId="5" hidden="1">#REF!</definedName>
    <definedName name="개선내용" localSheetId="5" hidden="1">{#N/A,#N/A,TRUE,"Y생산";#N/A,#N/A,TRUE,"Y판매";#N/A,#N/A,TRUE,"Y총물량";#N/A,#N/A,TRUE,"Y능력";#N/A,#N/A,TRUE,"YKD"}</definedName>
    <definedName name="개선내용_1" localSheetId="5" hidden="1">{#N/A,#N/A,TRUE,"Y생산";#N/A,#N/A,TRUE,"Y판매";#N/A,#N/A,TRUE,"Y총물량";#N/A,#N/A,TRUE,"Y능력";#N/A,#N/A,TRUE,"YKD"}</definedName>
    <definedName name="개선실적" localSheetId="5" hidden="1">{#N/A,#N/A,TRUE,"Y생산";#N/A,#N/A,TRUE,"Y판매";#N/A,#N/A,TRUE,"Y총물량";#N/A,#N/A,TRUE,"Y능력";#N/A,#N/A,TRUE,"YKD"}</definedName>
    <definedName name="개선실적_1" localSheetId="5" hidden="1">{#N/A,#N/A,TRUE,"Y생산";#N/A,#N/A,TRUE,"Y판매";#N/A,#N/A,TRUE,"Y총물량";#N/A,#N/A,TRUE,"Y능력";#N/A,#N/A,TRUE,"YKD"}</definedName>
    <definedName name="거" localSheetId="5" hidden="1">{#N/A,#N/A,FALSE,"1.CRITERIA";#N/A,#N/A,FALSE,"2.IS";#N/A,#N/A,FALSE,"3.BS";#N/A,#N/A,FALSE,"4.PER PL";#N/A,#N/A,FALSE,"5.INVESTMENT";#N/A,#N/A,FALSE,"6.공문";#N/A,#N/A,FALSE,"7.netinvest"}</definedName>
    <definedName name="거이" localSheetId="5" hidden="1">{#N/A,#N/A,FALSE,"1.CRITERIA";#N/A,#N/A,FALSE,"2.IS";#N/A,#N/A,FALSE,"3.BS";#N/A,#N/A,FALSE,"4.PER PL";#N/A,#N/A,FALSE,"5.INVESTMENT";#N/A,#N/A,FALSE,"6.공문";#N/A,#N/A,FALSE,"7.netinvest"}</definedName>
    <definedName name="건설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건설팀" localSheetId="5" hidden="1">{#N/A,#N/A,TRUE,"Y생산";#N/A,#N/A,TRUE,"Y판매";#N/A,#N/A,TRUE,"Y총물량";#N/A,#N/A,TRUE,"Y능력";#N/A,#N/A,TRUE,"YKD"}</definedName>
    <definedName name="건설팀_1" localSheetId="5" hidden="1">{#N/A,#N/A,TRUE,"Y생산";#N/A,#N/A,TRUE,"Y판매";#N/A,#N/A,TRUE,"Y총물량";#N/A,#N/A,TRUE,"Y능력";#N/A,#N/A,TRUE,"YKD"}</definedName>
    <definedName name="검토의뢰서" localSheetId="5" hidden="1">{#N/A,#N/A,FALSE,"이태원철근"}</definedName>
    <definedName name="검토의뢰서2" localSheetId="5" hidden="1">{#N/A,#N/A,FALSE,"이태원철근"}</definedName>
    <definedName name="경상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양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123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3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5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계산" localSheetId="5" hidden="1">{#N/A,#N/A,FALSE,"1.CRITERIA";#N/A,#N/A,FALSE,"2.IS";#N/A,#N/A,FALSE,"3.BS";#N/A,#N/A,FALSE,"4.PER PL";#N/A,#N/A,FALSE,"5.INVESTMENT";#N/A,#N/A,FALSE,"6.공문";#N/A,#N/A,FALSE,"7.netinvest"}</definedName>
    <definedName name="곡동" localSheetId="5" hidden="1">{"'Firr(선)'!$AS$1:$AY$62","'Firr(사)'!$AS$1:$AY$62","'Firr(회)'!$AS$1:$AY$62","'Firr(선)'!$L$1:$V$62","'Firr(사)'!$L$1:$V$62","'Firr(회)'!$L$1:$V$62"}</definedName>
    <definedName name="공문" localSheetId="5" hidden="1">#REF!</definedName>
    <definedName name="공사1" localSheetId="5" hidden="1">{#N/A,#N/A,FALSE,"이태원철근"}</definedName>
    <definedName name="공사개요최종" localSheetId="5" hidden="1">{#N/A,#N/A,FALSE,"이태원철근"}</definedName>
    <definedName name="공정계획" localSheetId="5" hidden="1">{#N/A,#N/A,FALSE,"이태원철근"}</definedName>
    <definedName name="공통매입" localSheetId="5" hidden="1">#REF!</definedName>
    <definedName name="공통비" localSheetId="5" hidden="1">#REF!</definedName>
    <definedName name="공통비코아" localSheetId="5" hidden="1">#REF!</definedName>
    <definedName name="곽동준" localSheetId="5" hidden="1">{"'Firr(선)'!$AS$1:$AY$62","'Firr(사)'!$AS$1:$AY$62","'Firr(회)'!$AS$1:$AY$62","'Firr(선)'!$L$1:$V$62","'Firr(사)'!$L$1:$V$62","'Firr(회)'!$L$1:$V$62"}</definedName>
    <definedName name="곽동중" localSheetId="5" hidden="1">{"'Firr(선)'!$AS$1:$AY$62","'Firr(사)'!$AS$1:$AY$62","'Firr(회)'!$AS$1:$AY$62","'Firr(선)'!$L$1:$V$62","'Firr(사)'!$L$1:$V$62","'Firr(회)'!$L$1:$V$62"}</definedName>
    <definedName name="교동토" localSheetId="5" hidden="1">#REF!</definedName>
    <definedName name="교동토목공사" localSheetId="5" hidden="1">{#N/A,#N/A,FALSE,"이태원철근"}</definedName>
    <definedName name="국제거래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_1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기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아" localSheetId="5" hidden="1">{#N/A,#N/A,FALSE,"1.CRITERIA";#N/A,#N/A,FALSE,"2.IS";#N/A,#N/A,FALSE,"3.BS";#N/A,#N/A,FALSE,"4.PER PL";#N/A,#N/A,FALSE,"5.INVESTMENT";#N/A,#N/A,FALSE,"6.공문";#N/A,#N/A,FALSE,"7.netinvest"}</definedName>
    <definedName name="기아차" localSheetId="5" hidden="1">{#N/A,#N/A,FALSE,"1.CRITERIA";#N/A,#N/A,FALSE,"2.IS";#N/A,#N/A,FALSE,"3.BS";#N/A,#N/A,FALSE,"4.PER PL";#N/A,#N/A,FALSE,"5.INVESTMENT";#N/A,#N/A,FALSE,"6.공문";#N/A,#N/A,FALSE,"7.netinvest"}</definedName>
    <definedName name="기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길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localSheetId="5" hidden="1">{#N/A,#N/A,FALSE,"이태원철근"}</definedName>
    <definedName name="김동" localSheetId="5" hidden="1">{"'Firr(선)'!$AS$1:$AY$62","'Firr(사)'!$AS$1:$AY$62","'Firr(회)'!$AS$1:$AY$62","'Firr(선)'!$L$1:$V$62","'Firr(사)'!$L$1:$V$62","'Firr(회)'!$L$1:$V$62"}</definedName>
    <definedName name="김동준" localSheetId="5" hidden="1">{"'Firr(선)'!$AS$1:$AY$62","'Firr(사)'!$AS$1:$AY$62","'Firr(회)'!$AS$1:$AY$62","'Firr(선)'!$L$1:$V$62","'Firr(사)'!$L$1:$V$62","'Firr(회)'!$L$1:$V$62"}</definedName>
    <definedName name="김중규" localSheetId="5" hidden="1">{#N/A,#N/A,FALSE,"이태원철근"}</definedName>
    <definedName name="ㄳㄷㄳ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localSheetId="5">BlankMacro1</definedName>
    <definedName name="ㄴㄴ" localSheetId="5">#REF!</definedName>
    <definedName name="ㄴㄴㄴ" localSheetId="5" hidden="1">{#N/A,#N/A,TRUE,"대 차 대 조 표"}</definedName>
    <definedName name="ㄴㄴㄴ_1" localSheetId="5" hidden="1">{#N/A,#N/A,TRUE,"대 차 대 조 표"}</definedName>
    <definedName name="ㄴㄹㅇㄹㅇㄴ" localSheetId="5" hidden="1">{#N/A,#N/A,FALSE,"Aging Summary";#N/A,#N/A,FALSE,"Ratio Analysis";#N/A,#N/A,FALSE,"Test 120 Day Accts";#N/A,#N/A,FALSE,"Tickmarks"}</definedName>
    <definedName name="ㄴㅇ" localSheetId="5" hidden="1">{#N/A,#N/A,TRUE,"Y생산";#N/A,#N/A,TRUE,"Y판매";#N/A,#N/A,TRUE,"Y총물량";#N/A,#N/A,TRUE,"Y능력";#N/A,#N/A,TRUE,"YKD"}</definedName>
    <definedName name="ㄴㅇ_1" localSheetId="5" hidden="1">{#N/A,#N/A,TRUE,"Y생산";#N/A,#N/A,TRUE,"Y판매";#N/A,#N/A,TRUE,"Y총물량";#N/A,#N/A,TRUE,"Y능력";#N/A,#N/A,TRUE,"YKD"}</definedName>
    <definedName name="ㄴㅇㄴㅇ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localSheetId="5" hidden="1">{#N/A,#N/A,TRUE,"Y생산";#N/A,#N/A,TRUE,"Y판매";#N/A,#N/A,TRUE,"Y총물량";#N/A,#N/A,TRUE,"Y능력";#N/A,#N/A,TRUE,"YKD"}</definedName>
    <definedName name="ㄴㅇㄹㄴㅇㄹ_1" localSheetId="5" hidden="1">{#N/A,#N/A,TRUE,"Y생산";#N/A,#N/A,TRUE,"Y판매";#N/A,#N/A,TRUE,"Y총물량";#N/A,#N/A,TRUE,"Y능력";#N/A,#N/A,TRUE,"YKD"}</definedName>
    <definedName name="ㄴㅇㄹㄴㅇㄹㄴㅇㄹ" localSheetId="5" hidden="1">{#N/A,#N/A,TRUE,"Y생산";#N/A,#N/A,TRUE,"Y판매";#N/A,#N/A,TRUE,"Y총물량";#N/A,#N/A,TRUE,"Y능력";#N/A,#N/A,TRUE,"YKD"}</definedName>
    <definedName name="ㄴㅇㄹㄴㅇㄹㄴㅇㄹ_1" localSheetId="5" hidden="1">{#N/A,#N/A,TRUE,"Y생산";#N/A,#N/A,TRUE,"Y판매";#N/A,#N/A,TRUE,"Y총물량";#N/A,#N/A,TRUE,"Y능력";#N/A,#N/A,TRUE,"YKD"}</definedName>
    <definedName name="ㄴㅇㄺㅈ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ㅇㄴㅁㄴㅇㅁ" localSheetId="5" hidden="1">{#N/A,#N/A,FALSE,"CCTV"}</definedName>
    <definedName name="나" localSheetId="5" hidden="1">{#N/A,#N/A,FALSE,"1.CRITERIA";#N/A,#N/A,FALSE,"2.IS";#N/A,#N/A,FALSE,"3.BS";#N/A,#N/A,FALSE,"4.PER PL";#N/A,#N/A,FALSE,"5.INVESTMENT";#N/A,#N/A,FALSE,"6.공문";#N/A,#N/A,FALSE,"7.netinvest"}</definedName>
    <definedName name="나다라" localSheetId="5" hidden="1">{#N/A,#N/A,FALSE,"1.CRITERIA";#N/A,#N/A,FALSE,"2.IS";#N/A,#N/A,FALSE,"3.BS";#N/A,#N/A,FALSE,"4.PER PL";#N/A,#N/A,FALSE,"5.INVESTMENT";#N/A,#N/A,FALSE,"6.공문";#N/A,#N/A,FALSE,"7.netinvest"}</definedName>
    <definedName name="나라" localSheetId="5" hidden="1">{#N/A,#N/A,FALSE,"1.CRITERIA";#N/A,#N/A,FALSE,"2.IS";#N/A,#N/A,FALSE,"3.BS";#N/A,#N/A,FALSE,"4.PER PL";#N/A,#N/A,FALSE,"5.INVESTMENT";#N/A,#N/A,FALSE,"6.공문";#N/A,#N/A,FALSE,"7.netinvest"}</definedName>
    <definedName name="내" localSheetId="5" hidden="1">{#N/A,#N/A,FALSE,"1.CRITERIA";#N/A,#N/A,FALSE,"2.IS";#N/A,#N/A,FALSE,"3.BS";#N/A,#N/A,FALSE,"4.PER PL";#N/A,#N/A,FALSE,"5.INVESTMENT";#N/A,#N/A,FALSE,"6.공문";#N/A,#N/A,FALSE,"7.netinvest"}</definedName>
    <definedName name="내역" localSheetId="5" hidden="1">{#N/A,#N/A,FALSE,"CCTV"}</definedName>
    <definedName name="내영.." localSheetId="5" hidden="1">{#N/A,#N/A,TRUE,"Y생산";#N/A,#N/A,TRUE,"Y판매";#N/A,#N/A,TRUE,"Y총물량";#N/A,#N/A,TRUE,"Y능력";#N/A,#N/A,TRUE,"YKD"}</definedName>
    <definedName name="내영.._1" localSheetId="5" hidden="1">{#N/A,#N/A,TRUE,"Y생산";#N/A,#N/A,TRUE,"Y판매";#N/A,#N/A,TRUE,"Y총물량";#N/A,#N/A,TRUE,"Y능력";#N/A,#N/A,TRUE,"YKD"}</definedName>
    <definedName name="내용" localSheetId="5" hidden="1">{#N/A,#N/A,TRUE,"Y생산";#N/A,#N/A,TRUE,"Y판매";#N/A,#N/A,TRUE,"Y총물량";#N/A,#N/A,TRUE,"Y능력";#N/A,#N/A,TRUE,"YKD"}</definedName>
    <definedName name="내용_1" localSheetId="5" hidden="1">{#N/A,#N/A,TRUE,"Y생산";#N/A,#N/A,TRUE,"Y판매";#N/A,#N/A,TRUE,"Y총물량";#N/A,#N/A,TRUE,"Y능력";#N/A,#N/A,TRUE,"YKD"}</definedName>
    <definedName name="너" localSheetId="5" hidden="1">{#N/A,#N/A,FALSE,"1.CRITERIA";#N/A,#N/A,FALSE,"2.IS";#N/A,#N/A,FALSE,"3.BS";#N/A,#N/A,FALSE,"4.PER PL";#N/A,#N/A,FALSE,"5.INVESTMENT";#N/A,#N/A,FALSE,"6.공문";#N/A,#N/A,FALSE,"7.netinvest"}</definedName>
    <definedName name="노" localSheetId="5" hidden="1">{#N/A,#N/A,FALSE,"1.CRITERIA";#N/A,#N/A,FALSE,"2.IS";#N/A,#N/A,FALSE,"3.BS";#N/A,#N/A,FALSE,"4.PER PL";#N/A,#N/A,FALSE,"5.INVESTMENT";#N/A,#N/A,FALSE,"6.공문";#N/A,#N/A,FALSE,"7.netinvest"}</definedName>
    <definedName name="논현동외" localSheetId="5" hidden="1">{#N/A,#N/A,FALSE,"Sheet6"}</definedName>
    <definedName name="ㄷ" localSheetId="5" hidden="1">{#N/A,#N/A,FALSE,"이태원철근"}</definedName>
    <definedName name="ㄷㄱㄷ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ㅈㄱ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ㄱㄷㅅㄱ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ㄷㄷㄷ" localSheetId="5" hidden="1">{#N/A,#N/A,FALSE,"Aging Summary";#N/A,#N/A,FALSE,"Ratio Analysis";#N/A,#N/A,FALSE,"Test 120 Day Accts";#N/A,#N/A,FALSE,"Tickmarks"}</definedName>
    <definedName name="ㄷㄷㄷㄷㄷ" localSheetId="5" hidden="1">{#N/A,#N/A,FALSE,"동부"}</definedName>
    <definedName name="ㄷㅇ" localSheetId="5" hidden="1">{#N/A,#N/A,TRUE,"Y생산";#N/A,#N/A,TRUE,"Y판매";#N/A,#N/A,TRUE,"Y총물량";#N/A,#N/A,TRUE,"Y능력";#N/A,#N/A,TRUE,"YKD"}</definedName>
    <definedName name="ㄷㅇ_1" localSheetId="5" hidden="1">{#N/A,#N/A,TRUE,"Y생산";#N/A,#N/A,TRUE,"Y판매";#N/A,#N/A,TRUE,"Y총물량";#N/A,#N/A,TRUE,"Y능력";#N/A,#N/A,TRUE,"YKD"}</definedName>
    <definedName name="ㄷㅇㄹ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ㄷㅈㄱㄷㄱㄷ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" localSheetId="5" hidden="1">#REF!</definedName>
    <definedName name="다라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다바" localSheetId="5" hidden="1">{#N/A,#N/A,FALSE,"1.CRITERIA";#N/A,#N/A,FALSE,"2.IS";#N/A,#N/A,FALSE,"3.BS";#N/A,#N/A,FALSE,"4.PER PL";#N/A,#N/A,FALSE,"5.INVESTMENT";#N/A,#N/A,FALSE,"6.공문";#N/A,#N/A,FALSE,"7.netinvest"}</definedName>
    <definedName name="단가기준" localSheetId="5" hidden="1">{#N/A,#N/A,TRUE,"Y생산";#N/A,#N/A,TRUE,"Y판매";#N/A,#N/A,TRUE,"Y총물량";#N/A,#N/A,TRUE,"Y능력";#N/A,#N/A,TRUE,"YKD"}</definedName>
    <definedName name="단가기준_1" localSheetId="5" hidden="1">{#N/A,#N/A,TRUE,"Y생산";#N/A,#N/A,TRUE,"Y판매";#N/A,#N/A,TRUE,"Y총물량";#N/A,#N/A,TRUE,"Y능력";#N/A,#N/A,TRUE,"YKD"}</definedName>
    <definedName name="단기" localSheetId="5" hidden="1">{#N/A,#N/A,TRUE,"Y생산";#N/A,#N/A,TRUE,"Y판매";#N/A,#N/A,TRUE,"Y총물량";#N/A,#N/A,TRUE,"Y능력";#N/A,#N/A,TRUE,"YKD"}</definedName>
    <definedName name="단기_1" localSheetId="5" hidden="1">{#N/A,#N/A,TRUE,"Y생산";#N/A,#N/A,TRUE,"Y판매";#N/A,#N/A,TRUE,"Y총물량";#N/A,#N/A,TRUE,"Y능력";#N/A,#N/A,TRUE,"YKD"}</definedName>
    <definedName name="단기차입금1" localSheetId="5" hidden="1">#REF!</definedName>
    <definedName name="대" localSheetId="5" hidden="1">{#N/A,#N/A,FALSE,"동부"}</definedName>
    <definedName name="대구" localSheetId="5" hidden="1">{#N/A,#N/A,TRUE,"대 차 대 조 표"}</definedName>
    <definedName name="대구_1" localSheetId="5" hidden="1">{#N/A,#N/A,TRUE,"대 차 대 조 표"}</definedName>
    <definedName name="대구200203빌딩별임차현황" localSheetId="5" hidden="1">{#N/A,#N/A,FALSE,"동부"}</definedName>
    <definedName name="대구200207" localSheetId="5" hidden="1">{#N/A,#N/A,FALSE,"동부"}</definedName>
    <definedName name="대구대구" localSheetId="5" hidden="1">{#N/A,#N/A,FALSE,"동부"}</definedName>
    <definedName name="대규모기업집단" localSheetId="5" hidden="1">{#N/A,#N/A,FALSE,"Aging Summary";#N/A,#N/A,FALSE,"Ratio Analysis";#N/A,#N/A,FALSE,"Test 120 Day Accts";#N/A,#N/A,FALSE,"Tickmarks"}</definedName>
    <definedName name="대여금" localSheetId="5" hidden="1">{#N/A,#N/A,FALSE,"이태원철근"}</definedName>
    <definedName name="대조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차123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123_1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대차대조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흥" localSheetId="5" hidden="1">{#N/A,#N/A,TRUE,"대 차 대 조 표"}</definedName>
    <definedName name="대흥_1" localSheetId="5" hidden="1">{#N/A,#N/A,TRUE,"대 차 대 조 표"}</definedName>
    <definedName name="덕1" localSheetId="5" hidden="1">{#N/A,#N/A,FALSE,"CCTV"}</definedName>
    <definedName name="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돈다123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준" localSheetId="5" hidden="1">{"'Firr(선)'!$AS$1:$AY$62","'Firr(사)'!$AS$1:$AY$62","'Firr(회)'!$AS$1:$AY$62","'Firr(선)'!$L$1:$V$62","'Firr(사)'!$L$1:$V$62","'Firr(회)'!$L$1:$V$62"}</definedName>
    <definedName name="돠" localSheetId="5" hidden="1">{#N/A,#N/A,FALSE,"1.CRITERIA";#N/A,#N/A,FALSE,"2.IS";#N/A,#N/A,FALSE,"3.BS";#N/A,#N/A,FALSE,"4.PER PL";#N/A,#N/A,FALSE,"5.INVESTMENT";#N/A,#N/A,FALSE,"6.공문";#N/A,#N/A,FALSE,"7.netinvest"}</definedName>
    <definedName name="돼지" localSheetId="5" hidden="1">{#N/A,#N/A,TRUE,"대 차 대 조 표"}</definedName>
    <definedName name="돼지_1" localSheetId="5" hidden="1">{#N/A,#N/A,TRUE,"대 차 대 조 표"}</definedName>
    <definedName name="디" localSheetId="5" hidden="1">{#N/A,#N/A,FALSE,"1.CRITERIA";#N/A,#N/A,FALSE,"2.IS";#N/A,#N/A,FALSE,"3.BS";#N/A,#N/A,FALSE,"4.PER PL";#N/A,#N/A,FALSE,"5.INVESTMENT";#N/A,#N/A,FALSE,"6.공문";#N/A,#N/A,FALSE,"7.netinvest"}</definedName>
    <definedName name="ㄹ" localSheetId="5">"SK 텔레콤"</definedName>
    <definedName name="ㄹㄴㅇㄹ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ㄹ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ㄹㄷㄹ" localSheetId="5" hidden="1">{#N/A,#N/A,TRUE,"대 차 대 조 표"}</definedName>
    <definedName name="ㄹㄹㄷㄹ_1" localSheetId="5" hidden="1">{#N/A,#N/A,TRUE,"대 차 대 조 표"}</definedName>
    <definedName name="ㄹㄹㄹㄹ" localSheetId="5" hidden="1">{"'Firr(선)'!$AS$1:$AY$62","'Firr(사)'!$AS$1:$AY$62","'Firr(회)'!$AS$1:$AY$62","'Firr(선)'!$L$1:$V$62","'Firr(사)'!$L$1:$V$62","'Firr(회)'!$L$1:$V$62"}</definedName>
    <definedName name="ㄹㄹㄹㄹㄹㄹㄹㄹㄹㄹ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ㄹㄹ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ㅇㄹㅇㄴㄹㅇㄴㅇㄴ" localSheetId="5" hidden="1">#REF!</definedName>
    <definedName name="ㄹㅇㄴ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ㄴㄹㅇㄹㅇ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ㄹㅇㄹㄴㅇㄹ" localSheetId="5" hidden="1">#REF!</definedName>
    <definedName name="ㄹㅇㅇㅇㅇㅇ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ㄴㅇ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ㅎㄹㅇㅎ" localSheetId="5" hidden="1">#REF!</definedName>
    <definedName name="라" localSheetId="5" hidden="1">#REF!</definedName>
    <definedName name="라라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라아아" localSheetId="5" hidden="1">{#N/A,#N/A,FALSE,"1.CRITERIA";#N/A,#N/A,FALSE,"2.IS";#N/A,#N/A,FALSE,"3.BS";#N/A,#N/A,FALSE,"4.PER PL";#N/A,#N/A,FALSE,"5.INVESTMENT";#N/A,#N/A,FALSE,"6.공문";#N/A,#N/A,FALSE,"7.netinvest"}</definedName>
    <definedName name="랴" localSheetId="5" hidden="1">{#N/A,#N/A,FALSE,"1.CRITERIA";#N/A,#N/A,FALSE,"2.IS";#N/A,#N/A,FALSE,"3.BS";#N/A,#N/A,FALSE,"4.PER PL";#N/A,#N/A,FALSE,"5.INVESTMENT";#N/A,#N/A,FALSE,"6.공문";#N/A,#N/A,FALSE,"7.netinvest"}</definedName>
    <definedName name="러ㅏㅇ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련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로" localSheetId="5" hidden="1">{#N/A,#N/A,FALSE,"1.CRITERIA";#N/A,#N/A,FALSE,"2.IS";#N/A,#N/A,FALSE,"3.BS";#N/A,#N/A,FALSE,"4.PER PL";#N/A,#N/A,FALSE,"5.INVESTMENT";#N/A,#N/A,FALSE,"6.공문";#N/A,#N/A,FALSE,"7.netinvest"}</definedName>
    <definedName name="류" localSheetId="5" hidden="1">{#N/A,#N/A,FALSE,"1.CRITERIA";#N/A,#N/A,FALSE,"2.IS";#N/A,#N/A,FALSE,"3.BS";#N/A,#N/A,FALSE,"4.PER PL";#N/A,#N/A,FALSE,"5.INVESTMENT";#N/A,#N/A,FALSE,"6.공문";#N/A,#N/A,FALSE,"7.netinvest"}</definedName>
    <definedName name="류효정" localSheetId="5" hidden="1">{"'Firr(선)'!$AS$1:$AY$62","'Firr(사)'!$AS$1:$AY$62","'Firr(회)'!$AS$1:$AY$62","'Firr(선)'!$L$1:$V$62","'Firr(사)'!$L$1:$V$62","'Firr(회)'!$L$1:$V$62"}</definedName>
    <definedName name="리비" localSheetId="5" hidden="1">#REF!</definedName>
    <definedName name="ㄺ" localSheetId="5" hidden="1">{#N/A,#N/A,FALSE,"Aging Summary";#N/A,#N/A,FALSE,"Ratio Analysis";#N/A,#N/A,FALSE,"Test 120 Day Accts";#N/A,#N/A,FALSE,"Tickmarks"}</definedName>
    <definedName name="ㅀ" localSheetId="5" hidden="1">#REF!</definedName>
    <definedName name="ㅀ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ㅇㅀㅇ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" localSheetId="5" hidden="1">#REF!</definedName>
    <definedName name="ㅁㄴㅁㅇ" localSheetId="5" hidden="1">#REF!</definedName>
    <definedName name="ㅁㄴㅇ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ㅁㄴㅇ" localSheetId="5" hidden="1">{#N/A,#N/A,TRUE,"Y생산";#N/A,#N/A,TRUE,"Y판매";#N/A,#N/A,TRUE,"Y총물량";#N/A,#N/A,TRUE,"Y능력";#N/A,#N/A,TRUE,"YKD"}</definedName>
    <definedName name="ㅁㄴㅇㅁㄴㅇ_1" localSheetId="5" hidden="1">{#N/A,#N/A,TRUE,"Y생산";#N/A,#N/A,TRUE,"Y판매";#N/A,#N/A,TRUE,"Y총물량";#N/A,#N/A,TRUE,"Y능력";#N/A,#N/A,TRUE,"YKD"}</definedName>
    <definedName name="ㅁㄴㅇㅁㄴㅇㅁ" localSheetId="5" hidden="1">{#N/A,#N/A,TRUE,"Y생산";#N/A,#N/A,TRUE,"Y판매";#N/A,#N/A,TRUE,"Y총물량";#N/A,#N/A,TRUE,"Y능력";#N/A,#N/A,TRUE,"YKD"}</definedName>
    <definedName name="ㅁㄴㅇㅁㄴㅇㅁ_1" localSheetId="5" hidden="1">{#N/A,#N/A,TRUE,"Y생산";#N/A,#N/A,TRUE,"Y판매";#N/A,#N/A,TRUE,"Y총물량";#N/A,#N/A,TRUE,"Y능력";#N/A,#N/A,TRUE,"YKD"}</definedName>
    <definedName name="ㅁㄴㅇㅎㅎ" localSheetId="5" hidden="1">#REF!</definedName>
    <definedName name="ㅁㅁ" localSheetId="5">{"Client Name or Project Name"}</definedName>
    <definedName name="ㅁㅁㅁ" localSheetId="5" hidden="1">{#N/A,#N/A,FALSE,"지침";#N/A,#N/A,FALSE,"환경분석";#N/A,#N/A,FALSE,"Sheet16"}</definedName>
    <definedName name="ㅁㅁㅁㅁ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ㅁ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ㄴㄻㄴㅇㄹ" localSheetId="5" hidden="1">#REF!</definedName>
    <definedName name="ㅁㅇㄹㅇ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ㅇㄹㅇ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ㅈㄷ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" localSheetId="5" hidden="1">{#N/A,#N/A,FALSE,"97년 투자계획 세부내역 "}</definedName>
    <definedName name="마감공사비A3" localSheetId="5" hidden="1">#REF!</definedName>
    <definedName name="마라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마" localSheetId="5" hidden="1">{#N/A,#N/A,FALSE,"1.CRITERIA";#N/A,#N/A,FALSE,"2.IS";#N/A,#N/A,FALSE,"3.BS";#N/A,#N/A,FALSE,"4.PER PL";#N/A,#N/A,FALSE,"5.INVESTMENT";#N/A,#N/A,FALSE,"6.공문";#N/A,#N/A,FALSE,"7.netinvest"}</definedName>
    <definedName name="마마오" localSheetId="5" hidden="1">{#N/A,#N/A,FALSE,"1.CRITERIA";#N/A,#N/A,FALSE,"2.IS";#N/A,#N/A,FALSE,"3.BS";#N/A,#N/A,FALSE,"4.PER PL";#N/A,#N/A,FALSE,"5.INVESTMENT";#N/A,#N/A,FALSE,"6.공문";#N/A,#N/A,FALSE,"7.netinvest"}</definedName>
    <definedName name="마마이" localSheetId="5" hidden="1">{#N/A,#N/A,FALSE,"1.CRITERIA";#N/A,#N/A,FALSE,"2.IS";#N/A,#N/A,FALSE,"3.BS";#N/A,#N/A,FALSE,"4.PER PL";#N/A,#N/A,FALSE,"5.INVESTMENT";#N/A,#N/A,FALSE,"6.공문";#N/A,#N/A,FALSE,"7.netinvest"}</definedName>
    <definedName name="마바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마아" localSheetId="5" hidden="1">{#N/A,#N/A,FALSE,"1.CRITERIA";#N/A,#N/A,FALSE,"2.IS";#N/A,#N/A,FALSE,"3.BS";#N/A,#N/A,FALSE,"4.PER PL";#N/A,#N/A,FALSE,"5.INVESTMENT";#N/A,#N/A,FALSE,"6.공문";#N/A,#N/A,FALSE,"7.netinvest"}</definedName>
    <definedName name="매" localSheetId="5" hidden="1">{#N/A,#N/A,FALSE,"1.CRITERIA";#N/A,#N/A,FALSE,"2.IS";#N/A,#N/A,FALSE,"3.BS";#N/A,#N/A,FALSE,"4.PER PL";#N/A,#N/A,FALSE,"5.INVESTMENT";#N/A,#N/A,FALSE,"6.공문";#N/A,#N/A,FALSE,"7.netinvest"}</definedName>
    <definedName name="매롱" localSheetId="5" hidden="1">{#N/A,#N/A,FALSE,"동부"}</definedName>
    <definedName name="매축액2" localSheetId="5" hidden="1">{#N/A,#N/A,FALSE,"1.CRITERIA";#N/A,#N/A,FALSE,"2.IS";#N/A,#N/A,FALSE,"3.BS";#N/A,#N/A,FALSE,"4.PER PL";#N/A,#N/A,FALSE,"5.INVESTMENT";#N/A,#N/A,FALSE,"6.공문";#N/A,#N/A,FALSE,"7.netinvest"}</definedName>
    <definedName name="매출" localSheetId="5">#REF!</definedName>
    <definedName name="매출bogo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액2" localSheetId="5" hidden="1">{#N/A,#N/A,FALSE,"1.CRITERIA";#N/A,#N/A,FALSE,"2.IS";#N/A,#N/A,FALSE,"3.BS";#N/A,#N/A,FALSE,"4.PER PL";#N/A,#N/A,FALSE,"5.INVESTMENT";#N/A,#N/A,FALSE,"6.공문";#N/A,#N/A,FALSE,"7.netinvest"}</definedName>
    <definedName name="머머" localSheetId="5" hidden="1">{#N/A,#N/A,FALSE,"1.CRITERIA";#N/A,#N/A,FALSE,"2.IS";#N/A,#N/A,FALSE,"3.BS";#N/A,#N/A,FALSE,"4.PER PL";#N/A,#N/A,FALSE,"5.INVESTMENT";#N/A,#N/A,FALSE,"6.공문";#N/A,#N/A,FALSE,"7.netinvest"}</definedName>
    <definedName name="메롱" localSheetId="5" hidden="1">{#N/A,#N/A,FALSE,"동부"}</definedName>
    <definedName name="며며" localSheetId="5" hidden="1">{#N/A,#N/A,FALSE,"1.CRITERIA";#N/A,#N/A,FALSE,"2.IS";#N/A,#N/A,FALSE,"3.BS";#N/A,#N/A,FALSE,"4.PER PL";#N/A,#N/A,FALSE,"5.INVESTMENT";#N/A,#N/A,FALSE,"6.공문";#N/A,#N/A,FALSE,"7.netinvest"}</definedName>
    <definedName name="모리" localSheetId="5" hidden="1">{#N/A,#N/A,FALSE,"1.CRITERIA";#N/A,#N/A,FALSE,"2.IS";#N/A,#N/A,FALSE,"3.BS";#N/A,#N/A,FALSE,"4.PER PL";#N/A,#N/A,FALSE,"5.INVESTMENT";#N/A,#N/A,FALSE,"6.공문";#N/A,#N/A,FALSE,"7.netinvest"}</definedName>
    <definedName name="모모" localSheetId="5" hidden="1">{#N/A,#N/A,FALSE,"1.CRITERIA";#N/A,#N/A,FALSE,"2.IS";#N/A,#N/A,FALSE,"3.BS";#N/A,#N/A,FALSE,"4.PER PL";#N/A,#N/A,FALSE,"5.INVESTMENT";#N/A,#N/A,FALSE,"6.공문";#N/A,#N/A,FALSE,"7.netinvest"}</definedName>
    <definedName name="뫌" localSheetId="5" hidden="1">{#N/A,#N/A,FALSE,"1.CRITERIA";#N/A,#N/A,FALSE,"2.IS";#N/A,#N/A,FALSE,"3.BS";#N/A,#N/A,FALSE,"4.PER PL";#N/A,#N/A,FALSE,"5.INVESTMENT";#N/A,#N/A,FALSE,"6.공문";#N/A,#N/A,FALSE,"7.netinvest"}</definedName>
    <definedName name="무무" localSheetId="5" hidden="1">{#N/A,#N/A,FALSE,"1.CRITERIA";#N/A,#N/A,FALSE,"2.IS";#N/A,#N/A,FALSE,"3.BS";#N/A,#N/A,FALSE,"4.PER PL";#N/A,#N/A,FALSE,"5.INVESTMENT";#N/A,#N/A,FALSE,"6.공문";#N/A,#N/A,FALSE,"7.netinvest"}</definedName>
    <definedName name="무형자산" localSheetId="5" hidden="1">{#N/A,#N/A,FALSE,"Aging Summary";#N/A,#N/A,FALSE,"Ratio Analysis";#N/A,#N/A,FALSE,"Test 120 Day Accts";#N/A,#N/A,FALSE,"Tickmarks"}</definedName>
    <definedName name="물" localSheetId="5" hidden="1">{#N/A,#N/A,FALSE,"이태원철근"}</definedName>
    <definedName name="물가" localSheetId="5" hidden="1">{#N/A,#N/A,FALSE,"이태원철근"}</definedName>
    <definedName name="물랴자" localSheetId="5" hidden="1">{#N/A,#N/A,TRUE,"Y생산";#N/A,#N/A,TRUE,"Y판매";#N/A,#N/A,TRUE,"Y총물량";#N/A,#N/A,TRUE,"Y능력";#N/A,#N/A,TRUE,"YKD"}</definedName>
    <definedName name="물랴자_1" localSheetId="5" hidden="1">{#N/A,#N/A,TRUE,"Y생산";#N/A,#N/A,TRUE,"Y판매";#N/A,#N/A,TRUE,"Y총물량";#N/A,#N/A,TRUE,"Y능력";#N/A,#N/A,TRUE,"YKD"}</definedName>
    <definedName name="물량수" localSheetId="5" hidden="1">{#N/A,#N/A,TRUE,"Y생산";#N/A,#N/A,TRUE,"Y판매";#N/A,#N/A,TRUE,"Y총물량";#N/A,#N/A,TRUE,"Y능력";#N/A,#N/A,TRUE,"YKD"}</definedName>
    <definedName name="물량수_1" localSheetId="5" hidden="1">{#N/A,#N/A,TRUE,"Y생산";#N/A,#N/A,TRUE,"Y판매";#N/A,#N/A,TRUE,"Y총물량";#N/A,#N/A,TRUE,"Y능력";#N/A,#N/A,TRUE,"YKD"}</definedName>
    <definedName name="물량수정" localSheetId="5" hidden="1">{#N/A,#N/A,TRUE,"Y생산";#N/A,#N/A,TRUE,"Y판매";#N/A,#N/A,TRUE,"Y총물량";#N/A,#N/A,TRUE,"Y능력";#N/A,#N/A,TRUE,"YKD"}</definedName>
    <definedName name="물량수정_1" localSheetId="5" hidden="1">{#N/A,#N/A,TRUE,"Y생산";#N/A,#N/A,TRUE,"Y판매";#N/A,#N/A,TRUE,"Y총물량";#N/A,#N/A,TRUE,"Y능력";#N/A,#N/A,TRUE,"YKD"}</definedName>
    <definedName name="물량수정1" localSheetId="5" hidden="1">{#N/A,#N/A,TRUE,"Y생산";#N/A,#N/A,TRUE,"Y판매";#N/A,#N/A,TRUE,"Y총물량";#N/A,#N/A,TRUE,"Y능력";#N/A,#N/A,TRUE,"YKD"}</definedName>
    <definedName name="물량수정1_1" localSheetId="5" hidden="1">{#N/A,#N/A,TRUE,"Y생산";#N/A,#N/A,TRUE,"Y판매";#N/A,#N/A,TRUE,"Y총물량";#N/A,#N/A,TRUE,"Y능력";#N/A,#N/A,TRUE,"YKD"}</definedName>
    <definedName name="물량수정2" localSheetId="5" hidden="1">{#N/A,#N/A,TRUE,"Y생산";#N/A,#N/A,TRUE,"Y판매";#N/A,#N/A,TRUE,"Y총물량";#N/A,#N/A,TRUE,"Y능력";#N/A,#N/A,TRUE,"YKD"}</definedName>
    <definedName name="물량수정2_1" localSheetId="5" hidden="1">{#N/A,#N/A,TRUE,"Y생산";#N/A,#N/A,TRUE,"Y판매";#N/A,#N/A,TRUE,"Y총물량";#N/A,#N/A,TRUE,"Y능력";#N/A,#N/A,TRUE,"YKD"}</definedName>
    <definedName name="물량정" localSheetId="5" hidden="1">{#N/A,#N/A,TRUE,"Y생산";#N/A,#N/A,TRUE,"Y판매";#N/A,#N/A,TRUE,"Y총물량";#N/A,#N/A,TRUE,"Y능력";#N/A,#N/A,TRUE,"YKD"}</definedName>
    <definedName name="물량정_1" localSheetId="5" hidden="1">{#N/A,#N/A,TRUE,"Y생산";#N/A,#N/A,TRUE,"Y판매";#N/A,#N/A,TRUE,"Y총물량";#N/A,#N/A,TRUE,"Y능력";#N/A,#N/A,TRUE,"YKD"}</definedName>
    <definedName name="물량조정" localSheetId="5" hidden="1">{#N/A,#N/A,TRUE,"Y생산";#N/A,#N/A,TRUE,"Y판매";#N/A,#N/A,TRUE,"Y총물량";#N/A,#N/A,TRUE,"Y능력";#N/A,#N/A,TRUE,"YKD"}</definedName>
    <definedName name="물량조정_1" localSheetId="5" hidden="1">{#N/A,#N/A,TRUE,"Y생산";#N/A,#N/A,TRUE,"Y판매";#N/A,#N/A,TRUE,"Y총물량";#N/A,#N/A,TRUE,"Y능력";#N/A,#N/A,TRUE,"YKD"}</definedName>
    <definedName name="물수" localSheetId="5" hidden="1">{#N/A,#N/A,TRUE,"Y생산";#N/A,#N/A,TRUE,"Y판매";#N/A,#N/A,TRUE,"Y총물량";#N/A,#N/A,TRUE,"Y능력";#N/A,#N/A,TRUE,"YKD"}</definedName>
    <definedName name="물수_1" localSheetId="5" hidden="1">{#N/A,#N/A,TRUE,"Y생산";#N/A,#N/A,TRUE,"Y판매";#N/A,#N/A,TRUE,"Y총물량";#N/A,#N/A,TRUE,"Y능력";#N/A,#N/A,TRUE,"YKD"}</definedName>
    <definedName name="뭐가이태원이야" localSheetId="5" hidden="1">{#N/A,#N/A,FALSE,"이태원철근"}</definedName>
    <definedName name="뮤뮤" localSheetId="5" hidden="1">{#N/A,#N/A,FALSE,"1.CRITERIA";#N/A,#N/A,FALSE,"2.IS";#N/A,#N/A,FALSE,"3.BS";#N/A,#N/A,FALSE,"4.PER PL";#N/A,#N/A,FALSE,"5.INVESTMENT";#N/A,#N/A,FALSE,"6.공문";#N/A,#N/A,FALSE,"7.netinvest"}</definedName>
    <definedName name="뮬소" localSheetId="5" hidden="1">{#N/A,#N/A,TRUE,"Y생산";#N/A,#N/A,TRUE,"Y판매";#N/A,#N/A,TRUE,"Y총물량";#N/A,#N/A,TRUE,"Y능력";#N/A,#N/A,TRUE,"YKD"}</definedName>
    <definedName name="뮬소_1" localSheetId="5" hidden="1">{#N/A,#N/A,TRUE,"Y생산";#N/A,#N/A,TRUE,"Y판매";#N/A,#N/A,TRUE,"Y총물량";#N/A,#N/A,TRUE,"Y능력";#N/A,#N/A,TRUE,"YKD"}</definedName>
    <definedName name="미라" localSheetId="5" hidden="1">{#N/A,#N/A,FALSE,"1.CRITERIA";#N/A,#N/A,FALSE,"2.IS";#N/A,#N/A,FALSE,"3.BS";#N/A,#N/A,FALSE,"4.PER PL";#N/A,#N/A,FALSE,"5.INVESTMENT";#N/A,#N/A,FALSE,"6.공문";#N/A,#N/A,FALSE,"7.netinvest"}</definedName>
    <definedName name="미로" localSheetId="5" hidden="1">{#N/A,#N/A,FALSE,"1.CRITERIA";#N/A,#N/A,FALSE,"2.IS";#N/A,#N/A,FALSE,"3.BS";#N/A,#N/A,FALSE,"4.PER PL";#N/A,#N/A,FALSE,"5.INVESTMENT";#N/A,#N/A,FALSE,"6.공문";#N/A,#N/A,FALSE,"7.netinvest"}</definedName>
    <definedName name="미로어" localSheetId="5" hidden="1">{#N/A,#N/A,FALSE,"1.CRITERIA";#N/A,#N/A,FALSE,"2.IS";#N/A,#N/A,FALSE,"3.BS";#N/A,#N/A,FALSE,"4.PER PL";#N/A,#N/A,FALSE,"5.INVESTMENT";#N/A,#N/A,FALSE,"6.공문";#N/A,#N/A,FALSE,"7.netinvest"}</definedName>
    <definedName name="미료" localSheetId="5" hidden="1">{#N/A,#N/A,FALSE,"1.CRITERIA";#N/A,#N/A,FALSE,"2.IS";#N/A,#N/A,FALSE,"3.BS";#N/A,#N/A,FALSE,"4.PER PL";#N/A,#N/A,FALSE,"5.INVESTMENT";#N/A,#N/A,FALSE,"6.공문";#N/A,#N/A,FALSE,"7.netinvest"}</definedName>
    <definedName name="미미" localSheetId="5" hidden="1">{#N/A,#N/A,FALSE,"1.CRITERIA";#N/A,#N/A,FALSE,"2.IS";#N/A,#N/A,FALSE,"3.BS";#N/A,#N/A,FALSE,"4.PER PL";#N/A,#N/A,FALSE,"5.INVESTMENT";#N/A,#N/A,FALSE,"6.공문";#N/A,#N/A,FALSE,"7.netinvest"}</definedName>
    <definedName name="미수금" localSheetId="5">#REF!</definedName>
    <definedName name="미화" localSheetId="5" hidden="1">{#N/A,#N/A,FALSE,"이력서&amp;자기소개서"}</definedName>
    <definedName name="미화_1" localSheetId="5" hidden="1">{#N/A,#N/A,FALSE,"이력서&amp;자기소개서"}</definedName>
    <definedName name="미화2" localSheetId="5" hidden="1">{#N/A,#N/A,FALSE,"이력서&amp;자기소개서"}</definedName>
    <definedName name="미화2_1" localSheetId="5" hidden="1">{#N/A,#N/A,FALSE,"이력서&amp;자기소개서"}</definedName>
    <definedName name="민감" localSheetId="5" hidden="1">{#N/A,#N/A,TRUE,"대 차 대 조 표"}</definedName>
    <definedName name="민감도" localSheetId="5" hidden="1">#REF!</definedName>
    <definedName name="민자사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" localSheetId="5">#REF!</definedName>
    <definedName name="ㅂㅂ" localSheetId="5">{"Project Green"}</definedName>
    <definedName name="ㅂㅂ_1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ㅂㅂㅂ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ㅈㄷㄱㅂㅈㄷ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" localSheetId="5" hidden="1">{#N/A,#N/A,FALSE,"1.CRITERIA";#N/A,#N/A,FALSE,"2.IS";#N/A,#N/A,FALSE,"3.BS";#N/A,#N/A,FALSE,"4.PER PL";#N/A,#N/A,FALSE,"5.INVESTMENT";#N/A,#N/A,FALSE,"6.공문";#N/A,#N/A,FALSE,"7.netinvest"}</definedName>
    <definedName name="바가" localSheetId="5" hidden="1">{#N/A,#N/A,FALSE,"1.CRITERIA";#N/A,#N/A,FALSE,"2.IS";#N/A,#N/A,FALSE,"3.BS";#N/A,#N/A,FALSE,"4.PER PL";#N/A,#N/A,FALSE,"5.INVESTMENT";#N/A,#N/A,FALSE,"6.공문";#N/A,#N/A,FALSE,"7.netinvest"}</definedName>
    <definedName name="바나" localSheetId="5" hidden="1">{#N/A,#N/A,FALSE,"1.CRITERIA";#N/A,#N/A,FALSE,"2.IS";#N/A,#N/A,FALSE,"3.BS";#N/A,#N/A,FALSE,"4.PER PL";#N/A,#N/A,FALSE,"5.INVESTMENT";#N/A,#N/A,FALSE,"6.공문";#N/A,#N/A,FALSE,"7.netinvest"}</definedName>
    <definedName name="바다올" localSheetId="5" hidden="1">{#N/A,#N/A,FALSE,"1.CRITERIA";#N/A,#N/A,FALSE,"2.IS";#N/A,#N/A,FALSE,"3.BS";#N/A,#N/A,FALSE,"4.PER PL";#N/A,#N/A,FALSE,"5.INVESTMENT";#N/A,#N/A,FALSE,"6.공문";#N/A,#N/A,FALSE,"7.netinvest"}</definedName>
    <definedName name="바라" localSheetId="5" hidden="1">{#N/A,#N/A,FALSE,"1.CRITERIA";#N/A,#N/A,FALSE,"2.IS";#N/A,#N/A,FALSE,"3.BS";#N/A,#N/A,FALSE,"4.PER PL";#N/A,#N/A,FALSE,"5.INVESTMENT";#N/A,#N/A,FALSE,"6.공문";#N/A,#N/A,FALSE,"7.netinvest"}</definedName>
    <definedName name="바라오" localSheetId="5" hidden="1">{#N/A,#N/A,FALSE,"1.CRITERIA";#N/A,#N/A,FALSE,"2.IS";#N/A,#N/A,FALSE,"3.BS";#N/A,#N/A,FALSE,"4.PER PL";#N/A,#N/A,FALSE,"5.INVESTMENT";#N/A,#N/A,FALSE,"6.공문";#N/A,#N/A,FALSE,"7.netinvest"}</definedName>
    <definedName name="바로" localSheetId="5" hidden="1">{#N/A,#N/A,FALSE,"1.CRITERIA";#N/A,#N/A,FALSE,"2.IS";#N/A,#N/A,FALSE,"3.BS";#N/A,#N/A,FALSE,"4.PER PL";#N/A,#N/A,FALSE,"5.INVESTMENT";#N/A,#N/A,FALSE,"6.공문";#N/A,#N/A,FALSE,"7.netinvest"}</definedName>
    <definedName name="바바" localSheetId="5" hidden="1">{#N/A,#N/A,FALSE,"1.CRITERIA";#N/A,#N/A,FALSE,"2.IS";#N/A,#N/A,FALSE,"3.BS";#N/A,#N/A,FALSE,"4.PER PL";#N/A,#N/A,FALSE,"5.INVESTMENT";#N/A,#N/A,FALSE,"6.공문";#N/A,#N/A,FALSE,"7.netinvest"}</definedName>
    <definedName name="바바라" localSheetId="5" hidden="1">{#N/A,#N/A,TRUE,"Y생산";#N/A,#N/A,TRUE,"Y판매";#N/A,#N/A,TRUE,"Y총물량";#N/A,#N/A,TRUE,"Y능력";#N/A,#N/A,TRUE,"YKD"}</definedName>
    <definedName name="바바라_1" localSheetId="5" hidden="1">{#N/A,#N/A,TRUE,"Y생산";#N/A,#N/A,TRUE,"Y판매";#N/A,#N/A,TRUE,"Y총물량";#N/A,#N/A,TRUE,"Y능력";#N/A,#N/A,TRUE,"YKD"}</definedName>
    <definedName name="바아" localSheetId="5" hidden="1">{#N/A,#N/A,FALSE,"1.CRITERIA";#N/A,#N/A,FALSE,"2.IS";#N/A,#N/A,FALSE,"3.BS";#N/A,#N/A,FALSE,"4.PER PL";#N/A,#N/A,FALSE,"5.INVESTMENT";#N/A,#N/A,FALSE,"6.공문";#N/A,#N/A,FALSE,"7.netinvest"}</definedName>
    <definedName name="바아가" localSheetId="5" hidden="1">{#N/A,#N/A,FALSE,"1.CRITERIA";#N/A,#N/A,FALSE,"2.IS";#N/A,#N/A,FALSE,"3.BS";#N/A,#N/A,FALSE,"4.PER PL";#N/A,#N/A,FALSE,"5.INVESTMENT";#N/A,#N/A,FALSE,"6.공문";#N/A,#N/A,FALSE,"7.netinvest"}</definedName>
    <definedName name="바아가오" localSheetId="5" hidden="1">{#N/A,#N/A,FALSE,"1.CRITERIA";#N/A,#N/A,FALSE,"2.IS";#N/A,#N/A,FALSE,"3.BS";#N/A,#N/A,FALSE,"4.PER PL";#N/A,#N/A,FALSE,"5.INVESTMENT";#N/A,#N/A,FALSE,"6.공문";#N/A,#N/A,FALSE,"7.netinvest"}</definedName>
    <definedName name="바아고" localSheetId="5" hidden="1">{#N/A,#N/A,FALSE,"1.CRITERIA";#N/A,#N/A,FALSE,"2.IS";#N/A,#N/A,FALSE,"3.BS";#N/A,#N/A,FALSE,"4.PER PL";#N/A,#N/A,FALSE,"5.INVESTMENT";#N/A,#N/A,FALSE,"6.공문";#N/A,#N/A,FALSE,"7.netinvest"}</definedName>
    <definedName name="바이" localSheetId="5" hidden="1">{#N/A,#N/A,FALSE,"1.CRITERIA";#N/A,#N/A,FALSE,"2.IS";#N/A,#N/A,FALSE,"3.BS";#N/A,#N/A,FALSE,"4.PER PL";#N/A,#N/A,FALSE,"5.INVESTMENT";#N/A,#N/A,FALSE,"6.공문";#N/A,#N/A,FALSE,"7.netinvest"}</definedName>
    <definedName name="박" localSheetId="5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박_1" localSheetId="5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발" localSheetId="5" hidden="1">{#N/A,#N/A,FALSE,"1.CRITERIA";#N/A,#N/A,FALSE,"2.IS";#N/A,#N/A,FALSE,"3.BS";#N/A,#N/A,FALSE,"4.PER PL";#N/A,#N/A,FALSE,"5.INVESTMENT";#N/A,#N/A,FALSE,"6.공문";#N/A,#N/A,FALSE,"7.netinvest"}</definedName>
    <definedName name="배" localSheetId="5" hidden="1">{#N/A,#N/A,FALSE,"1.CRITERIA";#N/A,#N/A,FALSE,"2.IS";#N/A,#N/A,FALSE,"3.BS";#N/A,#N/A,FALSE,"4.PER PL";#N/A,#N/A,FALSE,"5.INVESTMENT";#N/A,#N/A,FALSE,"6.공문";#N/A,#N/A,FALSE,"7.netinvest"}</definedName>
    <definedName name="배분전" localSheetId="5" hidden="1">{#N/A,#N/A,TRUE,"대 차 대 조 표"}</definedName>
    <definedName name="버버" localSheetId="5" hidden="1">{#N/A,#N/A,FALSE,"1.CRITERIA";#N/A,#N/A,FALSE,"2.IS";#N/A,#N/A,FALSE,"3.BS";#N/A,#N/A,FALSE,"4.PER PL";#N/A,#N/A,FALSE,"5.INVESTMENT";#N/A,#N/A,FALSE,"6.공문";#N/A,#N/A,FALSE,"7.netinvest"}</definedName>
    <definedName name="베" localSheetId="5" hidden="1">{#N/A,#N/A,FALSE,"1.CRITERIA";#N/A,#N/A,FALSE,"2.IS";#N/A,#N/A,FALSE,"3.BS";#N/A,#N/A,FALSE,"4.PER PL";#N/A,#N/A,FALSE,"5.INVESTMENT";#N/A,#N/A,FALSE,"6.공문";#N/A,#N/A,FALSE,"7.netinvest"}</definedName>
    <definedName name="별지66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_1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보" localSheetId="5" hidden="1">{#N/A,#N/A,FALSE,"1.CRITERIA";#N/A,#N/A,FALSE,"2.IS";#N/A,#N/A,FALSE,"3.BS";#N/A,#N/A,FALSE,"4.PER PL";#N/A,#N/A,FALSE,"5.INVESTMENT";#N/A,#N/A,FALSE,"6.공문";#N/A,#N/A,FALSE,"7.netinvest"}</definedName>
    <definedName name="보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라차" localSheetId="5" hidden="1">{#N/A,#N/A,FALSE,"1.CRITERIA";#N/A,#N/A,FALSE,"2.IS";#N/A,#N/A,FALSE,"3.BS";#N/A,#N/A,FALSE,"4.PER PL";#N/A,#N/A,FALSE,"5.INVESTMENT";#N/A,#N/A,FALSE,"6.공문";#N/A,#N/A,FALSE,"7.netinvest"}</definedName>
    <definedName name="보아리" localSheetId="5" hidden="1">{#N/A,#N/A,FALSE,"1.CRITERIA";#N/A,#N/A,FALSE,"2.IS";#N/A,#N/A,FALSE,"3.BS";#N/A,#N/A,FALSE,"4.PER PL";#N/A,#N/A,FALSE,"5.INVESTMENT";#N/A,#N/A,FALSE,"6.공문";#N/A,#N/A,FALSE,"7.netinvest"}</definedName>
    <definedName name="보이" localSheetId="5" hidden="1">{#N/A,#N/A,FALSE,"1.CRITERIA";#N/A,#N/A,FALSE,"2.IS";#N/A,#N/A,FALSE,"3.BS";#N/A,#N/A,FALSE,"4.PER PL";#N/A,#N/A,FALSE,"5.INVESTMENT";#N/A,#N/A,FALSE,"6.공문";#N/A,#N/A,FALSE,"7.netinvest"}</definedName>
    <definedName name="보이아" localSheetId="5" hidden="1">{#N/A,#N/A,FALSE,"1.CRITERIA";#N/A,#N/A,FALSE,"2.IS";#N/A,#N/A,FALSE,"3.BS";#N/A,#N/A,FALSE,"4.PER PL";#N/A,#N/A,FALSE,"5.INVESTMENT";#N/A,#N/A,FALSE,"6.공문";#N/A,#N/A,FALSE,"7.netinvest"}</definedName>
    <definedName name="보할" localSheetId="5" hidden="1">{#N/A,#N/A,FALSE,"이태원철근"}</definedName>
    <definedName name="보할공정률매출투입취하" localSheetId="5" hidden="1">{#N/A,#N/A,FALSE,"이태원철근"}</definedName>
    <definedName name="보활공정" localSheetId="5" hidden="1">{#N/A,#N/A,FALSE,"이태원철근"}</definedName>
    <definedName name="복사" localSheetId="5" hidden="1">{#N/A,#N/A,FALSE,"이태원철근"}</definedName>
    <definedName name="볼" localSheetId="5" hidden="1">{#N/A,#N/A,FALSE,"1.CRITERIA";#N/A,#N/A,FALSE,"2.IS";#N/A,#N/A,FALSE,"3.BS";#N/A,#N/A,FALSE,"4.PER PL";#N/A,#N/A,FALSE,"5.INVESTMENT";#N/A,#N/A,FALSE,"6.공문";#N/A,#N/A,FALSE,"7.netinvest"}</definedName>
    <definedName name="봐" localSheetId="5" hidden="1">{#N/A,#N/A,FALSE,"1.CRITERIA";#N/A,#N/A,FALSE,"2.IS";#N/A,#N/A,FALSE,"3.BS";#N/A,#N/A,FALSE,"4.PER PL";#N/A,#N/A,FALSE,"5.INVESTMENT";#N/A,#N/A,FALSE,"6.공문";#N/A,#N/A,FALSE,"7.netinvest"}</definedName>
    <definedName name="부대건축2" localSheetId="5" hidden="1">#REF!</definedName>
    <definedName name="분" localSheetId="5" hidden="1">{#N/A,#N/A,FALSE,"이태원철근"}</definedName>
    <definedName name="분기별" localSheetId="5" hidden="1">{#N/A,#N/A,TRUE,"Y생산";#N/A,#N/A,TRUE,"Y판매";#N/A,#N/A,TRUE,"Y총물량";#N/A,#N/A,TRUE,"Y능력";#N/A,#N/A,TRUE,"YKD"}</definedName>
    <definedName name="분기별_1" localSheetId="5" hidden="1">{#N/A,#N/A,TRUE,"Y생산";#N/A,#N/A,TRUE,"Y판매";#N/A,#N/A,TRUE,"Y총물량";#N/A,#N/A,TRUE,"Y능력";#N/A,#N/A,TRUE,"YKD"}</definedName>
    <definedName name="분당공" localSheetId="5" hidden="1">#REF!</definedName>
    <definedName name="분당물가" localSheetId="5" hidden="1">#REF!</definedName>
    <definedName name="분당코아" localSheetId="5" hidden="1">#REF!</definedName>
    <definedName name="분당협조" localSheetId="5" hidden="1">{#N/A,#N/A,FALSE,"이태원철근"}</definedName>
    <definedName name="분양" localSheetId="5" hidden="1">{#N/A,#N/A,FALSE,"이태원철근"}</definedName>
    <definedName name="비" localSheetId="5" hidden="1">{#N/A,#N/A,FALSE,"동부"}</definedName>
    <definedName name="비교" localSheetId="5" hidden="1">{#N/A,#N/A,FALSE,"이력서&amp;자기소개서"}</definedName>
    <definedName name="비용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0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123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용9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빌" localSheetId="5" hidden="1">{#N/A,#N/A,FALSE,"동부"}</definedName>
    <definedName name="빌딩" localSheetId="5" hidden="1">{#N/A,#N/A,FALSE,"동부"}</definedName>
    <definedName name="빌딩2" localSheetId="5" hidden="1">{#N/A,#N/A,FALSE,"동부"}</definedName>
    <definedName name="빌딩3" localSheetId="5" hidden="1">{#N/A,#N/A,FALSE,"동부"}</definedName>
    <definedName name="빌딩별2" localSheetId="5" hidden="1">{#N/A,#N/A,FALSE,"동부"}</definedName>
    <definedName name="빌딩별강남" localSheetId="5" hidden="1">{#N/A,#N/A,FALSE,"동부"}</definedName>
    <definedName name="빙수" localSheetId="5" hidden="1">{#N/A,#N/A,FALSE,"1.CRITERIA";#N/A,#N/A,FALSE,"2.IS";#N/A,#N/A,FALSE,"3.BS";#N/A,#N/A,FALSE,"4.PER PL";#N/A,#N/A,FALSE,"5.INVESTMENT";#N/A,#N/A,FALSE,"6.공문";#N/A,#N/A,FALSE,"7.netinvest"}</definedName>
    <definedName name="ㅅ" localSheetId="5">"사이삼 정보통신"</definedName>
    <definedName name="ㅅㄱㄱㄷ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ㄱㄱㄷㅅㄷ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교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" localSheetId="5" hidden="1">{#N/A,#N/A,FALSE,"지침";#N/A,#N/A,FALSE,"환경분석";#N/A,#N/A,FALSE,"Sheet16"}</definedName>
    <definedName name="사랑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랑_1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사사사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사진" localSheetId="5" hidden="1">#REF!</definedName>
    <definedName name="사업" localSheetId="5" hidden="1">{#N/A,#N/A,FALSE,"이태원철근"}</definedName>
    <definedName name="사업추진변경내역" localSheetId="5" hidden="1">{#N/A,#N/A,FALSE,"이태원철근"}</definedName>
    <definedName name="사용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원미지급" localSheetId="5" hidden="1">{#N/A,#N/A,FALSE,"1.CRITERIA";#N/A,#N/A,FALSE,"2.IS";#N/A,#N/A,FALSE,"3.BS";#N/A,#N/A,FALSE,"4.PER PL";#N/A,#N/A,FALSE,"5.INVESTMENT";#N/A,#N/A,FALSE,"6.공문";#N/A,#N/A,FALSE,"7.netinvest"}</definedName>
    <definedName name="사채" localSheetId="5" hidden="1">#REF!</definedName>
    <definedName name="산출근거" localSheetId="5">#REF!</definedName>
    <definedName name="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각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각_1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상단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당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품" localSheetId="5" hidden="1">#REF!</definedName>
    <definedName name="새공통" localSheetId="5" hidden="1">{#N/A,#N/A,FALSE,"이태원철근"}</definedName>
    <definedName name="샘플" localSheetId="5" hidden="1">{#N/A,#N/A,FALSE,"이태원철근"}</definedName>
    <definedName name="서비스임대" localSheetId="5" hidden="1">#REF!</definedName>
    <definedName name="서영태" localSheetId="5" hidden="1">{#N/A,#N/A,TRUE,"Y생산";#N/A,#N/A,TRUE,"Y판매";#N/A,#N/A,TRUE,"Y총물량";#N/A,#N/A,TRUE,"Y능력";#N/A,#N/A,TRUE,"YKD"}</definedName>
    <definedName name="서영태_1" localSheetId="5" hidden="1">{#N/A,#N/A,TRUE,"Y생산";#N/A,#N/A,TRUE,"Y판매";#N/A,#N/A,TRUE,"Y총물량";#N/A,#N/A,TRUE,"Y능력";#N/A,#N/A,TRUE,"YKD"}</definedName>
    <definedName name="서이" localSheetId="5" hidden="1">{#N/A,#N/A,FALSE,"1.CRITERIA";#N/A,#N/A,FALSE,"2.IS";#N/A,#N/A,FALSE,"3.BS";#N/A,#N/A,FALSE,"4.PER PL";#N/A,#N/A,FALSE,"5.INVESTMENT";#N/A,#N/A,FALSE,"6.공문";#N/A,#N/A,FALSE,"7.netinvest"}</definedName>
    <definedName name="서초" localSheetId="5" hidden="1">{#N/A,#N/A,TRUE,"대 차 대 조 표"}</definedName>
    <definedName name="서초_1" localSheetId="5" hidden="1">{#N/A,#N/A,TRUE,"대 차 대 조 표"}</definedName>
    <definedName name="서초2" localSheetId="5" hidden="1">{#N/A,#N/A,TRUE,"대 차 대 조 표"}</definedName>
    <definedName name="서초2_1" localSheetId="5" hidden="1">{#N/A,#N/A,TRUE,"대 차 대 조 표"}</definedName>
    <definedName name="서초해동" localSheetId="5" hidden="1">{#N/A,#N/A,TRUE,"대 차 대 조 표"}</definedName>
    <definedName name="서초해동_1" localSheetId="5" hidden="1">{#N/A,#N/A,TRUE,"대 차 대 조 표"}</definedName>
    <definedName name="선급금" localSheetId="5" hidden="1">{#N/A,#N/A,FALSE,"1.CRITERIA";#N/A,#N/A,FALSE,"2.IS";#N/A,#N/A,FALSE,"3.BS";#N/A,#N/A,FALSE,"4.PER PL";#N/A,#N/A,FALSE,"5.INVESTMENT";#N/A,#N/A,FALSE,"6.공문";#N/A,#N/A,FALSE,"7.netinvest"}</definedName>
    <definedName name="설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비" localSheetId="5" hidden="1">{#N/A,#N/A,FALSE,"이태원철근"}</definedName>
    <definedName name="소요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화갑지" localSheetId="5" hidden="1">{#N/A,#N/A,FALSE,"CCTV"}</definedName>
    <definedName name="손실" localSheetId="5" hidden="1">{#N/A,#N/A,FALSE,"1.CRITERIA";#N/A,#N/A,FALSE,"2.IS";#N/A,#N/A,FALSE,"3.BS";#N/A,#N/A,FALSE,"4.PER PL";#N/A,#N/A,FALSE,"5.INVESTMENT";#N/A,#N/A,FALSE,"6.공문";#N/A,#N/A,FALSE,"7.netinvest"}</definedName>
    <definedName name="손익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조정_04_12" localSheetId="5" hidden="1">{#N/A,#N/A,FALSE,"1.CRITERIA";#N/A,#N/A,FALSE,"2.IS";#N/A,#N/A,FALSE,"3.BS";#N/A,#N/A,FALSE,"4.PER PL";#N/A,#N/A,FALSE,"5.INVESTMENT";#N/A,#N/A,FALSE,"6.공문";#N/A,#N/A,FALSE,"7.netinvest"}</definedName>
    <definedName name="솔" localSheetId="5" hidden="1">{#N/A,#N/A,TRUE,"대 차 대 조 표"}</definedName>
    <definedName name="솔_1" localSheetId="5" hidden="1">{#N/A,#N/A,TRUE,"대 차 대 조 표"}</definedName>
    <definedName name="쇽쇼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숏ㄳ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광비" localSheetId="5" hidden="1">{#N/A,#N/A,FALSE,"동부"}</definedName>
    <definedName name="수광비실적" localSheetId="5" hidden="1">#REF!</definedName>
    <definedName name="수도" localSheetId="5" hidden="1">{#N/A,#N/A,FALSE,"동부"}</definedName>
    <definedName name="수익" localSheetId="5" hidden="1">#REF!</definedName>
    <definedName name="수익비용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비용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입" localSheetId="5" hidden="1">{#N/A,#N/A,TRUE,"대 차 대 조 표"}</definedName>
    <definedName name="수입추정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정" localSheetId="5" hidden="1">{#N/A,#N/A,FALSE,"BS";#N/A,#N/A,FALSE,"PL";#N/A,#N/A,FALSE,"처분";#N/A,#N/A,FALSE,"현금";#N/A,#N/A,FALSE,"매출";#N/A,#N/A,FALSE,"원가";#N/A,#N/A,FALSE,"경영"}</definedName>
    <definedName name="수정물량" localSheetId="5" hidden="1">{#N/A,#N/A,TRUE,"Y생산";#N/A,#N/A,TRUE,"Y판매";#N/A,#N/A,TRUE,"Y총물량";#N/A,#N/A,TRUE,"Y능력";#N/A,#N/A,TRUE,"YKD"}</definedName>
    <definedName name="수정물량_1" localSheetId="5" hidden="1">{#N/A,#N/A,TRUE,"Y생산";#N/A,#N/A,TRUE,"Y판매";#N/A,#N/A,TRUE,"Y총물량";#N/A,#N/A,TRUE,"Y능력";#N/A,#N/A,TRUE,"YKD"}</definedName>
    <definedName name="수정사항집계표" localSheetId="5" hidden="1">#REF!</definedName>
    <definedName name="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범" localSheetId="5" hidden="1">{#N/A,#N/A,FALSE,"이태원철근"}</definedName>
    <definedName name="시행" localSheetId="5" hidden="1">{#N/A,#N/A,FALSE,"이태원철근"}</definedName>
    <definedName name="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신재점" localSheetId="5" hidden="1">{#N/A,#N/A,FALSE,"이태원철근"}</definedName>
    <definedName name="실제급여" localSheetId="5" hidden="1">{#N/A,#N/A,TRUE,"대 차 대 조 표"}</definedName>
    <definedName name="실제급여_1" localSheetId="5" hidden="1">{#N/A,#N/A,TRUE,"대 차 대 조 표"}</definedName>
    <definedName name="씨엔에이치" localSheetId="5" hidden="1">{#N/A,#N/A,TRUE,"대 차 대 조 표"}</definedName>
    <definedName name="씨엔에이치_1" localSheetId="5" hidden="1">{#N/A,#N/A,TRUE,"대 차 대 조 표"}</definedName>
    <definedName name="ㅇ" localSheetId="5">#REF!</definedName>
    <definedName name="ㅇㄴㄹㅇㄴ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ㅇㄹㅇ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ㄻㄴㅇㄹ" localSheetId="5" hidden="1">{#N/A,#N/A,TRUE,"Y생산";#N/A,#N/A,TRUE,"Y판매";#N/A,#N/A,TRUE,"Y총물량";#N/A,#N/A,TRUE,"Y능력";#N/A,#N/A,TRUE,"YKD"}</definedName>
    <definedName name="ㅇㄴㄻㄴㅇㄹ_1" localSheetId="5" hidden="1">{#N/A,#N/A,TRUE,"Y생산";#N/A,#N/A,TRUE,"Y판매";#N/A,#N/A,TRUE,"Y총물량";#N/A,#N/A,TRUE,"Y능력";#N/A,#N/A,TRUE,"YKD"}</definedName>
    <definedName name="ㅇㄴㅀㅇㅎ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ㅇㄹㄴㅇ" localSheetId="5" hidden="1">{#N/A,#N/A,TRUE,"Y생산";#N/A,#N/A,TRUE,"Y판매";#N/A,#N/A,TRUE,"Y총물량";#N/A,#N/A,TRUE,"Y능력";#N/A,#N/A,TRUE,"YKD"}</definedName>
    <definedName name="ㅇㄴㅇㄹㄴㅇ_1" localSheetId="5" hidden="1">{#N/A,#N/A,TRUE,"Y생산";#N/A,#N/A,TRUE,"Y판매";#N/A,#N/A,TRUE,"Y총물량";#N/A,#N/A,TRUE,"Y능력";#N/A,#N/A,TRUE,"YKD"}</definedName>
    <definedName name="ㅇㄷ" localSheetId="5" hidden="1">{#N/A,#N/A,FALSE,"Aging Summary";#N/A,#N/A,FALSE,"Ratio Analysis";#N/A,#N/A,FALSE,"Test 120 Day Accts";#N/A,#N/A,FALSE,"Tickmarks"}</definedName>
    <definedName name="ㅇㄹㄴㅇㄹ" localSheetId="5" hidden="1">{#N/A,#N/A,TRUE,"Y생산";#N/A,#N/A,TRUE,"Y판매";#N/A,#N/A,TRUE,"Y총물량";#N/A,#N/A,TRUE,"Y능력";#N/A,#N/A,TRUE,"YKD"}</definedName>
    <definedName name="ㅇㄹㄴㅇㄹ_1" localSheetId="5" hidden="1">{#N/A,#N/A,TRUE,"Y생산";#N/A,#N/A,TRUE,"Y판매";#N/A,#N/A,TRUE,"Y총물량";#N/A,#N/A,TRUE,"Y능력";#N/A,#N/A,TRUE,"YKD"}</definedName>
    <definedName name="ㅇㄹㄹ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ㄹㅇㄹㅇ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ㄴㄹ" localSheetId="5" hidden="1">{#N/A,#N/A,TRUE,"Y생산";#N/A,#N/A,TRUE,"Y판매";#N/A,#N/A,TRUE,"Y총물량";#N/A,#N/A,TRUE,"Y능력";#N/A,#N/A,TRUE,"YKD"}</definedName>
    <definedName name="ㅇㄹㅇㄴㄹ_1" localSheetId="5" hidden="1">{#N/A,#N/A,TRUE,"Y생산";#N/A,#N/A,TRUE,"Y판매";#N/A,#N/A,TRUE,"Y총물량";#N/A,#N/A,TRUE,"Y능력";#N/A,#N/A,TRUE,"YKD"}</definedName>
    <definedName name="ㅇㄹㅇㄴㅇ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" localSheetId="5" hidden="1">{#N/A,#N/A,TRUE,"Y생산";#N/A,#N/A,TRUE,"Y판매";#N/A,#N/A,TRUE,"Y총물량";#N/A,#N/A,TRUE,"Y능력";#N/A,#N/A,TRUE,"YKD"}</definedName>
    <definedName name="ㅇㄹㅇㄹ_1" localSheetId="5" hidden="1">{#N/A,#N/A,TRUE,"Y생산";#N/A,#N/A,TRUE,"Y판매";#N/A,#N/A,TRUE,"Y총물량";#N/A,#N/A,TRUE,"Y능력";#N/A,#N/A,TRUE,"YKD"}</definedName>
    <definedName name="ㅇㄹㅇㄹㅇ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ㄹㅇㄹㅇㄹㅇㄹㅇㄹㅇㄹㅇㄹ" localSheetId="5" hidden="1">{#N/A,#N/A,FALSE,"이력서&amp;자기소개서"}</definedName>
    <definedName name="ㅇㄺ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ㄺ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ㄻ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ㄹㅇㅎ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" localSheetId="5">BlankMacro1</definedName>
    <definedName name="ㅇㅇㅇ" localSheetId="5" hidden="1">{#N/A,#N/A,FALSE,"지침";#N/A,#N/A,FALSE,"환경분석";#N/A,#N/A,FALSE,"Sheet16"}</definedName>
    <definedName name="ㅇㅇㅇㅇㅇ" localSheetId="5" hidden="1">{#N/A,#N/A,TRUE,"대 차 대 조 표"}</definedName>
    <definedName name="ㅇㅇㅇㅇㅇ_1" localSheetId="5" hidden="1">{#N/A,#N/A,TRUE,"대 차 대 조 표"}</definedName>
    <definedName name="ㅇㅇㅇㅇㅇㅇㅇㅇㅇㅇㅇ" localSheetId="5" hidden="1">{#N/A,#N/A,TRUE,"Y생산";#N/A,#N/A,TRUE,"Y판매";#N/A,#N/A,TRUE,"Y총물량";#N/A,#N/A,TRUE,"Y능력";#N/A,#N/A,TRUE,"YKD"}</definedName>
    <definedName name="ㅇㅇㅇㅇㅇㅇㅇㅇㅇㅇㅇ_1" localSheetId="5" hidden="1">{#N/A,#N/A,TRUE,"Y생산";#N/A,#N/A,TRUE,"Y판매";#N/A,#N/A,TRUE,"Y총물량";#N/A,#N/A,TRUE,"Y능력";#N/A,#N/A,TRUE,"YKD"}</definedName>
    <definedName name="아" localSheetId="5" hidden="1">{#N/A,#N/A,FALSE,"1.CRITERIA";#N/A,#N/A,FALSE,"2.IS";#N/A,#N/A,FALSE,"3.BS";#N/A,#N/A,FALSE,"4.PER PL";#N/A,#N/A,FALSE,"5.INVESTMENT";#N/A,#N/A,FALSE,"6.공문";#N/A,#N/A,FALSE,"7.netinvest"}</definedName>
    <definedName name="아름" localSheetId="5" hidden="1">{#N/A,#N/A,FALSE,"이태원철근"}</definedName>
    <definedName name="아무거나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아" localSheetId="5" hidden="1">{#N/A,#N/A,FALSE,"1.CRITERIA";#N/A,#N/A,FALSE,"2.IS";#N/A,#N/A,FALSE,"3.BS";#N/A,#N/A,FALSE,"4.PER PL";#N/A,#N/A,FALSE,"5.INVESTMENT";#N/A,#N/A,FALSE,"6.공문";#N/A,#N/A,FALSE,"7.netinvest"}</definedName>
    <definedName name="아아아" localSheetId="5" hidden="1">{#N/A,#N/A,FALSE,"1.CRITERIA";#N/A,#N/A,FALSE,"2.IS";#N/A,#N/A,FALSE,"3.BS";#N/A,#N/A,FALSE,"4.PER PL";#N/A,#N/A,FALSE,"5.INVESTMENT";#N/A,#N/A,FALSE,"6.공문";#N/A,#N/A,FALSE,"7.netinvest"}</definedName>
    <definedName name="아이" localSheetId="5" hidden="1">{#N/A,#N/A,FALSE,"1.CRITERIA";#N/A,#N/A,FALSE,"2.IS";#N/A,#N/A,FALSE,"3.BS";#N/A,#N/A,FALSE,"4.PER PL";#N/A,#N/A,FALSE,"5.INVESTMENT";#N/A,#N/A,FALSE,"6.공문";#N/A,#N/A,FALSE,"7.netinvest"}</definedName>
    <definedName name="아ㅏㅏ" localSheetId="5" hidden="1">#REF!</definedName>
    <definedName name="안건" localSheetId="5" hidden="1">{#N/A,#N/A,FALSE,"BS";#N/A,#N/A,FALSE,"PL";#N/A,#N/A,FALSE,"처분";#N/A,#N/A,FALSE,"현금";#N/A,#N/A,FALSE,"매출";#N/A,#N/A,FALSE,"원가";#N/A,#N/A,FALSE,"경영"}</definedName>
    <definedName name="안내" localSheetId="5" hidden="1">{#N/A,#N/A,FALSE,"이태원철근"}</definedName>
    <definedName name="안범기" localSheetId="5" hidden="1">{#N/A,#N/A,TRUE,"대 차 대 조 표"}</definedName>
    <definedName name="안양현대" localSheetId="5" hidden="1">{#N/A,#N/A,FALSE,"이태원철근"}</definedName>
    <definedName name="암사" localSheetId="5" hidden="1">{#N/A,#N/A,TRUE,"대 차 대 조 표"}</definedName>
    <definedName name="암사_1" localSheetId="5" hidden="1">{#N/A,#N/A,TRUE,"대 차 대 조 표"}</definedName>
    <definedName name="앙" localSheetId="5" hidden="1">{#N/A,#N/A,FALSE,"BS";#N/A,#N/A,FALSE,"PL";#N/A,#N/A,FALSE,"처분";#N/A,#N/A,FALSE,"현금";#N/A,#N/A,FALSE,"매출";#N/A,#N/A,FALSE,"원가";#N/A,#N/A,FALSE,"경영"}</definedName>
    <definedName name="앙_1" localSheetId="5" hidden="1">{#N/A,#N/A,FALSE,"BS";#N/A,#N/A,FALSE,"PL";#N/A,#N/A,FALSE,"처분";#N/A,#N/A,FALSE,"현금";#N/A,#N/A,FALSE,"매출";#N/A,#N/A,FALSE,"원가";#N/A,#N/A,FALSE,"경영"}</definedName>
    <definedName name="양" localSheetId="5" hidden="1">{#N/A,#N/A,FALSE,"이태원철근"}</definedName>
    <definedName name="양식" localSheetId="5" hidden="1">{#N/A,#N/A,FALSE,"이태원철근"}</definedName>
    <definedName name="양중계획" localSheetId="5" hidden="1">{#N/A,#N/A,FALSE,"이태원철근"}</definedName>
    <definedName name="어떻하지" localSheetId="5" hidden="1">#REF!</definedName>
    <definedName name="어어" localSheetId="5" hidden="1">{#N/A,#N/A,FALSE,"1.CRITERIA";#N/A,#N/A,FALSE,"2.IS";#N/A,#N/A,FALSE,"3.BS";#N/A,#N/A,FALSE,"4.PER PL";#N/A,#N/A,FALSE,"5.INVESTMENT";#N/A,#N/A,FALSE,"6.공문";#N/A,#N/A,FALSE,"7.netinvest"}</definedName>
    <definedName name="어음차입금" localSheetId="5" hidden="1">#REF!</definedName>
    <definedName name="업무" localSheetId="5" hidden="1">{#N/A,#N/A,TRUE,"대 차 대 조 표"}</definedName>
    <definedName name="업무_1" localSheetId="5" hidden="1">{#N/A,#N/A,TRUE,"대 차 대 조 표"}</definedName>
    <definedName name="업무계획표" localSheetId="5" hidden="1">{#N/A,#N/A,TRUE,"대 차 대 조 표"}</definedName>
    <definedName name="업무계획표_1" localSheetId="5" hidden="1">{#N/A,#N/A,TRUE,"대 차 대 조 표"}</definedName>
    <definedName name="업무계획표01" localSheetId="5" hidden="1">{#N/A,#N/A,TRUE,"대 차 대 조 표"}</definedName>
    <definedName name="업무계획표01_1" localSheetId="5" hidden="1">{#N/A,#N/A,TRUE,"대 차 대 조 표"}</definedName>
    <definedName name="여이" localSheetId="5" hidden="1">{#N/A,#N/A,FALSE,"1.CRITERIA";#N/A,#N/A,FALSE,"2.IS";#N/A,#N/A,FALSE,"3.BS";#N/A,#N/A,FALSE,"4.PER PL";#N/A,#N/A,FALSE,"5.INVESTMENT";#N/A,#N/A,FALSE,"6.공문";#N/A,#N/A,FALSE,"7.netinvest"}</definedName>
    <definedName name="영" localSheetId="5" hidden="1">{#N/A,#N/A,FALSE,"1.CRITERIA";#N/A,#N/A,FALSE,"2.IS";#N/A,#N/A,FALSE,"3.BS";#N/A,#N/A,FALSE,"4.PER PL";#N/A,#N/A,FALSE,"5.INVESTMENT";#N/A,#N/A,FALSE,"6.공문";#N/A,#N/A,FALSE,"7.netinvest"}</definedName>
    <definedName name="영업" localSheetId="5" hidden="1">{#N/A,#N/A,FALSE,"지침";#N/A,#N/A,FALSE,"환경분석";#N/A,#N/A,FALSE,"Sheet16"}</definedName>
    <definedName name="영업수" localSheetId="5" hidden="1">{#N/A,#N/A,FALSE,"1.CRITERIA";#N/A,#N/A,FALSE,"2.IS";#N/A,#N/A,FALSE,"3.BS";#N/A,#N/A,FALSE,"4.PER PL";#N/A,#N/A,FALSE,"5.INVESTMENT";#N/A,#N/A,FALSE,"6.공문";#N/A,#N/A,FALSE,"7.netinvest"}</definedName>
    <definedName name="영업수익" localSheetId="5" hidden="1">{#N/A,#N/A,FALSE,"1.CRITERIA";#N/A,#N/A,FALSE,"2.IS";#N/A,#N/A,FALSE,"3.BS";#N/A,#N/A,FALSE,"4.PER PL";#N/A,#N/A,FALSE,"5.INVESTMENT";#N/A,#N/A,FALSE,"6.공문";#N/A,#N/A,FALSE,"7.netinvest"}</definedName>
    <definedName name="영업외비용" localSheetId="5" hidden="1">{#N/A,#N/A,FALSE,"BS";#N/A,#N/A,FALSE,"PL";#N/A,#N/A,FALSE,"처분";#N/A,#N/A,FALSE,"현금";#N/A,#N/A,FALSE,"매출";#N/A,#N/A,FALSE,"원가";#N/A,#N/A,FALSE,"경영"}</definedName>
    <definedName name="영업외수익" localSheetId="5" hidden="1">{#N/A,#N/A,FALSE,"1.CRITERIA";#N/A,#N/A,FALSE,"2.IS";#N/A,#N/A,FALSE,"3.BS";#N/A,#N/A,FALSE,"4.PER PL";#N/A,#N/A,FALSE,"5.INVESTMENT";#N/A,#N/A,FALSE,"6.공문";#N/A,#N/A,FALSE,"7.netinvest"}</definedName>
    <definedName name="예금" localSheetId="5" hidden="1">{#N/A,#N/A,FALSE,"1.CRITERIA";#N/A,#N/A,FALSE,"2.IS";#N/A,#N/A,FALSE,"3.BS";#N/A,#N/A,FALSE,"4.PER PL";#N/A,#N/A,FALSE,"5.INVESTMENT";#N/A,#N/A,FALSE,"6.공문";#N/A,#N/A,FALSE,"7.netinvest"}</definedName>
    <definedName name="예산내역" localSheetId="5" hidden="1">{#N/A,#N/A,FALSE,"이태원철근"}</definedName>
    <definedName name="오" localSheetId="5" hidden="1">{#N/A,#N/A,FALSE,"1.CRITERIA";#N/A,#N/A,FALSE,"2.IS";#N/A,#N/A,FALSE,"3.BS";#N/A,#N/A,FALSE,"4.PER PL";#N/A,#N/A,FALSE,"5.INVESTMENT";#N/A,#N/A,FALSE,"6.공문";#N/A,#N/A,FALSE,"7.netinvest"}</definedName>
    <definedName name="옥" localSheetId="5" hidden="1">{#N/A,#N/A,FALSE,"이태원철근"}</definedName>
    <definedName name="옥외공사" localSheetId="5" hidden="1">{#N/A,#N/A,FALSE,"이태원철근"}</definedName>
    <definedName name="옥외대비" localSheetId="5" hidden="1">{#N/A,#N/A,FALSE,"이태원철근"}</definedName>
    <definedName name="왜이래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예금" localSheetId="5" hidden="1">{#N/A,#N/A,FALSE,"1.CRITERIA";#N/A,#N/A,FALSE,"2.IS";#N/A,#N/A,FALSE,"3.BS";#N/A,#N/A,FALSE,"4.PER PL";#N/A,#N/A,FALSE,"5.INVESTMENT";#N/A,#N/A,FALSE,"6.공문";#N/A,#N/A,FALSE,"7.netinvest"}</definedName>
    <definedName name="요" localSheetId="5" hidden="1">{#N/A,#N/A,FALSE,"1.CRITERIA";#N/A,#N/A,FALSE,"2.IS";#N/A,#N/A,FALSE,"3.BS";#N/A,#N/A,FALSE,"4.PER PL";#N/A,#N/A,FALSE,"5.INVESTMENT";#N/A,#N/A,FALSE,"6.공문";#N/A,#N/A,FALSE,"7.netinvest"}</definedName>
    <definedName name="우리" localSheetId="5" hidden="1">{#N/A,#N/A,FALSE,"이태원철근"}</definedName>
    <definedName name="운영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영팀2" localSheetId="5" hidden="1">{#N/A,#N/A,TRUE,"Y생산";#N/A,#N/A,TRUE,"Y판매";#N/A,#N/A,TRUE,"Y총물량";#N/A,#N/A,TRUE,"Y능력";#N/A,#N/A,TRUE,"YKD"}</definedName>
    <definedName name="운영팀2_1" localSheetId="5" hidden="1">{#N/A,#N/A,TRUE,"Y생산";#N/A,#N/A,TRUE,"Y판매";#N/A,#N/A,TRUE,"Y총물량";#N/A,#N/A,TRUE,"Y능력";#N/A,#N/A,TRUE,"YKD"}</definedName>
    <definedName name="원가" localSheetId="5">#N/A</definedName>
    <definedName name="원가분석" localSheetId="5" hidden="1">{#N/A,#N/A,FALSE,"1.CRITERIA";#N/A,#N/A,FALSE,"2.IS";#N/A,#N/A,FALSE,"3.BS";#N/A,#N/A,FALSE,"4.PER PL";#N/A,#N/A,FALSE,"5.INVESTMENT";#N/A,#N/A,FALSE,"6.공문";#N/A,#N/A,FALSE,"7.netinvest"}</definedName>
    <definedName name="원천납부8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_1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월드건설" localSheetId="5" hidden="1">{#N/A,#N/A,FALSE,"이태원철근"}</definedName>
    <definedName name="월말" localSheetId="5" hidden="1">{#N/A,#N/A,FALSE,"1.CRITERIA";#N/A,#N/A,FALSE,"2.IS";#N/A,#N/A,FALSE,"3.BS";#N/A,#N/A,FALSE,"4.PER PL";#N/A,#N/A,FALSE,"5.INVESTMENT";#N/A,#N/A,FALSE,"6.공문";#N/A,#N/A,FALSE,"7.netinvest"}</definedName>
    <definedName name="월별" localSheetId="5" hidden="1">{#N/A,#N/A,FALSE,"1.CRITERIA";#N/A,#N/A,FALSE,"2.IS";#N/A,#N/A,FALSE,"3.BS";#N/A,#N/A,FALSE,"4.PER PL";#N/A,#N/A,FALSE,"5.INVESTMENT";#N/A,#N/A,FALSE,"6.공문";#N/A,#N/A,FALSE,"7.netinvest"}</definedName>
    <definedName name="월별영업비용" localSheetId="5" hidden="1">{#N/A,#N/A,FALSE,"1.CRITERIA";#N/A,#N/A,FALSE,"2.IS";#N/A,#N/A,FALSE,"3.BS";#N/A,#N/A,FALSE,"4.PER PL";#N/A,#N/A,FALSE,"5.INVESTMENT";#N/A,#N/A,FALSE,"6.공문";#N/A,#N/A,FALSE,"7.netinvest"}</definedName>
    <definedName name="유" localSheetId="5" hidden="1">{#N/A,#N/A,FALSE,"97년 투자계획 세부내역 "}</definedName>
    <definedName name="유가" localSheetId="5" hidden="1">{#N/A,#N/A,FALSE,"BS";#N/A,#N/A,FALSE,"PL";#N/A,#N/A,FALSE,"처분";#N/A,#N/A,FALSE,"현금";#N/A,#N/A,FALSE,"매출";#N/A,#N/A,FALSE,"원가";#N/A,#N/A,FALSE,"경영"}</definedName>
    <definedName name="유가증권" localSheetId="5" hidden="1">#REF!</definedName>
    <definedName name="유동" localSheetId="5" hidden="1">{#N/A,#N/A,FALSE,"BS";#N/A,#N/A,FALSE,"PL";#N/A,#N/A,FALSE,"처분";#N/A,#N/A,FALSE,"현금";#N/A,#N/A,FALSE,"매출";#N/A,#N/A,FALSE,"원가";#N/A,#N/A,FALSE,"경영"}</definedName>
    <definedName name="유동성사채" localSheetId="5" hidden="1">#REF!</definedName>
    <definedName name="유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이" localSheetId="5" hidden="1">{#N/A,#N/A,FALSE,"1.CRITERIA";#N/A,#N/A,FALSE,"2.IS";#N/A,#N/A,FALSE,"3.BS";#N/A,#N/A,FALSE,"4.PER PL";#N/A,#N/A,FALSE,"5.INVESTMENT";#N/A,#N/A,FALSE,"6.공문";#N/A,#N/A,FALSE,"7.netinvest"}</definedName>
    <definedName name="의뢰서" localSheetId="5" hidden="1">{#N/A,#N/A,FALSE,"이태원철근"}</definedName>
    <definedName name="이가" localSheetId="5" hidden="1">{"'Firr(선)'!$AS$1:$AY$62","'Firr(사)'!$AS$1:$AY$62","'Firr(회)'!$AS$1:$AY$62","'Firr(선)'!$L$1:$V$62","'Firr(사)'!$L$1:$V$62","'Firr(회)'!$L$1:$V$62"}</definedName>
    <definedName name="이근우" localSheetId="5" hidden="1">{#N/A,#N/A,FALSE,"BS";#N/A,#N/A,FALSE,"PL";#N/A,#N/A,FALSE,"처분";#N/A,#N/A,FALSE,"현금";#N/A,#N/A,FALSE,"매출";#N/A,#N/A,FALSE,"원가";#N/A,#N/A,FALSE,"경영"}</definedName>
    <definedName name="이름" localSheetId="5" hidden="1">{#N/A,#N/A,TRUE,"대 차 대 조 표"}</definedName>
    <definedName name="이쁘니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_1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상목" localSheetId="5" hidden="1">{#N/A,#N/A,FALSE,"이태원철근"}</definedName>
    <definedName name="이읏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이" localSheetId="5" hidden="1">{#N/A,#N/A,TRUE,"Y생산";#N/A,#N/A,TRUE,"Y판매";#N/A,#N/A,TRUE,"Y총물량";#N/A,#N/A,TRUE,"Y능력";#N/A,#N/A,TRUE,"YKD"}</definedName>
    <definedName name="이이_1" localSheetId="5" hidden="1">{#N/A,#N/A,TRUE,"Y생산";#N/A,#N/A,TRUE,"Y판매";#N/A,#N/A,TRUE,"Y총물량";#N/A,#N/A,TRUE,"Y능력";#N/A,#N/A,TRUE,"YKD"}</definedName>
    <definedName name="이자비용" localSheetId="5" hidden="1">#REF!</definedName>
    <definedName name="인연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테리어팀" localSheetId="5" hidden="1">{#N/A,#N/A,TRUE,"Y생산";#N/A,#N/A,TRUE,"Y판매";#N/A,#N/A,TRUE,"Y총물량";#N/A,#N/A,TRUE,"Y능력";#N/A,#N/A,TRUE,"YKD"}</definedName>
    <definedName name="인테리어팀_1" localSheetId="5" hidden="1">{#N/A,#N/A,TRUE,"Y생산";#N/A,#N/A,TRUE,"Y판매";#N/A,#N/A,TRUE,"Y총물량";#N/A,#N/A,TRUE,"Y능력";#N/A,#N/A,TRUE,"YKD"}</definedName>
    <definedName name="일반도급" localSheetId="5" hidden="1">{#N/A,#N/A,FALSE,"이태원철근"}</definedName>
    <definedName name="일정표" localSheetId="5" hidden="1">{#N/A,#N/A,FALSE,"이태원철근"}</definedName>
    <definedName name="일정표0124" localSheetId="5" hidden="1">{#N/A,#N/A,FALSE,"이태원철근"}</definedName>
    <definedName name="임차풀" localSheetId="5" hidden="1">{#N/A,#N/A,FALSE,"동부"}</definedName>
    <definedName name="ㅈ" localSheetId="5">"좋은사람들"</definedName>
    <definedName name="ㅈㄳ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ㄳ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" localSheetId="5" hidden="1">#REF!</definedName>
    <definedName name="자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금운용2" localSheetId="5" hidden="1">{#N/A,#N/A,FALSE,"이태원철근"}</definedName>
    <definedName name="자금운용3" localSheetId="5" hidden="1">{#N/A,#N/A,FALSE,"이태원철근"}</definedName>
    <definedName name="자본금" localSheetId="5" hidden="1">{#N/A,#N/A,FALSE,"Aging Summary";#N/A,#N/A,FALSE,"Ratio Analysis";#N/A,#N/A,FALSE,"Test 120 Day Accts";#N/A,#N/A,FALSE,"Tickmarks"}</definedName>
    <definedName name="자양" localSheetId="5" hidden="1">{#N/A,#N/A,FALSE,"이태원철근"}</definedName>
    <definedName name="자양공사개요" localSheetId="5" hidden="1">{#N/A,#N/A,FALSE,"이태원철근"}</definedName>
    <definedName name="자진" localSheetId="5" hidden="1">#REF!</definedName>
    <definedName name="자차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작성조서" localSheetId="5" hidden="1">{#N/A,#N/A,FALSE,"BS";#N/A,#N/A,FALSE,"PL";#N/A,#N/A,FALSE,"처분";#N/A,#N/A,FALSE,"현금";#N/A,#N/A,FALSE,"매출";#N/A,#N/A,FALSE,"원가";#N/A,#N/A,FALSE,"경영"}</definedName>
    <definedName name="잡손실" localSheetId="5" hidden="1">{#N/A,#N/A,FALSE,"1.CRITERIA";#N/A,#N/A,FALSE,"2.IS";#N/A,#N/A,FALSE,"3.BS";#N/A,#N/A,FALSE,"4.PER PL";#N/A,#N/A,FALSE,"5.INVESTMENT";#N/A,#N/A,FALSE,"6.공문";#N/A,#N/A,FALSE,"7.netinvest"}</definedName>
    <definedName name="잡이익" localSheetId="5">#REF!</definedName>
    <definedName name="장기" localSheetId="5" hidden="1">{#N/A,#N/A,TRUE,"Y생산";#N/A,#N/A,TRUE,"Y판매";#N/A,#N/A,TRUE,"Y총물량";#N/A,#N/A,TRUE,"Y능력";#N/A,#N/A,TRUE,"YKD"}</definedName>
    <definedName name="장기_1" localSheetId="5" hidden="1">{#N/A,#N/A,TRUE,"Y생산";#N/A,#N/A,TRUE,"Y판매";#N/A,#N/A,TRUE,"Y총물량";#N/A,#N/A,TRUE,"Y능력";#N/A,#N/A,TRUE,"YKD"}</definedName>
    <definedName name="재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재무제표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무제표_1" localSheetId="5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재심의" localSheetId="5" hidden="1">{#N/A,#N/A,FALSE,"이태원철근"}</definedName>
    <definedName name="재심의2" localSheetId="5" hidden="1">{#N/A,#N/A,FALSE,"이태원철근"}</definedName>
    <definedName name="재심의3" localSheetId="5" hidden="1">{#N/A,#N/A,FALSE,"이태원철근"}</definedName>
    <definedName name="재심의4" localSheetId="5" hidden="1">{#N/A,#N/A,FALSE,"이태원철근"}</definedName>
    <definedName name="재심의5" localSheetId="5" hidden="1">{#N/A,#N/A,FALSE,"이태원철근"}</definedName>
    <definedName name="재심의양식1" localSheetId="5" hidden="1">{#N/A,#N/A,FALSE,"이태원철근"}</definedName>
    <definedName name="재심의양식1.xls" localSheetId="5" hidden="1">{#N/A,#N/A,FALSE,"이태원철근"}</definedName>
    <definedName name="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주우회" localSheetId="5" hidden="1">#REF!</definedName>
    <definedName name="절" localSheetId="5" hidden="1">#REF!</definedName>
    <definedName name="정리" localSheetId="5" hidden="1">{#N/A,#N/A,TRUE,"대 차 대 조 표"}</definedName>
    <definedName name="정리_1" localSheetId="5" hidden="1">{#N/A,#N/A,TRUE,"대 차 대 조 표"}</definedName>
    <definedName name="제조" localSheetId="5" hidden="1">{#N/A,#N/A,FALSE,"1.CRITERIA";#N/A,#N/A,FALSE,"2.IS";#N/A,#N/A,FALSE,"3.BS";#N/A,#N/A,FALSE,"4.PER PL";#N/A,#N/A,FALSE,"5.INVESTMENT";#N/A,#N/A,FALSE,"6.공문";#N/A,#N/A,FALSE,"7.netinvest"}</definedName>
    <definedName name="조" localSheetId="5" hidden="1">{"'Firr(선)'!$AS$1:$AY$62","'Firr(사)'!$AS$1:$AY$62","'Firr(회)'!$AS$1:$AY$62","'Firr(선)'!$L$1:$V$62","'Firr(사)'!$L$1:$V$62","'Firr(회)'!$L$1:$V$62"}</definedName>
    <definedName name="조서" localSheetId="5" hidden="1">#REF!</definedName>
    <definedName name="조서1" localSheetId="5" hidden="1">#REF!</definedName>
    <definedName name="조효" localSheetId="5" hidden="1">{"'Firr(선)'!$AS$1:$AY$62","'Firr(사)'!$AS$1:$AY$62","'Firr(회)'!$AS$1:$AY$62","'Firr(선)'!$L$1:$V$62","'Firr(사)'!$L$1:$V$62","'Firr(회)'!$L$1:$V$62"}</definedName>
    <definedName name="조효석" localSheetId="5" hidden="1">{"'Firr(선)'!$AS$1:$AY$62","'Firr(사)'!$AS$1:$AY$62","'Firr(회)'!$AS$1:$AY$62","'Firr(선)'!$L$1:$V$62","'Firr(사)'!$L$1:$V$62","'Firr(회)'!$L$1:$V$62"}</definedName>
    <definedName name="죽전5차" localSheetId="5" hidden="1">{#N/A,#N/A,FALSE,"이태원철근"}</definedName>
    <definedName name="중간요약" localSheetId="5" hidden="1">{#N/A,#N/A,FALSE,"BS";#N/A,#N/A,FALSE,"PL";#N/A,#N/A,FALSE,"처분";#N/A,#N/A,FALSE,"현금";#N/A,#N/A,FALSE,"매출";#N/A,#N/A,FALSE,"원가";#N/A,#N/A,FALSE,"경영"}</definedName>
    <definedName name="지원동" localSheetId="5" hidden="1">{#N/A,#N/A,TRUE,"대 차 대 조 표"}</definedName>
    <definedName name="지원동_1" localSheetId="5" hidden="1">{#N/A,#N/A,TRUE,"대 차 대 조 표"}</definedName>
    <definedName name="직원조직" localSheetId="5" hidden="1">{#N/A,#N/A,FALSE,"이태원철근"}</definedName>
    <definedName name="직원조직표" localSheetId="5" hidden="1">{#N/A,#N/A,FALSE,"이태원철근"}</definedName>
    <definedName name="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" localSheetId="5" hidden="1">{#N/A,#N/A,FALSE,"BS";#N/A,#N/A,FALSE,"PL";#N/A,#N/A,FALSE,"처분";#N/A,#N/A,FALSE,"현금";#N/A,#N/A,FALSE,"매출";#N/A,#N/A,FALSE,"원가";#N/A,#N/A,FALSE,"경영"}</definedName>
    <definedName name="ㅊㅊㅊㅊㅊㅊㅊㅊㅊㅊ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" localSheetId="5" hidden="1">{#N/A,#N/A,FALSE,"1.CRITERIA";#N/A,#N/A,FALSE,"2.IS";#N/A,#N/A,FALSE,"3.BS";#N/A,#N/A,FALSE,"4.PER PL";#N/A,#N/A,FALSE,"5.INVESTMENT";#N/A,#N/A,FALSE,"6.공문";#N/A,#N/A,FALSE,"7.netinvest"}</definedName>
    <definedName name="차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차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참고2" localSheetId="5" hidden="1">#REF!</definedName>
    <definedName name="체육관" localSheetId="5" hidden="1">{#N/A,#N/A,TRUE,"대 차 대 조 표"}</definedName>
    <definedName name="체육관_1" localSheetId="5" hidden="1">{#N/A,#N/A,TRUE,"대 차 대 조 표"}</definedName>
    <definedName name="초기예산서보고" localSheetId="5" hidden="1">{#N/A,#N/A,FALSE,"이태원철근"}</definedName>
    <definedName name="총괄표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_1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촤" localSheetId="5" hidden="1">{#N/A,#N/A,FALSE,"1.CRITERIA";#N/A,#N/A,FALSE,"2.IS";#N/A,#N/A,FALSE,"3.BS";#N/A,#N/A,FALSE,"4.PER PL";#N/A,#N/A,FALSE,"5.INVESTMENT";#N/A,#N/A,FALSE,"6.공문";#N/A,#N/A,FALSE,"7.netinvest"}</definedName>
    <definedName name="최한희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추정매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취하" localSheetId="5" hidden="1">{#N/A,#N/A,FALSE,"이태원철근"}</definedName>
    <definedName name="취하실적1." localSheetId="5" hidden="1">{#N/A,#N/A,FALSE,"이태원철근"}</definedName>
    <definedName name="ㅋ" localSheetId="5" hidden="1">{#N/A,#N/A,FALSE,"BS";#N/A,#N/A,FALSE,"PL";#N/A,#N/A,FALSE,"처분";#N/A,#N/A,FALSE,"현금";#N/A,#N/A,FALSE,"매출";#N/A,#N/A,FALSE,"원가";#N/A,#N/A,FALSE,"경영"}</definedName>
    <definedName name="ㅋㅋㅋ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localSheetId="5" hidden="1">{#N/A,#N/A,TRUE,"대 차 대 조 표"}</definedName>
    <definedName name="ㅋㅋㅋㅋ_1" localSheetId="5" hidden="1">{#N/A,#N/A,TRUE,"대 차 대 조 표"}</definedName>
    <definedName name="카러" localSheetId="5" hidden="1">{#N/A,#N/A,FALSE,"1.CRITERIA";#N/A,#N/A,FALSE,"2.IS";#N/A,#N/A,FALSE,"3.BS";#N/A,#N/A,FALSE,"4.PER PL";#N/A,#N/A,FALSE,"5.INVESTMENT";#N/A,#N/A,FALSE,"6.공문";#N/A,#N/A,FALSE,"7.netinvest"}</definedName>
    <definedName name="카바2" localSheetId="5" hidden="1">{#N/A,#N/A,FALSE,"이태원철근"}</definedName>
    <definedName name="커머" localSheetId="5" hidden="1">{#N/A,#N/A,FALSE,"1.CRITERIA";#N/A,#N/A,FALSE,"2.IS";#N/A,#N/A,FALSE,"3.BS";#N/A,#N/A,FALSE,"4.PER PL";#N/A,#N/A,FALSE,"5.INVESTMENT";#N/A,#N/A,FALSE,"6.공문";#N/A,#N/A,FALSE,"7.netinvest"}</definedName>
    <definedName name="컼커" localSheetId="5" hidden="1">{#N/A,#N/A,FALSE,"1.CRITERIA";#N/A,#N/A,FALSE,"2.IS";#N/A,#N/A,FALSE,"3.BS";#N/A,#N/A,FALSE,"4.PER PL";#N/A,#N/A,FALSE,"5.INVESTMENT";#N/A,#N/A,FALSE,"6.공문";#N/A,#N/A,FALSE,"7.netinvest"}</definedName>
    <definedName name="코" localSheetId="5" hidden="1">{#N/A,#N/A,FALSE,"1.CRITERIA";#N/A,#N/A,FALSE,"2.IS";#N/A,#N/A,FALSE,"3.BS";#N/A,#N/A,FALSE,"4.PER PL";#N/A,#N/A,FALSE,"5.INVESTMENT";#N/A,#N/A,FALSE,"6.공문";#N/A,#N/A,FALSE,"7.netinvest"}</definedName>
    <definedName name="키" localSheetId="5" hidden="1">{#N/A,#N/A,FALSE,"1.CRITERIA";#N/A,#N/A,FALSE,"2.IS";#N/A,#N/A,FALSE,"3.BS";#N/A,#N/A,FALSE,"4.PER PL";#N/A,#N/A,FALSE,"5.INVESTMENT";#N/A,#N/A,FALSE,"6.공문";#N/A,#N/A,FALSE,"7.netinvest"}</definedName>
    <definedName name="ㅌ" localSheetId="5" hidden="1">{#N/A,#N/A,FALSE,"BS";#N/A,#N/A,FALSE,"PL";#N/A,#N/A,FALSE,"처분";#N/A,#N/A,FALSE,"현금";#N/A,#N/A,FALSE,"매출";#N/A,#N/A,FALSE,"원가";#N/A,#N/A,FALSE,"경영"}</definedName>
    <definedName name="ㅌㅊㅋㅌㅊ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테넌트" localSheetId="5" hidden="1">{#N/A,#N/A,TRUE,"Y생산";#N/A,#N/A,TRUE,"Y판매";#N/A,#N/A,TRUE,"Y총물량";#N/A,#N/A,TRUE,"Y능력";#N/A,#N/A,TRUE,"YKD"}</definedName>
    <definedName name="테넌트_1" localSheetId="5" hidden="1">{#N/A,#N/A,TRUE,"Y생산";#N/A,#N/A,TRUE,"Y판매";#N/A,#N/A,TRUE,"Y총물량";#N/A,#N/A,TRUE,"Y능력";#N/A,#N/A,TRUE,"YKD"}</definedName>
    <definedName name="테넌트팀" localSheetId="5" hidden="1">{#N/A,#N/A,TRUE,"Y생산";#N/A,#N/A,TRUE,"Y판매";#N/A,#N/A,TRUE,"Y총물량";#N/A,#N/A,TRUE,"Y능력";#N/A,#N/A,TRUE,"YKD"}</definedName>
    <definedName name="테넌트팀_1" localSheetId="5" hidden="1">{#N/A,#N/A,TRUE,"Y생산";#N/A,#N/A,TRUE,"Y판매";#N/A,#N/A,TRUE,"Y총물량";#N/A,#N/A,TRUE,"Y능력";#N/A,#N/A,TRUE,"YKD"}</definedName>
    <definedName name="토목공사강릉" localSheetId="5" hidden="1">#REF!</definedName>
    <definedName name="토목실견적" localSheetId="5" hidden="1">{#N/A,#N/A,FALSE,"이태원철근"}</definedName>
    <definedName name="토지평가요항표" localSheetId="5" hidden="1">#REF!</definedName>
    <definedName name="통합본관" localSheetId="5" hidden="1">#REF!</definedName>
    <definedName name="퇴충명세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_1" localSheetId="5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투" localSheetId="5" hidden="1">#REF!</definedName>
    <definedName name="특정" localSheetId="5" hidden="1">{#N/A,#N/A,FALSE,"1.CRITERIA";#N/A,#N/A,FALSE,"2.IS";#N/A,#N/A,FALSE,"3.BS";#N/A,#N/A,FALSE,"4.PER PL";#N/A,#N/A,FALSE,"5.INVESTMENT";#N/A,#N/A,FALSE,"6.공문";#N/A,#N/A,FALSE,"7.netinvest"}</definedName>
    <definedName name="특정현금과예금" localSheetId="5" hidden="1">#REF!</definedName>
    <definedName name="파" localSheetId="5" hidden="1">{#N/A,#N/A,FALSE,"1.CRITERIA";#N/A,#N/A,FALSE,"2.IS";#N/A,#N/A,FALSE,"3.BS";#N/A,#N/A,FALSE,"4.PER PL";#N/A,#N/A,FALSE,"5.INVESTMENT";#N/A,#N/A,FALSE,"6.공문";#N/A,#N/A,FALSE,"7.netinvest"}</definedName>
    <definedName name="파아라" localSheetId="5" hidden="1">{#N/A,#N/A,FALSE,"1.CRITERIA";#N/A,#N/A,FALSE,"2.IS";#N/A,#N/A,FALSE,"3.BS";#N/A,#N/A,FALSE,"4.PER PL";#N/A,#N/A,FALSE,"5.INVESTMENT";#N/A,#N/A,FALSE,"6.공문";#N/A,#N/A,FALSE,"7.netinvest"}</definedName>
    <definedName name="파일" localSheetId="5" hidden="1">#REF!</definedName>
    <definedName name="파하" localSheetId="5" hidden="1">{#N/A,#N/A,FALSE,"1.CRITERIA";#N/A,#N/A,FALSE,"2.IS";#N/A,#N/A,FALSE,"3.BS";#N/A,#N/A,FALSE,"4.PER PL";#N/A,#N/A,FALSE,"5.INVESTMENT";#N/A,#N/A,FALSE,"6.공문";#N/A,#N/A,FALSE,"7.netinvest"}</definedName>
    <definedName name="퍄" localSheetId="5" hidden="1">{#N/A,#N/A,FALSE,"1.CRITERIA";#N/A,#N/A,FALSE,"2.IS";#N/A,#N/A,FALSE,"3.BS";#N/A,#N/A,FALSE,"4.PER PL";#N/A,#N/A,FALSE,"5.INVESTMENT";#N/A,#N/A,FALSE,"6.공문";#N/A,#N/A,FALSE,"7.netinvest"}</definedName>
    <definedName name="페" localSheetId="5" hidden="1">{#N/A,#N/A,FALSE,"1.CRITERIA";#N/A,#N/A,FALSE,"2.IS";#N/A,#N/A,FALSE,"3.BS";#N/A,#N/A,FALSE,"4.PER PL";#N/A,#N/A,FALSE,"5.INVESTMENT";#N/A,#N/A,FALSE,"6.공문";#N/A,#N/A,FALSE,"7.netinvest"}</definedName>
    <definedName name="페이지" localSheetId="5" hidden="1">{"'Firr(선)'!$AS$1:$AY$62","'Firr(사)'!$AS$1:$AY$62","'Firr(회)'!$AS$1:$AY$62","'Firr(선)'!$L$1:$V$62","'Firr(사)'!$L$1:$V$62","'Firr(회)'!$L$1:$V$62"}</definedName>
    <definedName name="펴" localSheetId="5" hidden="1">{#N/A,#N/A,FALSE,"1.CRITERIA";#N/A,#N/A,FALSE,"2.IS";#N/A,#N/A,FALSE,"3.BS";#N/A,#N/A,FALSE,"4.PER PL";#N/A,#N/A,FALSE,"5.INVESTMENT";#N/A,#N/A,FALSE,"6.공문";#N/A,#N/A,FALSE,"7.netinvest"}</definedName>
    <definedName name="포" localSheetId="5" hidden="1">{#N/A,#N/A,FALSE,"1.CRITERIA";#N/A,#N/A,FALSE,"2.IS";#N/A,#N/A,FALSE,"3.BS";#N/A,#N/A,FALSE,"4.PER PL";#N/A,#N/A,FALSE,"5.INVESTMENT";#N/A,#N/A,FALSE,"6.공문";#N/A,#N/A,FALSE,"7.netinvest"}</definedName>
    <definedName name="포스코" localSheetId="5" hidden="1">{#N/A,#N/A,TRUE,"대 차 대 조 표"}</definedName>
    <definedName name="포스코_1" localSheetId="5" hidden="1">{#N/A,#N/A,TRUE,"대 차 대 조 표"}</definedName>
    <definedName name="표지" localSheetId="5" hidden="1">{#N/A,#N/A,FALSE,"동부"}</definedName>
    <definedName name="표지_1" localSheetId="5" hidden="1">{#N/A,#N/A,FALSE,"동부"}</definedName>
    <definedName name="풀" localSheetId="5" hidden="1">{#N/A,#N/A,FALSE,"동부"}</definedName>
    <definedName name="풍납동" localSheetId="5" hidden="1">#REF!</definedName>
    <definedName name="풍납동아파트" localSheetId="5" hidden="1">#REF!</definedName>
    <definedName name="피로티" localSheetId="5" hidden="1">{#N/A,#N/A,FALSE,"이태원철근"}</definedName>
    <definedName name="피로티1" localSheetId="5" hidden="1">{#N/A,#N/A,FALSE,"이태원철근"}</definedName>
    <definedName name="ㅎ" localSheetId="5" hidden="1">{#N/A,#N/A,FALSE,"BS";#N/A,#N/A,FALSE,"PL";#N/A,#N/A,FALSE,"처분";#N/A,#N/A,FALSE,"현금";#N/A,#N/A,FALSE,"매출";#N/A,#N/A,FALSE,"원가";#N/A,#N/A,FALSE,"경영"}</definedName>
    <definedName name="ㅎㄹㅇㅎㅎ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" localSheetId="5" hidden="1">{#N/A,#N/A,FALSE,"Aging Summary";#N/A,#N/A,FALSE,"Ratio Analysis";#N/A,#N/A,FALSE,"Test 120 Day Accts";#N/A,#N/A,FALSE,"Tickmarks"}</definedName>
    <definedName name="ㅎㅇ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ㅀ" localSheetId="5" hidden="1">#REF!</definedName>
    <definedName name="ㅎㅎ" localSheetId="5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ㅎ" localSheetId="5" hidden="1">{#N/A,#N/A,FALSE,"이태원철근"}</definedName>
    <definedName name="ㅎㅎㅎㅎ" localSheetId="5" hidden="1">{#N/A,#N/A,FALSE,"BS";#N/A,#N/A,FALSE,"PL";#N/A,#N/A,FALSE,"처분";#N/A,#N/A,FALSE,"현금";#N/A,#N/A,FALSE,"매출";#N/A,#N/A,FALSE,"원가";#N/A,#N/A,FALSE,"경영"}</definedName>
    <definedName name="하" localSheetId="5" hidden="1">{#N/A,#N/A,FALSE,"1.CRITERIA";#N/A,#N/A,FALSE,"2.IS";#N/A,#N/A,FALSE,"3.BS";#N/A,#N/A,FALSE,"4.PER PL";#N/A,#N/A,FALSE,"5.INVESTMENT";#N/A,#N/A,FALSE,"6.공문";#N/A,#N/A,FALSE,"7.netinvest"}</definedName>
    <definedName name="하독급대비1" localSheetId="5" hidden="1">#REF!</definedName>
    <definedName name="하하하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ㅏ라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한영사전" localSheetId="5" hidden="1">{#N/A,#N/A,TRUE,"Y생산";#N/A,#N/A,TRUE,"Y판매";#N/A,#N/A,TRUE,"Y총물량";#N/A,#N/A,TRUE,"Y능력";#N/A,#N/A,TRUE,"YKD"}</definedName>
    <definedName name="한영사전_1" localSheetId="5" hidden="1">{#N/A,#N/A,TRUE,"Y생산";#N/A,#N/A,TRUE,"Y판매";#N/A,#N/A,TRUE,"Y총물량";#N/A,#N/A,TRUE,"Y능력";#N/A,#N/A,TRUE,"YKD"}</definedName>
    <definedName name="햐" localSheetId="5" hidden="1">{#N/A,#N/A,FALSE,"1.CRITERIA";#N/A,#N/A,FALSE,"2.IS";#N/A,#N/A,FALSE,"3.BS";#N/A,#N/A,FALSE,"4.PER PL";#N/A,#N/A,FALSE,"5.INVESTMENT";#N/A,#N/A,FALSE,"6.공문";#N/A,#N/A,FALSE,"7.netinvest"}</definedName>
    <definedName name="혀" localSheetId="5" hidden="1">{#N/A,#N/A,FALSE,"1.CRITERIA";#N/A,#N/A,FALSE,"2.IS";#N/A,#N/A,FALSE,"3.BS";#N/A,#N/A,FALSE,"4.PER PL";#N/A,#N/A,FALSE,"5.INVESTMENT";#N/A,#N/A,FALSE,"6.공문";#N/A,#N/A,FALSE,"7.netinvest"}</definedName>
    <definedName name="현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7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등가물" localSheetId="5" hidden="1">{#N/A,#N/A,FALSE,"Aging Summary";#N/A,#N/A,FALSE,"Ratio Analysis";#N/A,#N/A,FALSE,"Test 120 Day Accts";#N/A,#N/A,FALSE,"Tickmarks"}</definedName>
    <definedName name="현금등가물및단기" localSheetId="5" hidden="1">{#N/A,#N/A,FALSE,"Aging Summary";#N/A,#N/A,FALSE,"Ratio Analysis";#N/A,#N/A,FALSE,"Test 120 Day Accts";#N/A,#N/A,FALSE,"Tickmarks"}</definedName>
    <definedName name="현금흐름" localSheetId="5" hidden="1">{#N/A,#N/A,FALSE,"Aging Summary";#N/A,#N/A,FALSE,"Ratio Analysis";#N/A,#N/A,FALSE,"Test 120 Day Accts";#N/A,#N/A,FALSE,"Tickmarks"}</definedName>
    <definedName name="현대코아공통비" localSheetId="5" hidden="1">#REF!</definedName>
    <definedName name="현작성조서" localSheetId="5" hidden="1">{#N/A,#N/A,FALSE,"BS";#N/A,#N/A,FALSE,"PL";#N/A,#N/A,FALSE,"처분";#N/A,#N/A,FALSE,"현금";#N/A,#N/A,FALSE,"매출";#N/A,#N/A,FALSE,"원가";#N/A,#N/A,FALSE,"경영"}</definedName>
    <definedName name="협조전" localSheetId="5" hidden="1">#REF!</definedName>
    <definedName name="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" localSheetId="5" hidden="1">#REF!</definedName>
    <definedName name="홍범표" localSheetId="5" hidden="1">{#N/A,#N/A,FALSE,"이태원철근"}</definedName>
    <definedName name="홓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" localSheetId="5" hidden="1">{#N/A,#N/A,FALSE,"동부"}</definedName>
    <definedName name="회색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효" localSheetId="5" hidden="1">{#N/A,#N/A,FALSE,"1.CRITERIA";#N/A,#N/A,FALSE,"2.IS";#N/A,#N/A,FALSE,"3.BS";#N/A,#N/A,FALSE,"4.PER PL";#N/A,#N/A,FALSE,"5.INVESTMENT";#N/A,#N/A,FALSE,"6.공문";#N/A,#N/A,FALSE,"7.netinvest"}</definedName>
    <definedName name="효석" localSheetId="5" hidden="1">{"'Firr(선)'!$AS$1:$AY$62","'Firr(사)'!$AS$1:$AY$62","'Firr(회)'!$AS$1:$AY$62","'Firr(선)'!$L$1:$V$62","'Firr(사)'!$L$1:$V$62","'Firr(회)'!$L$1:$V$62"}</definedName>
    <definedName name="후" localSheetId="5" hidden="1">{#N/A,#N/A,FALSE,"1.CRITERIA";#N/A,#N/A,FALSE,"2.IS";#N/A,#N/A,FALSE,"3.BS";#N/A,#N/A,FALSE,"4.PER PL";#N/A,#N/A,FALSE,"5.INVESTMENT";#N/A,#N/A,FALSE,"6.공문";#N/A,#N/A,FALSE,"7.netinvest"}</definedName>
    <definedName name="휴" localSheetId="5" hidden="1">{#N/A,#N/A,FALSE,"1.CRITERIA";#N/A,#N/A,FALSE,"2.IS";#N/A,#N/A,FALSE,"3.BS";#N/A,#N/A,FALSE,"4.PER PL";#N/A,#N/A,FALSE,"5.INVESTMENT";#N/A,#N/A,FALSE,"6.공문";#N/A,#N/A,FALSE,"7.netinvest"}</definedName>
    <definedName name="흐" localSheetId="5" hidden="1">{#N/A,#N/A,FALSE,"1.CRITERIA";#N/A,#N/A,FALSE,"2.IS";#N/A,#N/A,FALSE,"3.BS";#N/A,#N/A,FALSE,"4.PER PL";#N/A,#N/A,FALSE,"5.INVESTMENT";#N/A,#N/A,FALSE,"6.공문";#N/A,#N/A,FALSE,"7.netinvest"}</definedName>
    <definedName name="흐름" localSheetId="5" hidden="1">{#N/A,#N/A,FALSE,"BS";#N/A,#N/A,FALSE,"PL";#N/A,#N/A,FALSE,"처분";#N/A,#N/A,FALSE,"현금";#N/A,#N/A,FALSE,"매출";#N/A,#N/A,FALSE,"원가";#N/A,#N/A,FALSE,"경영"}</definedName>
    <definedName name="ㅏ" localSheetId="5" hidden="1">{#N/A,#N/A,FALSE,"BS";#N/A,#N/A,FALSE,"PL";#N/A,#N/A,FALSE,"처분";#N/A,#N/A,FALSE,"현금";#N/A,#N/A,FALSE,"매출";#N/A,#N/A,FALSE,"원가";#N/A,#N/A,FALSE,"경영"}</definedName>
    <definedName name="ㅏ나앙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_1" localSheetId="5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앙" localSheetId="5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_1" localSheetId="5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어러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" localSheetId="5" hidden="1">{#N/A,#N/A,FALSE,"이태원철근"}</definedName>
    <definedName name="ㅑㅐㅑㅐ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ㅑㅑ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ㅑㅕ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" localSheetId="5" hidden="1">{#N/A,#N/A,FALSE,"이태원철근"}</definedName>
    <definedName name="ㅓㅏㅓ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ㅔ" localSheetId="5" hidden="1">{#N/A,#N/A,FALSE,"이태원철근"}</definedName>
    <definedName name="ㅕ" localSheetId="5" hidden="1">{#N/A,#N/A,FALSE,"BS";#N/A,#N/A,FALSE,"PL";#N/A,#N/A,FALSE,"처분";#N/A,#N/A,FALSE,"현금";#N/A,#N/A,FALSE,"매출";#N/A,#N/A,FALSE,"원가";#N/A,#N/A,FALSE,"경영"}</definedName>
    <definedName name="ㅕ6ㅕㅕ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ㄹㅇ려ㅗㅇ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셧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ㅕㅑㅑㅕ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" localSheetId="5" hidden="1">{#N/A,#N/A,FALSE,"이태원철근"}</definedName>
    <definedName name="ㅗㄹ호" localSheetId="5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홓로" localSheetId="5" hidden="1">#REF!</definedName>
    <definedName name="ㅗㅇㄹ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ㅎ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ㅗㅎ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ㅓ" localSheetId="5" hidden="1">{#N/A,#N/A,TRUE,"대 차 대 조 표"}</definedName>
    <definedName name="ㅗㅓㅗㅓ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ㅎ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" localSheetId="5" hidden="1">{#N/A,#N/A,FALSE,"이태원철근"}</definedName>
    <definedName name="ㅛㅓㅛ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ㅕ쇼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ㅛㅛ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ㅜㅊ4263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ㅠ" localSheetId="5" hidden="1">{#N/A,#N/A,FALSE,"이태원철근"}</definedName>
    <definedName name="ㅠㅠㅠ" localSheetId="5" hidden="1">{#N/A,#N/A,FALSE,"지침";#N/A,#N/A,FALSE,"환경분석";#N/A,#N/A,FALSE,"Sheet16"}</definedName>
    <definedName name="ㅡ" localSheetId="5" hidden="1">{#N/A,#N/A,FALSE,"이태원철근"}</definedName>
    <definedName name="ㅣㅣㅣㅣ" localSheetId="5" hidden="1">{#N/A,#N/A,FALSE,"BS";#N/A,#N/A,FALSE,"PL";#N/A,#N/A,FALSE,"처분";#N/A,#N/A,FALSE,"현금";#N/A,#N/A,FALSE,"매출";#N/A,#N/A,FALSE,"원가";#N/A,#N/A,FALSE,"경영"}</definedName>
    <definedName name="_xlnm.Print_Area" localSheetId="5">'담보대출상환비율'!$A$1:$G$24</definedName>
    <definedName name="Z_0D77BF26_9D1C_4214_9921_28691BCEADDB_.wvu.PrintArea" localSheetId="6" hidden="1">'주유소별가격(담보)'!$B$1:$H$203</definedName>
    <definedName name="Z_0D77BF26_9D1C_4214_9921_28691BCEADDB_.wvu.PrintTitles" localSheetId="6" hidden="1">'주유소별가격(담보)'!$1:$3</definedName>
    <definedName name="Z_619425E0_2275_4BC1_A4EF_E747E239A4C4_.wvu.PrintArea" localSheetId="6" hidden="1">'주유소별가격(담보)'!$B$1:$H$203</definedName>
    <definedName name="Z_619425E0_2275_4BC1_A4EF_E747E239A4C4_.wvu.PrintTitles" localSheetId="6" hidden="1">'주유소별가격(담보)'!$1:$3</definedName>
    <definedName name="Z_741D1A50_2AC2_48FD_98D1_BEE3372837CD_.wvu.PrintArea" localSheetId="6" hidden="1">'주유소별가격(담보)'!$B$1:$H$203</definedName>
    <definedName name="Z_741D1A50_2AC2_48FD_98D1_BEE3372837CD_.wvu.PrintTitles" localSheetId="6" hidden="1">'주유소별가격(담보)'!$1:$3</definedName>
    <definedName name="Z_AD2939D1_7F2D_48C4_BFB1_328B91D1D63C_.wvu.PrintArea" localSheetId="6" hidden="1">'주유소별가격(담보)'!$B$1:$H$203</definedName>
    <definedName name="Z_AD2939D1_7F2D_48C4_BFB1_328B91D1D63C_.wvu.PrintTitles" localSheetId="6" hidden="1">'주유소별가격(담보)'!$1:$3</definedName>
    <definedName name="Z_DAEEFE0E_7419_42FD_8F6F_FED8A8391885_.wvu.PrintArea" localSheetId="6" hidden="1">'주유소별가격(담보)'!$B$1:$H$203</definedName>
    <definedName name="Z_DAEEFE0E_7419_42FD_8F6F_FED8A8391885_.wvu.PrintTitles" localSheetId="6" hidden="1">'주유소별가격(담보)'!$1:$3</definedName>
    <definedName name="_xlnm._FilterDatabase" localSheetId="6" hidden="1">'주유소별가격(담보)'!$B$3:$I$159</definedName>
    <definedName name="_xlnm.Print_Titles" localSheetId="6">'주유소별가격(담보)'!$1:$3</definedName>
    <definedName name="_xlnm.Print_Area" localSheetId="6">'주유소별가격(담보)'!$B$1:$I$160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-* #,##0_-;\-* #,##0_-;_-* &quot;-&quot;_-;_-@_-"/>
    <numFmt numFmtId="165" formatCode="_-* #,##0.00_-;\-* #,##0.00_-;_-* &quot;-&quot;??_-;_-@_-"/>
    <numFmt numFmtId="166" formatCode="General&quot;개 주유소&quot;"/>
    <numFmt numFmtId="167" formatCode="#,##0_ "/>
    <numFmt numFmtId="168" formatCode="#,##0_);\(#,##0\)"/>
    <numFmt numFmtId="169" formatCode="0.0%"/>
    <numFmt numFmtId="170" formatCode="_-* #,##0_-;\-* #,##0_-;_-* \-_-;_-@_-"/>
    <numFmt numFmtId="171" formatCode="#,##0&quot;억원&quot;"/>
    <numFmt numFmtId="172" formatCode="_(* #,##0_);_(* \(#,##0\);_(* \-_);_(@_)"/>
    <numFmt numFmtId="173" formatCode="0&quot;건&quot;"/>
    <numFmt numFmtId="174" formatCode="#,##0.0"/>
    <numFmt numFmtId="175" formatCode="#,##0.0;[Red]-#,##0.0;&quot;-&quot;"/>
  </numFmts>
  <fonts count="6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b val="1"/>
      <color indexed="81"/>
      <sz val="9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돋움"/>
      <charset val="129"/>
      <family val="3"/>
      <color theme="1"/>
      <sz val="11"/>
    </font>
    <font>
      <name val="맑은 고딕"/>
      <charset val="129"/>
      <family val="2"/>
      <color theme="1"/>
      <sz val="8"/>
      <scheme val="minor"/>
    </font>
    <font>
      <name val="돋움"/>
      <charset val="129"/>
      <family val="3"/>
      <color indexed="8"/>
      <sz val="11"/>
    </font>
    <font>
      <name val="맑은 고딕"/>
      <charset val="129"/>
      <family val="3"/>
      <color theme="1"/>
      <sz val="8"/>
      <scheme val="minor"/>
    </font>
    <font>
      <name val="돋움"/>
      <charset val="129"/>
      <family val="3"/>
      <sz val="8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color rgb="FFFF0000"/>
      <sz val="8"/>
      <scheme val="minor"/>
    </font>
    <font>
      <name val="맑은 고딕"/>
      <charset val="129"/>
      <family val="2"/>
      <color theme="10"/>
      <sz val="8"/>
      <scheme val="minor"/>
    </font>
    <font>
      <name val="맑은 고딕"/>
      <charset val="129"/>
      <family val="3"/>
      <b val="1"/>
      <color theme="1"/>
      <sz val="8"/>
      <scheme val="minor"/>
    </font>
    <font>
      <name val="맑은 고딕"/>
      <charset val="129"/>
      <family val="3"/>
      <color rgb="FFFF0000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color rgb="FFFF0000"/>
      <sz val="10"/>
      <scheme val="minor"/>
    </font>
    <font>
      <name val="맑은 고딕"/>
      <charset val="129"/>
      <family val="2"/>
      <color rgb="FFFF0000"/>
      <sz val="10"/>
      <scheme val="minor"/>
    </font>
    <font>
      <name val="Times New Roman"/>
      <family val="1"/>
      <b val="1"/>
      <color theme="1"/>
      <sz val="11"/>
    </font>
    <font>
      <name val="바탕"/>
      <charset val="129"/>
      <family val="1"/>
      <b val="1"/>
      <color theme="1"/>
      <sz val="11"/>
    </font>
    <font>
      <name val="바탕"/>
      <charset val="129"/>
      <family val="1"/>
      <b val="1"/>
      <color theme="1"/>
      <sz val="14"/>
    </font>
    <font>
      <name val="Times New Roman"/>
      <family val="1"/>
      <b val="1"/>
      <color theme="1"/>
      <sz val="14"/>
    </font>
    <font>
      <name val="Times New Roman"/>
      <family val="1"/>
      <color theme="1"/>
      <sz val="11"/>
    </font>
    <font>
      <name val="Times New Roman"/>
      <family val="1"/>
      <color theme="1"/>
      <sz val="10"/>
    </font>
    <font>
      <name val="바탕"/>
      <charset val="129"/>
      <family val="1"/>
      <b val="1"/>
      <color rgb="FF000000"/>
      <sz val="10"/>
    </font>
    <font>
      <name val="Times New Roman"/>
      <family val="1"/>
      <b val="1"/>
      <color rgb="FF000000"/>
      <sz val="10"/>
    </font>
    <font>
      <name val="바탕"/>
      <charset val="129"/>
      <family val="1"/>
      <color rgb="FF000000"/>
      <sz val="10"/>
    </font>
    <font>
      <name val="Times New Roman"/>
      <family val="1"/>
      <color rgb="FF000000"/>
      <sz val="10"/>
    </font>
    <font>
      <name val="바탕"/>
      <charset val="129"/>
      <family val="1"/>
      <color rgb="FFC00000"/>
      <sz val="10"/>
    </font>
    <font>
      <name val="바탕"/>
      <charset val="129"/>
      <family val="1"/>
      <color theme="1"/>
      <sz val="9"/>
    </font>
    <font>
      <name val="Times New Roman"/>
      <family val="1"/>
      <color theme="1"/>
      <sz val="9"/>
    </font>
    <font>
      <name val="바탕"/>
      <charset val="129"/>
      <family val="1"/>
      <b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color rgb="FFC00000"/>
      <sz val="10"/>
    </font>
    <font>
      <name val="맑은 고딕"/>
      <charset val="129"/>
      <family val="2"/>
      <color theme="1"/>
      <sz val="14"/>
      <scheme val="minor"/>
    </font>
    <font>
      <name val="맑은 고딕"/>
      <charset val="129"/>
      <family val="3"/>
      <b val="1"/>
      <color theme="1"/>
      <sz val="48"/>
      <u val="single"/>
      <scheme val="minor"/>
    </font>
    <font>
      <name val="맑은 고딕"/>
      <charset val="129"/>
      <family val="3"/>
      <b val="1"/>
      <color theme="0"/>
      <sz val="15"/>
      <scheme val="minor"/>
    </font>
    <font>
      <name val="맑은 고딕"/>
      <charset val="129"/>
      <family val="3"/>
      <color theme="1"/>
      <sz val="15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돋움"/>
      <charset val="129"/>
      <family val="3"/>
      <sz val="11"/>
    </font>
    <font>
      <name val="KoPub돋움체 Medium"/>
      <charset val="129"/>
      <family val="1"/>
      <b val="1"/>
      <color rgb="FF000000"/>
      <sz val="10"/>
    </font>
    <font>
      <name val="KoPub돋움체 Medium"/>
      <charset val="129"/>
      <family val="3"/>
      <b val="1"/>
      <color theme="1"/>
      <sz val="10"/>
    </font>
    <font>
      <name val="KoPub돋움체 Medium"/>
      <charset val="129"/>
      <family val="1"/>
      <color rgb="FF000000"/>
      <sz val="10"/>
    </font>
    <font>
      <name val="KoPub돋움체 Medium"/>
      <charset val="129"/>
      <family val="3"/>
      <sz val="10"/>
    </font>
    <font>
      <name val="바탕"/>
      <charset val="129"/>
      <family val="1"/>
      <sz val="8"/>
    </font>
    <font>
      <name val="KoPub돋움체 Medium"/>
      <charset val="129"/>
      <family val="3"/>
      <color rgb="FF000000"/>
      <sz val="10"/>
    </font>
    <font>
      <name val="KoPub돋움체 Medium"/>
      <charset val="129"/>
      <family val="3"/>
      <b val="1"/>
      <color rgb="FF000000"/>
      <sz val="10"/>
    </font>
    <font>
      <name val="돋움체"/>
      <charset val="129"/>
      <family val="3"/>
      <b val="1"/>
      <color indexed="81"/>
      <sz val="9"/>
    </font>
    <font>
      <name val="돋움체"/>
      <charset val="129"/>
      <family val="3"/>
      <color indexed="81"/>
      <sz val="9"/>
    </font>
    <font>
      <name val="맑은 고딕"/>
      <charset val="129"/>
      <family val="3"/>
      <color rgb="FF000000"/>
      <sz val="10"/>
    </font>
    <font>
      <name val="Noto Sans CJK SC"/>
      <charset val="1"/>
      <family val="2"/>
      <color rgb="FF000000"/>
      <sz val="10"/>
    </font>
    <font>
      <name val="맑은 고딕"/>
      <charset val="1"/>
      <family val="2"/>
      <color rgb="FF000000"/>
      <sz val="10"/>
      <scheme val="minor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color theme="1"/>
      <sz val="10"/>
      <scheme val="minor"/>
    </font>
    <font>
      <name val="KoPub돋움체 Medium"/>
      <color rgb="FF808080"/>
      <sz val="10"/>
    </font>
    <font>
      <name val="KoPub돋움체 Medium"/>
      <b val="1"/>
      <sz val="11"/>
    </font>
    <font>
      <name val="KoPub돋움체 Medium"/>
      <color rgb="FF595959"/>
      <sz val="9"/>
    </font>
    <font>
      <name val="KoPub돋움체 Medium"/>
      <b val="1"/>
      <sz val="10"/>
    </font>
    <font>
      <name val="KoPub돋움체 Medium"/>
      <sz val="10"/>
    </font>
  </fonts>
  <fills count="2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053F6F"/>
        <bgColor indexed="64"/>
      </patternFill>
    </fill>
    <fill>
      <patternFill patternType="solid">
        <fgColor rgb="FFE3E8ED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CBCC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7E6E6"/>
      </patternFill>
    </fill>
    <fill>
      <patternFill patternType="solid">
        <fgColor rgb="FFFFFFCC"/>
      </patternFill>
    </fill>
  </fills>
  <borders count="10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hair">
        <color auto="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2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11" fillId="0" borderId="0" applyAlignment="1">
      <alignment vertical="center"/>
    </xf>
    <xf numFmtId="9" fontId="6" fillId="0" borderId="0" applyAlignment="1">
      <alignment vertical="center"/>
    </xf>
    <xf numFmtId="41" fontId="44" fillId="0" borderId="0" applyAlignment="1">
      <alignment vertical="center"/>
    </xf>
    <xf numFmtId="41" fontId="1" fillId="0" borderId="0" applyAlignment="1">
      <alignment vertical="center"/>
    </xf>
    <xf numFmtId="0" fontId="1" fillId="0" borderId="0" applyAlignment="1">
      <alignment vertical="center"/>
    </xf>
    <xf numFmtId="172" fontId="57" fillId="0" borderId="0" applyAlignment="1">
      <alignment vertical="center"/>
    </xf>
    <xf numFmtId="9" fontId="1" fillId="0" borderId="0" applyAlignment="1">
      <alignment vertical="center"/>
    </xf>
  </cellStyleXfs>
  <cellXfs count="458">
    <xf numFmtId="0" fontId="0" fillId="0" borderId="0" applyAlignment="1" pivotButton="0" quotePrefix="0" xfId="0">
      <alignment vertical="center"/>
    </xf>
    <xf numFmtId="0" fontId="7" fillId="0" borderId="0" applyAlignment="1" pivotButton="0" quotePrefix="0" xfId="3">
      <alignment vertical="center"/>
    </xf>
    <xf numFmtId="164" fontId="7" fillId="0" borderId="0" applyAlignment="1" pivotButton="0" quotePrefix="0" xfId="4">
      <alignment vertical="center"/>
    </xf>
    <xf numFmtId="0" fontId="7" fillId="2" borderId="21" applyAlignment="1" pivotButton="0" quotePrefix="0" xfId="3">
      <alignment horizontal="center" vertical="center"/>
    </xf>
    <xf numFmtId="0" fontId="7" fillId="2" borderId="22" applyAlignment="1" pivotButton="0" quotePrefix="0" xfId="3">
      <alignment horizontal="center" vertical="center"/>
    </xf>
    <xf numFmtId="0" fontId="7" fillId="3" borderId="21" applyAlignment="1" pivotButton="0" quotePrefix="0" xfId="3">
      <alignment horizontal="center" vertical="center"/>
    </xf>
    <xf numFmtId="0" fontId="7" fillId="3" borderId="22" applyAlignment="1" pivotButton="0" quotePrefix="0" xfId="3">
      <alignment horizontal="center" vertical="center"/>
    </xf>
    <xf numFmtId="0" fontId="7" fillId="2" borderId="23" applyAlignment="1" pivotButton="0" quotePrefix="0" xfId="3">
      <alignment horizontal="center" vertical="center"/>
    </xf>
    <xf numFmtId="0" fontId="7" fillId="2" borderId="24" applyAlignment="1" pivotButton="0" quotePrefix="0" xfId="3">
      <alignment horizontal="center" vertical="center"/>
    </xf>
    <xf numFmtId="0" fontId="7" fillId="2" borderId="28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0" fontId="7" fillId="2" borderId="20" applyAlignment="1" pivotButton="0" quotePrefix="0" xfId="3">
      <alignment horizontal="center" vertical="center"/>
    </xf>
    <xf numFmtId="0" fontId="7" fillId="2" borderId="30" applyAlignment="1" pivotButton="0" quotePrefix="0" xfId="3">
      <alignment horizontal="center" vertical="center"/>
    </xf>
    <xf numFmtId="0" fontId="7" fillId="3" borderId="28" applyAlignment="1" pivotButton="0" quotePrefix="0" xfId="3">
      <alignment horizontal="center" vertical="center"/>
    </xf>
    <xf numFmtId="0" fontId="7" fillId="3" borderId="19" applyAlignment="1" pivotButton="0" quotePrefix="0" xfId="3">
      <alignment horizontal="center" vertical="center"/>
    </xf>
    <xf numFmtId="0" fontId="7" fillId="3" borderId="29" applyAlignment="1" pivotButton="0" quotePrefix="0" xfId="3">
      <alignment horizontal="center" vertical="center"/>
    </xf>
    <xf numFmtId="0" fontId="7" fillId="3" borderId="20" applyAlignment="1" pivotButton="0" quotePrefix="0" xfId="3">
      <alignment horizontal="center" vertical="center"/>
    </xf>
    <xf numFmtId="0" fontId="7" fillId="3" borderId="30" applyAlignment="1" pivotButton="0" quotePrefix="0" xfId="3">
      <alignment horizontal="center" vertical="center"/>
    </xf>
    <xf numFmtId="0" fontId="9" fillId="0" borderId="23" applyAlignment="1" pivotButton="0" quotePrefix="0" xfId="3">
      <alignment vertical="center"/>
    </xf>
    <xf numFmtId="0" fontId="9" fillId="0" borderId="31" applyAlignment="1" pivotButton="0" quotePrefix="0" xfId="3">
      <alignment vertical="center"/>
    </xf>
    <xf numFmtId="0" fontId="12" fillId="0" borderId="0" applyAlignment="1" pivotButton="0" quotePrefix="0" xfId="5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9" fillId="0" borderId="24" applyAlignment="1" pivotButton="0" quotePrefix="0" xfId="3">
      <alignment horizontal="center" vertical="center"/>
    </xf>
    <xf numFmtId="0" fontId="7" fillId="0" borderId="22" applyAlignment="1" pivotButton="0" quotePrefix="0" xfId="3">
      <alignment vertical="center"/>
    </xf>
    <xf numFmtId="164" fontId="7" fillId="4" borderId="28" applyAlignment="1" pivotButton="0" quotePrefix="0" xfId="4">
      <alignment vertical="center"/>
    </xf>
    <xf numFmtId="10" fontId="7" fillId="4" borderId="19" applyAlignment="1" pivotButton="0" quotePrefix="0" xfId="6">
      <alignment vertical="center"/>
    </xf>
    <xf numFmtId="164" fontId="7" fillId="0" borderId="29" applyAlignment="1" pivotButton="0" quotePrefix="0" xfId="4">
      <alignment vertical="center"/>
    </xf>
    <xf numFmtId="10" fontId="7" fillId="0" borderId="29" applyAlignment="1" pivotButton="0" quotePrefix="0" xfId="6">
      <alignment vertical="center"/>
    </xf>
    <xf numFmtId="10" fontId="7" fillId="0" borderId="20" applyAlignment="1" pivotButton="0" quotePrefix="0" xfId="6">
      <alignment vertical="center"/>
    </xf>
    <xf numFmtId="164" fontId="7" fillId="4" borderId="20" applyAlignment="1" pivotButton="0" quotePrefix="0" xfId="4">
      <alignment vertical="center"/>
    </xf>
    <xf numFmtId="164" fontId="14" fillId="5" borderId="30" applyAlignment="1" pivotButton="0" quotePrefix="0" xfId="4">
      <alignment vertical="center"/>
    </xf>
    <xf numFmtId="0" fontId="9" fillId="6" borderId="28" applyAlignment="1" pivotButton="0" quotePrefix="0" xfId="3">
      <alignment vertical="center"/>
    </xf>
    <xf numFmtId="0" fontId="9" fillId="6" borderId="19" applyAlignment="1" pivotButton="0" quotePrefix="0" xfId="3">
      <alignment vertical="center"/>
    </xf>
    <xf numFmtId="0" fontId="12" fillId="6" borderId="0" applyAlignment="1" pivotButton="0" quotePrefix="0" xfId="5">
      <alignment horizontal="center" vertical="center"/>
    </xf>
    <xf numFmtId="0" fontId="13" fillId="6" borderId="0" applyAlignment="1" pivotButton="0" quotePrefix="0" xfId="1">
      <alignment horizontal="center" vertical="center"/>
    </xf>
    <xf numFmtId="0" fontId="9" fillId="6" borderId="29" applyAlignment="1" pivotButton="0" quotePrefix="0" xfId="3">
      <alignment horizontal="center" vertical="center"/>
    </xf>
    <xf numFmtId="0" fontId="7" fillId="6" borderId="30" applyAlignment="1" pivotButton="0" quotePrefix="0" xfId="3">
      <alignment vertical="center"/>
    </xf>
    <xf numFmtId="0" fontId="7" fillId="6" borderId="0" applyAlignment="1" pivotButton="0" quotePrefix="0" xfId="3">
      <alignment vertical="center"/>
    </xf>
    <xf numFmtId="164" fontId="7" fillId="6" borderId="28" applyAlignment="1" pivotButton="0" quotePrefix="0" xfId="4">
      <alignment vertical="center"/>
    </xf>
    <xf numFmtId="10" fontId="7" fillId="6" borderId="19" applyAlignment="1" pivotButton="0" quotePrefix="0" xfId="6">
      <alignment vertical="center"/>
    </xf>
    <xf numFmtId="164" fontId="7" fillId="6" borderId="29" applyAlignment="1" pivotButton="0" quotePrefix="0" xfId="4">
      <alignment vertical="center"/>
    </xf>
    <xf numFmtId="10" fontId="7" fillId="6" borderId="29" applyAlignment="1" pivotButton="0" quotePrefix="0" xfId="6">
      <alignment vertical="center"/>
    </xf>
    <xf numFmtId="10" fontId="7" fillId="6" borderId="20" applyAlignment="1" pivotButton="0" quotePrefix="0" xfId="6">
      <alignment vertical="center"/>
    </xf>
    <xf numFmtId="164" fontId="7" fillId="6" borderId="20" applyAlignment="1" pivotButton="0" quotePrefix="0" xfId="4">
      <alignment vertical="center"/>
    </xf>
    <xf numFmtId="164" fontId="14" fillId="6" borderId="30" applyAlignment="1" pivotButton="0" quotePrefix="0" xfId="4">
      <alignment vertical="center"/>
    </xf>
    <xf numFmtId="0" fontId="9" fillId="0" borderId="28" applyAlignment="1" pivotButton="0" quotePrefix="0" xfId="3">
      <alignment vertical="center"/>
    </xf>
    <xf numFmtId="0" fontId="9" fillId="0" borderId="19" applyAlignment="1" pivotButton="0" quotePrefix="0" xfId="3">
      <alignment vertical="center"/>
    </xf>
    <xf numFmtId="0" fontId="15" fillId="0" borderId="29" applyAlignment="1" pivotButton="0" quotePrefix="0" xfId="5">
      <alignment horizontal="center" vertical="center"/>
    </xf>
    <xf numFmtId="0" fontId="13" fillId="0" borderId="29" applyAlignment="1" pivotButton="0" quotePrefix="0" xfId="1">
      <alignment horizontal="center" vertical="center"/>
    </xf>
    <xf numFmtId="0" fontId="9" fillId="0" borderId="29" applyAlignment="1" pivotButton="0" quotePrefix="0" xfId="3">
      <alignment horizontal="center" vertical="center"/>
    </xf>
    <xf numFmtId="0" fontId="7" fillId="0" borderId="30" applyAlignment="1" pivotButton="0" quotePrefix="0" xfId="3">
      <alignment vertical="center"/>
    </xf>
    <xf numFmtId="0" fontId="9" fillId="3" borderId="28" applyAlignment="1" pivotButton="0" quotePrefix="0" xfId="3">
      <alignment vertical="center"/>
    </xf>
    <xf numFmtId="0" fontId="9" fillId="3" borderId="19" applyAlignment="1" pivotButton="0" quotePrefix="0" xfId="3">
      <alignment vertical="center"/>
    </xf>
    <xf numFmtId="0" fontId="15" fillId="3" borderId="29" applyAlignment="1" pivotButton="0" quotePrefix="0" xfId="5">
      <alignment horizontal="center" vertical="center"/>
    </xf>
    <xf numFmtId="0" fontId="13" fillId="3" borderId="29" applyAlignment="1" pivotButton="0" quotePrefix="0" xfId="1">
      <alignment horizontal="center" vertical="center"/>
    </xf>
    <xf numFmtId="0" fontId="9" fillId="3" borderId="29" applyAlignment="1" pivotButton="0" quotePrefix="0" xfId="3">
      <alignment horizontal="center" vertical="center"/>
    </xf>
    <xf numFmtId="0" fontId="7" fillId="3" borderId="30" applyAlignment="1" pivotButton="0" quotePrefix="0" xfId="3">
      <alignment vertical="center"/>
    </xf>
    <xf numFmtId="0" fontId="7" fillId="3" borderId="0" applyAlignment="1" pivotButton="0" quotePrefix="0" xfId="3">
      <alignment vertical="center"/>
    </xf>
    <xf numFmtId="164" fontId="7" fillId="3" borderId="28" applyAlignment="1" pivotButton="0" quotePrefix="0" xfId="4">
      <alignment vertical="center"/>
    </xf>
    <xf numFmtId="10" fontId="7" fillId="3" borderId="19" applyAlignment="1" pivotButton="0" quotePrefix="0" xfId="6">
      <alignment vertical="center"/>
    </xf>
    <xf numFmtId="164" fontId="7" fillId="3" borderId="29" applyAlignment="1" pivotButton="0" quotePrefix="0" xfId="4">
      <alignment vertical="center"/>
    </xf>
    <xf numFmtId="10" fontId="7" fillId="3" borderId="29" applyAlignment="1" pivotButton="0" quotePrefix="0" xfId="6">
      <alignment vertical="center"/>
    </xf>
    <xf numFmtId="10" fontId="7" fillId="3" borderId="20" applyAlignment="1" pivotButton="0" quotePrefix="0" xfId="6">
      <alignment vertical="center"/>
    </xf>
    <xf numFmtId="164" fontId="7" fillId="3" borderId="20" applyAlignment="1" pivotButton="0" quotePrefix="0" xfId="4">
      <alignment vertical="center"/>
    </xf>
    <xf numFmtId="164" fontId="14" fillId="3" borderId="30" applyAlignment="1" pivotButton="0" quotePrefix="0" xfId="4">
      <alignment vertical="center"/>
    </xf>
    <xf numFmtId="164" fontId="7" fillId="0" borderId="0" applyAlignment="1" pivotButton="0" quotePrefix="0" xfId="1">
      <alignment vertical="center"/>
    </xf>
    <xf numFmtId="0" fontId="15" fillId="6" borderId="29" applyAlignment="1" pivotButton="0" quotePrefix="0" xfId="5">
      <alignment horizontal="center" vertical="center"/>
    </xf>
    <xf numFmtId="0" fontId="13" fillId="6" borderId="29" applyAlignment="1" pivotButton="0" quotePrefix="0" xfId="1">
      <alignment horizontal="center" vertical="center"/>
    </xf>
    <xf numFmtId="0" fontId="9" fillId="3" borderId="30" applyAlignment="1" pivotButton="0" quotePrefix="0" xfId="3">
      <alignment vertical="center"/>
    </xf>
    <xf numFmtId="0" fontId="9" fillId="3" borderId="0" applyAlignment="1" pivotButton="0" quotePrefix="0" xfId="3">
      <alignment vertical="center"/>
    </xf>
    <xf numFmtId="164" fontId="9" fillId="3" borderId="28" applyAlignment="1" pivotButton="0" quotePrefix="0" xfId="4">
      <alignment vertical="center"/>
    </xf>
    <xf numFmtId="164" fontId="9" fillId="3" borderId="29" applyAlignment="1" pivotButton="0" quotePrefix="0" xfId="4">
      <alignment vertical="center"/>
    </xf>
    <xf numFmtId="164" fontId="9" fillId="3" borderId="20" applyAlignment="1" pivotButton="0" quotePrefix="0" xfId="4">
      <alignment vertical="center"/>
    </xf>
    <xf numFmtId="0" fontId="9" fillId="0" borderId="30" applyAlignment="1" pivotButton="0" quotePrefix="0" xfId="3">
      <alignment vertical="center"/>
    </xf>
    <xf numFmtId="0" fontId="9" fillId="0" borderId="0" applyAlignment="1" pivotButton="0" quotePrefix="0" xfId="3">
      <alignment vertical="center"/>
    </xf>
    <xf numFmtId="164" fontId="9" fillId="4" borderId="28" applyAlignment="1" pivotButton="0" quotePrefix="0" xfId="4">
      <alignment vertical="center"/>
    </xf>
    <xf numFmtId="164" fontId="9" fillId="0" borderId="29" applyAlignment="1" pivotButton="0" quotePrefix="0" xfId="4">
      <alignment vertical="center"/>
    </xf>
    <xf numFmtId="164" fontId="9" fillId="4" borderId="20" applyAlignment="1" pivotButton="0" quotePrefix="0" xfId="4">
      <alignment vertical="center"/>
    </xf>
    <xf numFmtId="0" fontId="9" fillId="6" borderId="30" applyAlignment="1" pivotButton="0" quotePrefix="0" xfId="3">
      <alignment vertical="center"/>
    </xf>
    <xf numFmtId="0" fontId="9" fillId="6" borderId="0" applyAlignment="1" pivotButton="0" quotePrefix="0" xfId="3">
      <alignment vertical="center"/>
    </xf>
    <xf numFmtId="0" fontId="15" fillId="0" borderId="29" applyAlignment="1" pivotButton="0" quotePrefix="0" xfId="5">
      <alignment horizontal="center" vertical="center"/>
    </xf>
    <xf numFmtId="0" fontId="13" fillId="0" borderId="29" applyAlignment="1" pivotButton="0" quotePrefix="0" xfId="1">
      <alignment horizontal="center" vertical="center"/>
    </xf>
    <xf numFmtId="165" fontId="7" fillId="0" borderId="0" applyAlignment="1" pivotButton="0" quotePrefix="0" xfId="3">
      <alignment vertical="center"/>
    </xf>
    <xf numFmtId="43" fontId="7" fillId="0" borderId="0" applyAlignment="1" pivotButton="0" quotePrefix="0" xfId="3">
      <alignment vertical="center"/>
    </xf>
    <xf numFmtId="164" fontId="7" fillId="3" borderId="32" applyAlignment="1" pivotButton="0" quotePrefix="0" xfId="4">
      <alignment vertical="center"/>
    </xf>
    <xf numFmtId="10" fontId="7" fillId="3" borderId="33" applyAlignment="1" pivotButton="0" quotePrefix="0" xfId="6">
      <alignment vertical="center"/>
    </xf>
    <xf numFmtId="164" fontId="7" fillId="3" borderId="34" applyAlignment="1" pivotButton="0" quotePrefix="0" xfId="4">
      <alignment vertical="center"/>
    </xf>
    <xf numFmtId="10" fontId="7" fillId="3" borderId="34" applyAlignment="1" pivotButton="0" quotePrefix="0" xfId="6">
      <alignment vertical="center"/>
    </xf>
    <xf numFmtId="10" fontId="7" fillId="3" borderId="35" applyAlignment="1" pivotButton="0" quotePrefix="0" xfId="6">
      <alignment vertical="center"/>
    </xf>
    <xf numFmtId="164" fontId="7" fillId="3" borderId="35" applyAlignment="1" pivotButton="0" quotePrefix="0" xfId="4">
      <alignment vertical="center"/>
    </xf>
    <xf numFmtId="164" fontId="14" fillId="3" borderId="36" applyAlignment="1" pivotButton="0" quotePrefix="0" xfId="4">
      <alignment vertical="center"/>
    </xf>
    <xf numFmtId="166" fontId="14" fillId="5" borderId="37" applyAlignment="1" pivotButton="0" quotePrefix="0" xfId="3">
      <alignment vertical="center"/>
    </xf>
    <xf numFmtId="166" fontId="14" fillId="5" borderId="38" applyAlignment="1" pivotButton="0" quotePrefix="0" xfId="3">
      <alignment vertical="center"/>
    </xf>
    <xf numFmtId="166" fontId="14" fillId="5" borderId="38" applyAlignment="1" pivotButton="0" quotePrefix="0" xfId="3">
      <alignment horizontal="center" vertical="center"/>
    </xf>
    <xf numFmtId="166" fontId="14" fillId="5" borderId="39" applyAlignment="1" pivotButton="0" quotePrefix="0" xfId="3">
      <alignment vertical="center"/>
    </xf>
    <xf numFmtId="9" fontId="14" fillId="5" borderId="41" applyAlignment="1" pivotButton="0" quotePrefix="0" xfId="6">
      <alignment vertical="center"/>
    </xf>
    <xf numFmtId="164" fontId="14" fillId="5" borderId="40" applyAlignment="1" pivotButton="0" quotePrefix="0" xfId="3">
      <alignment vertical="center"/>
    </xf>
    <xf numFmtId="164" fontId="14" fillId="5" borderId="41" applyAlignment="1" pivotButton="0" quotePrefix="0" xfId="3">
      <alignment vertical="center"/>
    </xf>
    <xf numFmtId="164" fontId="14" fillId="4" borderId="43" applyAlignment="1" pivotButton="0" quotePrefix="0" xfId="4">
      <alignment vertical="center"/>
    </xf>
    <xf numFmtId="164" fontId="14" fillId="5" borderId="44" applyAlignment="1" pivotButton="0" quotePrefix="0" xfId="4">
      <alignment vertical="center"/>
    </xf>
    <xf numFmtId="41" fontId="14" fillId="5" borderId="45" applyAlignment="1" pivotButton="0" quotePrefix="0" xfId="3">
      <alignment vertical="center"/>
    </xf>
    <xf numFmtId="41" fontId="14" fillId="5" borderId="46" applyAlignment="1" pivotButton="0" quotePrefix="0" xfId="3">
      <alignment vertical="center"/>
    </xf>
    <xf numFmtId="164" fontId="14" fillId="5" borderId="47" applyAlignment="1" pivotButton="0" quotePrefix="0" xfId="4">
      <alignment vertical="center"/>
    </xf>
    <xf numFmtId="41" fontId="7" fillId="0" borderId="0" applyAlignment="1" pivotButton="0" quotePrefix="0" xfId="3">
      <alignment vertical="center"/>
    </xf>
    <xf numFmtId="0" fontId="16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justify" vertical="center"/>
    </xf>
    <xf numFmtId="0" fontId="23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justify" vertical="center"/>
    </xf>
    <xf numFmtId="0" fontId="21" fillId="0" borderId="0" applyAlignment="1" pivotButton="0" quotePrefix="0" xfId="0">
      <alignment horizontal="justify" vertical="center"/>
    </xf>
    <xf numFmtId="0" fontId="26" fillId="0" borderId="0" applyAlignment="1" pivotButton="0" quotePrefix="0" xfId="0">
      <alignment horizontal="justify" vertical="center"/>
    </xf>
    <xf numFmtId="0" fontId="27" fillId="7" borderId="51" applyAlignment="1" pivotButton="0" quotePrefix="0" xfId="0">
      <alignment horizontal="center" vertical="center"/>
    </xf>
    <xf numFmtId="0" fontId="27" fillId="7" borderId="42" applyAlignment="1" pivotButton="0" quotePrefix="0" xfId="0">
      <alignment horizontal="center" vertical="center"/>
    </xf>
    <xf numFmtId="0" fontId="29" fillId="0" borderId="52" applyAlignment="1" pivotButton="0" quotePrefix="0" xfId="0">
      <alignment horizontal="center" vertical="center"/>
    </xf>
    <xf numFmtId="3" fontId="30" fillId="0" borderId="53" applyAlignment="1" pivotButton="0" quotePrefix="0" xfId="0">
      <alignment horizontal="right" vertical="center"/>
    </xf>
    <xf numFmtId="10" fontId="26" fillId="0" borderId="53" applyAlignment="1" pivotButton="0" quotePrefix="0" xfId="0">
      <alignment horizontal="right" vertical="center"/>
    </xf>
    <xf numFmtId="0" fontId="31" fillId="0" borderId="53" applyAlignment="1" pivotButton="0" quotePrefix="0" xfId="0">
      <alignment horizontal="right" vertical="center"/>
    </xf>
    <xf numFmtId="0" fontId="29" fillId="7" borderId="52" applyAlignment="1" pivotButton="0" quotePrefix="0" xfId="0">
      <alignment horizontal="center" vertical="center"/>
    </xf>
    <xf numFmtId="3" fontId="30" fillId="7" borderId="53" applyAlignment="1" pivotButton="0" quotePrefix="0" xfId="0">
      <alignment horizontal="right" vertical="center"/>
    </xf>
    <xf numFmtId="0" fontId="30" fillId="7" borderId="53" applyAlignment="1" pivotButton="0" quotePrefix="0" xfId="0">
      <alignment horizontal="right" vertical="center"/>
    </xf>
    <xf numFmtId="0" fontId="32" fillId="0" borderId="0" applyAlignment="1" pivotButton="0" quotePrefix="0" xfId="0">
      <alignment horizontal="justify" vertical="center"/>
    </xf>
    <xf numFmtId="10" fontId="30" fillId="0" borderId="53" applyAlignment="1" pivotButton="0" quotePrefix="0" xfId="0">
      <alignment horizontal="right" vertical="center"/>
    </xf>
    <xf numFmtId="0" fontId="36" fillId="0" borderId="53" applyAlignment="1" pivotButton="0" quotePrefix="0" xfId="0">
      <alignment horizontal="right" vertical="center"/>
    </xf>
    <xf numFmtId="0" fontId="37" fillId="0" borderId="0" applyAlignment="1" pivotButton="0" quotePrefix="0" xfId="0">
      <alignment horizontal="center" vertical="center"/>
    </xf>
    <xf numFmtId="0" fontId="37" fillId="0" borderId="0" applyAlignment="1" applyProtection="1" pivotButton="0" quotePrefix="0" xfId="0">
      <alignment horizontal="center" vertical="center"/>
      <protection locked="0" hidden="0"/>
    </xf>
    <xf numFmtId="0" fontId="39" fillId="8" borderId="54" applyAlignment="1" applyProtection="1" pivotButton="0" quotePrefix="0" xfId="0">
      <alignment horizontal="center" vertical="center"/>
      <protection locked="0" hidden="0"/>
    </xf>
    <xf numFmtId="0" fontId="39" fillId="8" borderId="55" applyAlignment="1" applyProtection="1" pivotButton="0" quotePrefix="0" xfId="0">
      <alignment horizontal="center" vertical="center"/>
      <protection locked="0" hidden="0"/>
    </xf>
    <xf numFmtId="0" fontId="39" fillId="8" borderId="55" applyAlignment="1" applyProtection="1" pivotButton="0" quotePrefix="0" xfId="0">
      <alignment horizontal="center" vertical="center" wrapText="1"/>
      <protection locked="0" hidden="0"/>
    </xf>
    <xf numFmtId="0" fontId="39" fillId="8" borderId="56" applyAlignment="1" applyProtection="1" pivotButton="0" quotePrefix="0" xfId="0">
      <alignment horizontal="center" vertical="center"/>
      <protection locked="0" hidden="0"/>
    </xf>
    <xf numFmtId="0" fontId="16" fillId="0" borderId="0" applyAlignment="1" applyProtection="1" pivotButton="0" quotePrefix="0" xfId="0">
      <alignment vertical="center"/>
      <protection locked="0" hidden="0"/>
    </xf>
    <xf numFmtId="0" fontId="40" fillId="9" borderId="54" applyAlignment="1" pivotButton="0" quotePrefix="0" xfId="0">
      <alignment horizontal="center" vertical="center"/>
    </xf>
    <xf numFmtId="0" fontId="40" fillId="10" borderId="55" applyAlignment="1" pivotButton="0" quotePrefix="0" xfId="0">
      <alignment horizontal="center" vertical="center"/>
    </xf>
    <xf numFmtId="167" fontId="40" fillId="10" borderId="55" applyAlignment="1" pivotButton="0" quotePrefix="0" xfId="0">
      <alignment horizontal="center" vertical="center"/>
    </xf>
    <xf numFmtId="168" fontId="40" fillId="10" borderId="55" applyAlignment="1" pivotButton="0" quotePrefix="0" xfId="0">
      <alignment horizontal="center" vertical="center"/>
    </xf>
    <xf numFmtId="164" fontId="40" fillId="10" borderId="56" applyAlignment="1" pivotButton="0" quotePrefix="0" xfId="1">
      <alignment horizontal="center" vertical="center"/>
    </xf>
    <xf numFmtId="164" fontId="40" fillId="10" borderId="56" applyAlignment="1" pivotButton="0" quotePrefix="0" xfId="1">
      <alignment vertical="center"/>
    </xf>
    <xf numFmtId="164" fontId="16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164" fontId="41" fillId="0" borderId="0" applyAlignment="1" pivotButton="0" quotePrefix="0" xfId="1">
      <alignment vertical="center"/>
    </xf>
    <xf numFmtId="164" fontId="39" fillId="8" borderId="55" applyAlignment="1" pivotButton="0" quotePrefix="0" xfId="0">
      <alignment vertical="center"/>
    </xf>
    <xf numFmtId="164" fontId="39" fillId="8" borderId="56" applyAlignment="1" pivotButton="0" quotePrefix="0" xfId="0">
      <alignment horizontal="center" vertical="center"/>
    </xf>
    <xf numFmtId="164" fontId="39" fillId="8" borderId="56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vertical="center"/>
    </xf>
    <xf numFmtId="164" fontId="16" fillId="0" borderId="0" applyAlignment="1" pivotButton="0" quotePrefix="0" xfId="1">
      <alignment vertical="center"/>
    </xf>
    <xf numFmtId="0" fontId="16" fillId="3" borderId="0" applyAlignment="1" pivotButton="0" quotePrefix="0" xfId="0">
      <alignment horizontal="center" vertical="center"/>
    </xf>
    <xf numFmtId="0" fontId="29" fillId="0" borderId="53" applyAlignment="1" pivotButton="0" quotePrefix="0" xfId="0">
      <alignment horizontal="center" vertical="center"/>
    </xf>
    <xf numFmtId="0" fontId="29" fillId="7" borderId="53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17" fillId="7" borderId="4" applyAlignment="1" pivotButton="0" quotePrefix="0" xfId="0">
      <alignment horizontal="center" vertical="center"/>
    </xf>
    <xf numFmtId="164" fontId="18" fillId="0" borderId="4" applyAlignment="1" pivotButton="0" quotePrefix="0" xfId="1">
      <alignment horizontal="right" vertical="center"/>
    </xf>
    <xf numFmtId="169" fontId="18" fillId="0" borderId="4" applyAlignment="1" pivotButton="0" quotePrefix="0" xfId="2">
      <alignment horizontal="center" vertical="center"/>
    </xf>
    <xf numFmtId="0" fontId="18" fillId="7" borderId="4" applyAlignment="1" pivotButton="0" quotePrefix="0" xfId="0">
      <alignment horizontal="center" vertical="center"/>
    </xf>
    <xf numFmtId="164" fontId="18" fillId="7" borderId="4" applyAlignment="1" pivotButton="0" quotePrefix="0" xfId="1">
      <alignment horizontal="center" vertical="center"/>
    </xf>
    <xf numFmtId="0" fontId="1" fillId="0" borderId="0" applyAlignment="1" pivotButton="0" quotePrefix="0" xfId="9">
      <alignment vertical="center"/>
    </xf>
    <xf numFmtId="41" fontId="45" fillId="11" borderId="57" applyAlignment="1" pivotButton="0" quotePrefix="0" xfId="9">
      <alignment horizontal="right" vertical="center"/>
    </xf>
    <xf numFmtId="41" fontId="45" fillId="11" borderId="57" applyAlignment="1" pivotButton="0" quotePrefix="0" xfId="8">
      <alignment horizontal="right" vertical="center"/>
    </xf>
    <xf numFmtId="41" fontId="45" fillId="11" borderId="58" applyAlignment="1" pivotButton="0" quotePrefix="0" xfId="8">
      <alignment horizontal="right" vertical="center"/>
    </xf>
    <xf numFmtId="164" fontId="45" fillId="11" borderId="57" applyAlignment="1" pivotButton="0" quotePrefix="0" xfId="8">
      <alignment horizontal="center" vertical="center"/>
    </xf>
    <xf numFmtId="164" fontId="46" fillId="11" borderId="2" applyAlignment="1" pivotButton="0" quotePrefix="0" xfId="8">
      <alignment vertical="center"/>
    </xf>
    <xf numFmtId="164" fontId="46" fillId="11" borderId="4" applyAlignment="1" pivotButton="0" quotePrefix="0" xfId="8">
      <alignment vertical="center"/>
    </xf>
    <xf numFmtId="41" fontId="45" fillId="11" borderId="57" applyAlignment="1" pivotButton="0" quotePrefix="0" xfId="9">
      <alignment horizontal="center" vertical="center"/>
    </xf>
    <xf numFmtId="41" fontId="47" fillId="12" borderId="57" applyAlignment="1" pivotButton="0" quotePrefix="0" xfId="9">
      <alignment horizontal="right" vertical="center"/>
    </xf>
    <xf numFmtId="41" fontId="47" fillId="12" borderId="57" applyAlignment="1" pivotButton="0" quotePrefix="0" xfId="8">
      <alignment horizontal="right" vertical="center"/>
    </xf>
    <xf numFmtId="41" fontId="47" fillId="12" borderId="58" applyAlignment="1" pivotButton="0" quotePrefix="0" xfId="8">
      <alignment horizontal="right" vertical="center"/>
    </xf>
    <xf numFmtId="164" fontId="48" fillId="0" borderId="4" applyAlignment="1" pivotButton="0" quotePrefix="0" xfId="8">
      <alignment horizontal="right" vertical="center"/>
    </xf>
    <xf numFmtId="164" fontId="47" fillId="12" borderId="57" applyAlignment="1" pivotButton="0" quotePrefix="0" xfId="8">
      <alignment horizontal="center" vertical="center"/>
    </xf>
    <xf numFmtId="164" fontId="48" fillId="0" borderId="2" applyAlignment="1" pivotButton="0" quotePrefix="0" xfId="8">
      <alignment horizontal="right" vertical="center"/>
    </xf>
    <xf numFmtId="164" fontId="50" fillId="0" borderId="4" applyAlignment="1" pivotButton="0" quotePrefix="0" xfId="8">
      <alignment horizontal="right" vertical="center"/>
    </xf>
    <xf numFmtId="164" fontId="50" fillId="0" borderId="4" applyAlignment="1" pivotButton="0" quotePrefix="0" xfId="9">
      <alignment horizontal="justify" vertical="center"/>
    </xf>
    <xf numFmtId="0" fontId="50" fillId="0" borderId="4" applyAlignment="1" pivotButton="0" quotePrefix="0" xfId="9">
      <alignment horizontal="center" vertical="center"/>
    </xf>
    <xf numFmtId="0" fontId="50" fillId="0" borderId="4" applyAlignment="1" pivotButton="0" quotePrefix="0" xfId="9">
      <alignment horizontal="center" vertical="center" wrapText="1"/>
    </xf>
    <xf numFmtId="0" fontId="45" fillId="11" borderId="57" applyAlignment="1" pivotButton="0" quotePrefix="0" xfId="9">
      <alignment vertical="center"/>
    </xf>
    <xf numFmtId="0" fontId="45" fillId="11" borderId="57" applyAlignment="1" pivotButton="0" quotePrefix="0" xfId="9">
      <alignment horizontal="center" vertical="center"/>
    </xf>
    <xf numFmtId="164" fontId="48" fillId="0" borderId="4" applyAlignment="1" pivotButton="0" quotePrefix="0" xfId="8">
      <alignment horizontal="right" vertical="center"/>
    </xf>
    <xf numFmtId="164" fontId="48" fillId="0" borderId="2" applyAlignment="1" pivotButton="0" quotePrefix="0" xfId="8">
      <alignment horizontal="right" vertical="center"/>
    </xf>
    <xf numFmtId="164" fontId="50" fillId="0" borderId="4" applyAlignment="1" pivotButton="0" quotePrefix="0" xfId="8">
      <alignment horizontal="right" vertical="center"/>
    </xf>
    <xf numFmtId="0" fontId="45" fillId="13" borderId="57" applyAlignment="1" pivotButton="0" quotePrefix="0" xfId="9">
      <alignment horizontal="center" vertical="center"/>
    </xf>
    <xf numFmtId="0" fontId="45" fillId="13" borderId="57" applyAlignment="1" pivotButton="0" quotePrefix="0" xfId="9">
      <alignment horizontal="center" vertical="center" wrapText="1"/>
    </xf>
    <xf numFmtId="0" fontId="45" fillId="13" borderId="58" applyAlignment="1" pivotButton="0" quotePrefix="0" xfId="9">
      <alignment horizontal="center" vertical="center"/>
    </xf>
    <xf numFmtId="0" fontId="50" fillId="0" borderId="0" applyAlignment="1" pivotButton="0" quotePrefix="0" xfId="9">
      <alignment horizontal="left" vertical="center"/>
    </xf>
    <xf numFmtId="164" fontId="1" fillId="0" borderId="0" applyAlignment="1" pivotButton="0" quotePrefix="0" xfId="8">
      <alignment vertical="center"/>
    </xf>
    <xf numFmtId="169" fontId="47" fillId="12" borderId="64" applyAlignment="1" pivotButton="0" quotePrefix="0" xfId="9">
      <alignment horizontal="right" vertical="center"/>
    </xf>
    <xf numFmtId="169" fontId="45" fillId="11" borderId="64" applyAlignment="1" pivotButton="0" quotePrefix="0" xfId="9">
      <alignment horizontal="right" vertical="center"/>
    </xf>
    <xf numFmtId="3" fontId="47" fillId="12" borderId="66" applyAlignment="1" pivotButton="0" quotePrefix="0" xfId="9">
      <alignment horizontal="right" vertical="center"/>
    </xf>
    <xf numFmtId="3" fontId="45" fillId="11" borderId="66" applyAlignment="1" pivotButton="0" quotePrefix="0" xfId="9">
      <alignment horizontal="right" vertical="center"/>
    </xf>
    <xf numFmtId="3" fontId="45" fillId="14" borderId="67" applyAlignment="1" pivotButton="0" quotePrefix="0" xfId="9">
      <alignment horizontal="right" vertical="center"/>
    </xf>
    <xf numFmtId="0" fontId="54" fillId="0" borderId="4" applyAlignment="1" pivotButton="0" quotePrefix="0" xfId="9">
      <alignment horizontal="center" vertical="center"/>
    </xf>
    <xf numFmtId="0" fontId="55" fillId="0" borderId="4" applyAlignment="1" pivotButton="0" quotePrefix="0" xfId="9">
      <alignment horizontal="center" vertical="center"/>
    </xf>
    <xf numFmtId="0" fontId="56" fillId="0" borderId="4" applyAlignment="1" pivotButton="0" quotePrefix="0" xfId="9">
      <alignment horizontal="center" vertical="center"/>
    </xf>
    <xf numFmtId="0" fontId="41" fillId="0" borderId="0" applyAlignment="1" pivotButton="0" quotePrefix="0" xfId="9">
      <alignment horizontal="right" vertical="center"/>
    </xf>
    <xf numFmtId="0" fontId="54" fillId="15" borderId="4" applyAlignment="1" pivotButton="0" quotePrefix="0" xfId="9">
      <alignment horizontal="center" vertical="center"/>
    </xf>
    <xf numFmtId="0" fontId="55" fillId="15" borderId="4" applyAlignment="1" pivotButton="0" quotePrefix="0" xfId="9">
      <alignment horizontal="center" vertical="center"/>
    </xf>
    <xf numFmtId="0" fontId="56" fillId="15" borderId="4" applyAlignment="1" pivotButton="0" quotePrefix="0" xfId="9">
      <alignment horizontal="center" vertical="center"/>
    </xf>
    <xf numFmtId="170" fontId="18" fillId="15" borderId="4" applyAlignment="1" pivotButton="0" quotePrefix="0" xfId="10">
      <alignment horizontal="center" vertical="center"/>
    </xf>
    <xf numFmtId="10" fontId="18" fillId="15" borderId="4" applyAlignment="1" pivotButton="0" quotePrefix="0" xfId="11">
      <alignment horizontal="center" vertical="center"/>
    </xf>
    <xf numFmtId="14" fontId="18" fillId="15" borderId="4" applyAlignment="1" pivotButton="0" quotePrefix="0" xfId="9">
      <alignment horizontal="center" vertical="center"/>
    </xf>
    <xf numFmtId="164" fontId="18" fillId="15" borderId="4" applyAlignment="1" pivotButton="0" quotePrefix="0" xfId="8">
      <alignment horizontal="center" vertical="center"/>
    </xf>
    <xf numFmtId="164" fontId="18" fillId="15" borderId="4" applyAlignment="1" pivotButton="0" quotePrefix="0" xfId="8">
      <alignment horizontal="right" vertical="center"/>
    </xf>
    <xf numFmtId="0" fontId="58" fillId="0" borderId="0" applyAlignment="1" pivotButton="0" quotePrefix="0" xfId="9">
      <alignment horizontal="right" vertical="center"/>
    </xf>
    <xf numFmtId="0" fontId="59" fillId="16" borderId="0" applyAlignment="1" pivotButton="0" quotePrefix="0" xfId="9">
      <alignment horizontal="right"/>
    </xf>
    <xf numFmtId="0" fontId="54" fillId="17" borderId="4" applyAlignment="1" pivotButton="0" quotePrefix="0" xfId="9">
      <alignment horizontal="center" vertical="center"/>
    </xf>
    <xf numFmtId="0" fontId="55" fillId="17" borderId="4" applyAlignment="1" pivotButton="0" quotePrefix="0" xfId="9">
      <alignment horizontal="center" vertical="center"/>
    </xf>
    <xf numFmtId="0" fontId="56" fillId="17" borderId="4" applyAlignment="1" pivotButton="0" quotePrefix="0" xfId="9">
      <alignment horizontal="center" vertical="center"/>
    </xf>
    <xf numFmtId="170" fontId="18" fillId="17" borderId="4" applyAlignment="1" pivotButton="0" quotePrefix="0" xfId="10">
      <alignment horizontal="center" vertical="center"/>
    </xf>
    <xf numFmtId="10" fontId="18" fillId="17" borderId="4" applyAlignment="1" pivotButton="0" quotePrefix="0" xfId="11">
      <alignment horizontal="center" vertical="center"/>
    </xf>
    <xf numFmtId="14" fontId="18" fillId="17" borderId="4" applyAlignment="1" pivotButton="0" quotePrefix="0" xfId="9">
      <alignment horizontal="center" vertical="center"/>
    </xf>
    <xf numFmtId="14" fontId="54" fillId="17" borderId="4" applyAlignment="1" pivotButton="0" quotePrefix="0" xfId="8">
      <alignment horizontal="center" vertical="center"/>
    </xf>
    <xf numFmtId="3" fontId="54" fillId="17" borderId="4" applyAlignment="1" pivotButton="0" quotePrefix="0" xfId="8">
      <alignment horizontal="right" vertical="center"/>
    </xf>
    <xf numFmtId="0" fontId="1" fillId="16" borderId="0" applyAlignment="1" pivotButton="0" quotePrefix="0" xfId="9">
      <alignment vertical="center"/>
    </xf>
    <xf numFmtId="0" fontId="59" fillId="0" borderId="0" applyAlignment="1" pivotButton="0" quotePrefix="0" xfId="9">
      <alignment horizontal="right" vertical="center"/>
    </xf>
    <xf numFmtId="164" fontId="18" fillId="17" borderId="4" applyAlignment="1" pivotButton="0" quotePrefix="0" xfId="8">
      <alignment horizontal="center" vertical="center"/>
    </xf>
    <xf numFmtId="164" fontId="18" fillId="17" borderId="4" applyAlignment="1" pivotButton="0" quotePrefix="0" xfId="8">
      <alignment horizontal="right" vertical="center"/>
    </xf>
    <xf numFmtId="0" fontId="1" fillId="18" borderId="0" applyAlignment="1" pivotButton="0" quotePrefix="0" xfId="9">
      <alignment vertical="center"/>
    </xf>
    <xf numFmtId="170" fontId="18" fillId="19" borderId="4" applyAlignment="1" pivotButton="0" quotePrefix="0" xfId="10">
      <alignment horizontal="center" vertical="center"/>
    </xf>
    <xf numFmtId="10" fontId="18" fillId="19" borderId="4" applyAlignment="1" pivotButton="0" quotePrefix="0" xfId="11">
      <alignment horizontal="center" vertical="center"/>
    </xf>
    <xf numFmtId="14" fontId="18" fillId="19" borderId="4" applyAlignment="1" pivotButton="0" quotePrefix="0" xfId="9">
      <alignment horizontal="center" vertical="center"/>
    </xf>
    <xf numFmtId="164" fontId="18" fillId="19" borderId="4" applyAlignment="1" pivotButton="0" quotePrefix="0" xfId="8">
      <alignment horizontal="center" vertical="center"/>
    </xf>
    <xf numFmtId="164" fontId="18" fillId="19" borderId="4" applyAlignment="1" pivotButton="0" quotePrefix="0" xfId="8">
      <alignment horizontal="right" vertical="center"/>
    </xf>
    <xf numFmtId="170" fontId="18" fillId="0" borderId="4" applyAlignment="1" pivotButton="0" quotePrefix="0" xfId="10">
      <alignment horizontal="center" vertical="center"/>
    </xf>
    <xf numFmtId="10" fontId="18" fillId="0" borderId="4" applyAlignment="1" pivotButton="0" quotePrefix="0" xfId="11">
      <alignment horizontal="center" vertical="center"/>
    </xf>
    <xf numFmtId="14" fontId="18" fillId="0" borderId="4" applyAlignment="1" pivotButton="0" quotePrefix="0" xfId="9">
      <alignment horizontal="center" vertical="center"/>
    </xf>
    <xf numFmtId="164" fontId="18" fillId="0" borderId="4" applyAlignment="1" pivotButton="0" quotePrefix="0" xfId="8">
      <alignment horizontal="center" vertical="center"/>
    </xf>
    <xf numFmtId="164" fontId="18" fillId="0" borderId="4" applyAlignment="1" pivotButton="0" quotePrefix="0" xfId="8">
      <alignment horizontal="right" vertical="center"/>
    </xf>
    <xf numFmtId="0" fontId="60" fillId="20" borderId="70" applyAlignment="1" pivotButton="0" quotePrefix="0" xfId="0">
      <alignment horizontal="center" vertical="center" wrapText="1"/>
    </xf>
    <xf numFmtId="9" fontId="60" fillId="20" borderId="70" applyAlignment="1" pivotButton="0" quotePrefix="0" xfId="0">
      <alignment horizontal="center" vertical="center" wrapText="1"/>
    </xf>
    <xf numFmtId="0" fontId="60" fillId="12" borderId="70" applyAlignment="1" pivotButton="0" quotePrefix="0" xfId="0">
      <alignment horizontal="center" vertical="center" wrapText="1"/>
    </xf>
    <xf numFmtId="3" fontId="1" fillId="0" borderId="0" applyAlignment="1" pivotButton="0" quotePrefix="0" xfId="9">
      <alignment vertical="center"/>
    </xf>
    <xf numFmtId="171" fontId="60" fillId="12" borderId="70" applyAlignment="1" pivotButton="0" quotePrefix="0" xfId="0">
      <alignment vertical="center" wrapText="1"/>
    </xf>
    <xf numFmtId="169" fontId="60" fillId="12" borderId="70" applyAlignment="1" pivotButton="0" quotePrefix="0" xfId="0">
      <alignment vertical="center" wrapText="1"/>
    </xf>
    <xf numFmtId="0" fontId="43" fillId="0" borderId="71" applyAlignment="1" pivotButton="0" quotePrefix="0" xfId="9">
      <alignment vertical="center"/>
    </xf>
    <xf numFmtId="0" fontId="43" fillId="0" borderId="0" applyAlignment="1" pivotButton="0" quotePrefix="0" xfId="9">
      <alignment horizontal="centerContinuous" vertical="center"/>
    </xf>
    <xf numFmtId="0" fontId="1" fillId="0" borderId="0" applyAlignment="1" pivotButton="0" quotePrefix="0" xfId="9">
      <alignment horizontal="centerContinuous" vertical="center"/>
    </xf>
    <xf numFmtId="0" fontId="43" fillId="0" borderId="0" applyAlignment="1" pivotButton="0" quotePrefix="0" xfId="9">
      <alignment vertical="center"/>
    </xf>
    <xf numFmtId="3" fontId="43" fillId="0" borderId="0" applyAlignment="1" pivotButton="0" quotePrefix="0" xfId="9">
      <alignment vertical="center"/>
    </xf>
    <xf numFmtId="171" fontId="43" fillId="0" borderId="0" applyAlignment="1" pivotButton="0" quotePrefix="0" xfId="9">
      <alignment vertical="center"/>
    </xf>
    <xf numFmtId="9" fontId="60" fillId="3" borderId="70" applyAlignment="1" pivotButton="0" quotePrefix="0" xfId="0">
      <alignment horizontal="center" vertical="center" wrapText="1"/>
    </xf>
    <xf numFmtId="171" fontId="43" fillId="0" borderId="71" applyAlignment="1" pivotButton="0" quotePrefix="0" xfId="9">
      <alignment vertical="center"/>
    </xf>
    <xf numFmtId="0" fontId="43" fillId="0" borderId="1" applyAlignment="1" pivotButton="0" quotePrefix="0" xfId="9">
      <alignment vertical="center"/>
    </xf>
    <xf numFmtId="0" fontId="43" fillId="0" borderId="3" applyAlignment="1" pivotButton="0" quotePrefix="0" xfId="9">
      <alignment vertical="center"/>
    </xf>
    <xf numFmtId="169" fontId="1" fillId="0" borderId="0" applyAlignment="1" pivotButton="0" quotePrefix="0" xfId="9">
      <alignment vertical="center"/>
    </xf>
    <xf numFmtId="0" fontId="60" fillId="21" borderId="70" applyAlignment="1" pivotButton="0" quotePrefix="0" xfId="0">
      <alignment horizontal="center" vertical="center" wrapText="1"/>
    </xf>
    <xf numFmtId="171" fontId="60" fillId="21" borderId="70" applyAlignment="1" pivotButton="0" quotePrefix="0" xfId="0">
      <alignment vertical="center" wrapText="1"/>
    </xf>
    <xf numFmtId="0" fontId="45" fillId="13" borderId="65" applyAlignment="1" pivotButton="0" quotePrefix="0" xfId="9">
      <alignment horizontal="center" vertical="center"/>
    </xf>
    <xf numFmtId="0" fontId="45" fillId="13" borderId="66" applyAlignment="1" pivotButton="0" quotePrefix="0" xfId="9">
      <alignment horizontal="center" vertical="center"/>
    </xf>
    <xf numFmtId="164" fontId="46" fillId="11" borderId="4" applyAlignment="1" pivotButton="0" quotePrefix="0" xfId="8">
      <alignment horizontal="center" vertical="center"/>
    </xf>
    <xf numFmtId="0" fontId="50" fillId="0" borderId="48" applyAlignment="1" pivotButton="0" quotePrefix="0" xfId="9">
      <alignment horizontal="center" vertical="center" wrapText="1"/>
    </xf>
    <xf numFmtId="0" fontId="50" fillId="0" borderId="49" applyAlignment="1" pivotButton="0" quotePrefix="0" xfId="9">
      <alignment horizontal="center" vertical="center" wrapText="1"/>
    </xf>
    <xf numFmtId="0" fontId="50" fillId="0" borderId="50" applyAlignment="1" pivotButton="0" quotePrefix="0" xfId="9">
      <alignment horizontal="center" vertical="center" wrapText="1"/>
    </xf>
    <xf numFmtId="14" fontId="50" fillId="0" borderId="48" applyAlignment="1" pivotButton="0" quotePrefix="0" xfId="9">
      <alignment horizontal="center" vertical="center" wrapText="1"/>
    </xf>
    <xf numFmtId="14" fontId="50" fillId="0" borderId="49" applyAlignment="1" pivotButton="0" quotePrefix="0" xfId="9">
      <alignment horizontal="center" vertical="center" wrapText="1"/>
    </xf>
    <xf numFmtId="14" fontId="50" fillId="0" borderId="50" applyAlignment="1" pivotButton="0" quotePrefix="0" xfId="9">
      <alignment horizontal="center" vertical="center" wrapText="1"/>
    </xf>
    <xf numFmtId="0" fontId="50" fillId="0" borderId="1" applyAlignment="1" pivotButton="0" quotePrefix="0" xfId="9">
      <alignment horizontal="center" vertical="center" wrapText="1"/>
    </xf>
    <xf numFmtId="0" fontId="50" fillId="0" borderId="62" applyAlignment="1" pivotButton="0" quotePrefix="0" xfId="9">
      <alignment horizontal="center" vertical="center" wrapText="1"/>
    </xf>
    <xf numFmtId="0" fontId="50" fillId="0" borderId="3" applyAlignment="1" pivotButton="0" quotePrefix="0" xfId="9">
      <alignment horizontal="center" vertical="center" wrapText="1"/>
    </xf>
    <xf numFmtId="0" fontId="50" fillId="0" borderId="61" applyAlignment="1" pivotButton="0" quotePrefix="0" xfId="9">
      <alignment horizontal="center" vertical="center" wrapText="1"/>
    </xf>
    <xf numFmtId="0" fontId="50" fillId="0" borderId="60" applyAlignment="1" pivotButton="0" quotePrefix="0" xfId="9">
      <alignment horizontal="center" vertical="center" wrapText="1"/>
    </xf>
    <xf numFmtId="0" fontId="50" fillId="0" borderId="59" applyAlignment="1" pivotButton="0" quotePrefix="0" xfId="9">
      <alignment horizontal="center" vertical="center" wrapText="1"/>
    </xf>
    <xf numFmtId="0" fontId="45" fillId="13" borderId="57" applyAlignment="1" pivotButton="0" quotePrefix="0" xfId="9">
      <alignment horizontal="center" vertical="center" wrapText="1"/>
    </xf>
    <xf numFmtId="0" fontId="45" fillId="13" borderId="64" applyAlignment="1" pivotButton="0" quotePrefix="0" xfId="9">
      <alignment horizontal="center" vertical="center"/>
    </xf>
    <xf numFmtId="0" fontId="51" fillId="13" borderId="4" applyAlignment="1" pivotButton="0" quotePrefix="0" xfId="9">
      <alignment horizontal="center" vertical="center" wrapText="1"/>
    </xf>
    <xf numFmtId="0" fontId="51" fillId="13" borderId="2" applyAlignment="1" pivotButton="0" quotePrefix="0" xfId="9">
      <alignment horizontal="center" vertical="center" wrapText="1"/>
    </xf>
    <xf numFmtId="0" fontId="45" fillId="13" borderId="63" applyAlignment="1" pivotButton="0" quotePrefix="0" xfId="9">
      <alignment horizontal="center" vertical="center"/>
    </xf>
    <xf numFmtId="0" fontId="45" fillId="13" borderId="58" applyAlignment="1" pivotButton="0" quotePrefix="0" xfId="9">
      <alignment horizontal="center" vertical="center"/>
    </xf>
    <xf numFmtId="0" fontId="45" fillId="13" borderId="57" applyAlignment="1" pivotButton="0" quotePrefix="0" xfId="9">
      <alignment horizontal="center" vertical="center"/>
    </xf>
    <xf numFmtId="0" fontId="45" fillId="13" borderId="58" applyAlignment="1" pivotButton="0" quotePrefix="0" xfId="9">
      <alignment horizontal="center" vertical="center" wrapText="1"/>
    </xf>
    <xf numFmtId="0" fontId="50" fillId="0" borderId="0" applyAlignment="1" pivotButton="0" quotePrefix="0" xfId="9">
      <alignment horizontal="left" vertical="center"/>
    </xf>
    <xf numFmtId="0" fontId="51" fillId="13" borderId="48" applyAlignment="1" pivotButton="0" quotePrefix="0" xfId="9">
      <alignment horizontal="center" vertical="center"/>
    </xf>
    <xf numFmtId="0" fontId="51" fillId="13" borderId="50" applyAlignment="1" pivotButton="0" quotePrefix="0" xfId="9">
      <alignment horizontal="center" vertical="center"/>
    </xf>
    <xf numFmtId="0" fontId="51" fillId="13" borderId="1" applyAlignment="1" pivotButton="0" quotePrefix="0" xfId="9">
      <alignment horizontal="center" vertical="center" wrapText="1"/>
    </xf>
    <xf numFmtId="0" fontId="51" fillId="13" borderId="62" applyAlignment="1" pivotButton="0" quotePrefix="0" xfId="9">
      <alignment horizontal="center" vertical="center" wrapText="1"/>
    </xf>
    <xf numFmtId="0" fontId="51" fillId="13" borderId="60" applyAlignment="1" pivotButton="0" quotePrefix="0" xfId="9">
      <alignment horizontal="center" vertical="center" wrapText="1"/>
    </xf>
    <xf numFmtId="0" fontId="51" fillId="13" borderId="59" applyAlignment="1" pivotButton="0" quotePrefix="0" xfId="9">
      <alignment horizontal="center" vertical="center" wrapText="1"/>
    </xf>
    <xf numFmtId="0" fontId="56" fillId="0" borderId="4" applyAlignment="1" pivotButton="0" quotePrefix="0" xfId="9">
      <alignment horizontal="center" vertical="center"/>
    </xf>
    <xf numFmtId="0" fontId="54" fillId="19" borderId="2" applyAlignment="1" pivotButton="0" quotePrefix="0" xfId="9">
      <alignment horizontal="center" vertical="center"/>
    </xf>
    <xf numFmtId="0" fontId="54" fillId="19" borderId="68" applyAlignment="1" pivotButton="0" quotePrefix="0" xfId="9">
      <alignment horizontal="center" vertical="center"/>
    </xf>
    <xf numFmtId="0" fontId="54" fillId="19" borderId="69" applyAlignment="1" pivotButton="0" quotePrefix="0" xfId="9">
      <alignment horizontal="center" vertical="center"/>
    </xf>
    <xf numFmtId="0" fontId="54" fillId="0" borderId="4" applyAlignment="1" pivotButton="0" quotePrefix="0" xfId="9">
      <alignment horizontal="center" vertical="center"/>
    </xf>
    <xf numFmtId="0" fontId="55" fillId="0" borderId="4" applyAlignment="1" pivotButton="0" quotePrefix="0" xfId="9">
      <alignment horizontal="center" vertical="center"/>
    </xf>
    <xf numFmtId="0" fontId="18" fillId="0" borderId="4" applyAlignment="1" pivotButton="0" quotePrefix="0" xfId="9">
      <alignment horizontal="center" vertical="center"/>
    </xf>
    <xf numFmtId="0" fontId="9" fillId="2" borderId="7" applyAlignment="1" pivotButton="0" quotePrefix="0" xfId="3">
      <alignment horizontal="center" vertical="center"/>
    </xf>
    <xf numFmtId="0" fontId="9" fillId="2" borderId="17" applyAlignment="1" pivotButton="0" quotePrefix="0" xfId="3">
      <alignment horizontal="center" vertical="center"/>
    </xf>
    <xf numFmtId="0" fontId="9" fillId="2" borderId="27" applyAlignment="1" pivotButton="0" quotePrefix="0" xfId="3">
      <alignment horizontal="center" vertical="center"/>
    </xf>
    <xf numFmtId="0" fontId="7" fillId="3" borderId="12" applyAlignment="1" pivotButton="0" quotePrefix="0" xfId="3">
      <alignment horizontal="center" vertical="center"/>
    </xf>
    <xf numFmtId="0" fontId="7" fillId="3" borderId="13" applyAlignment="1" pivotButton="0" quotePrefix="0" xfId="3">
      <alignment horizontal="center" vertical="center"/>
    </xf>
    <xf numFmtId="0" fontId="7" fillId="3" borderId="14" applyAlignment="1" pivotButton="0" quotePrefix="0" xfId="3">
      <alignment horizontal="center" vertical="center"/>
    </xf>
    <xf numFmtId="0" fontId="7" fillId="2" borderId="8" applyAlignment="1" pivotButton="0" quotePrefix="0" xfId="3">
      <alignment horizontal="center" vertical="center"/>
    </xf>
    <xf numFmtId="0" fontId="7" fillId="2" borderId="9" applyAlignment="1" pivotButton="0" quotePrefix="0" xfId="3">
      <alignment horizontal="center" vertical="center"/>
    </xf>
    <xf numFmtId="0" fontId="7" fillId="2" borderId="10" applyAlignment="1" pivotButton="0" quotePrefix="0" xfId="3">
      <alignment horizontal="center" vertical="center"/>
    </xf>
    <xf numFmtId="0" fontId="7" fillId="2" borderId="11" applyAlignment="1" pivotButton="0" quotePrefix="0" xfId="3">
      <alignment horizontal="center" vertical="center"/>
    </xf>
    <xf numFmtId="0" fontId="7" fillId="3" borderId="18" applyAlignment="1" pivotButton="0" quotePrefix="0" xfId="3">
      <alignment horizontal="center" vertical="center"/>
    </xf>
    <xf numFmtId="0" fontId="7" fillId="3" borderId="19" applyAlignment="1" pivotButton="0" quotePrefix="0" xfId="3">
      <alignment horizontal="center" vertical="center"/>
    </xf>
    <xf numFmtId="0" fontId="7" fillId="3" borderId="20" applyAlignment="1" pivotButton="0" quotePrefix="0" xfId="3">
      <alignment horizontal="center" vertical="center"/>
    </xf>
    <xf numFmtId="0" fontId="7" fillId="2" borderId="6" applyAlignment="1" pivotButton="0" quotePrefix="0" xfId="3">
      <alignment horizontal="center" vertical="center"/>
    </xf>
    <xf numFmtId="0" fontId="7" fillId="2" borderId="16" applyAlignment="1" pivotButton="0" quotePrefix="0" xfId="3">
      <alignment horizontal="center" vertical="center"/>
    </xf>
    <xf numFmtId="0" fontId="7" fillId="2" borderId="26" applyAlignment="1" pivotButton="0" quotePrefix="0" xfId="3">
      <alignment horizontal="center" vertical="center"/>
    </xf>
    <xf numFmtId="0" fontId="7" fillId="2" borderId="5" applyAlignment="1" pivotButton="0" quotePrefix="0" xfId="3">
      <alignment horizontal="center" vertical="center"/>
    </xf>
    <xf numFmtId="0" fontId="7" fillId="2" borderId="15" applyAlignment="1" pivotButton="0" quotePrefix="0" xfId="3">
      <alignment horizontal="center" vertical="center"/>
    </xf>
    <xf numFmtId="0" fontId="7" fillId="2" borderId="25" applyAlignment="1" pivotButton="0" quotePrefix="0" xfId="3">
      <alignment horizontal="center" vertical="center"/>
    </xf>
    <xf numFmtId="0" fontId="7" fillId="2" borderId="6" applyAlignment="1" pivotButton="0" quotePrefix="0" xfId="3">
      <alignment horizontal="center" vertical="center" wrapText="1"/>
    </xf>
    <xf numFmtId="164" fontId="18" fillId="0" borderId="48" applyAlignment="1" pivotButton="0" quotePrefix="0" xfId="1">
      <alignment horizontal="center" vertical="center"/>
    </xf>
    <xf numFmtId="164" fontId="18" fillId="0" borderId="49" applyAlignment="1" pivotButton="0" quotePrefix="0" xfId="1">
      <alignment horizontal="center" vertical="center"/>
    </xf>
    <xf numFmtId="164" fontId="18" fillId="0" borderId="50" applyAlignment="1" pivotButton="0" quotePrefix="0" xfId="1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9" fillId="8" borderId="54" applyAlignment="1" pivotButton="0" quotePrefix="0" xfId="0">
      <alignment horizontal="center" vertical="center"/>
    </xf>
    <xf numFmtId="0" fontId="39" fillId="8" borderId="55" applyAlignment="1" pivotButton="0" quotePrefix="0" xfId="0">
      <alignment horizontal="center" vertical="center"/>
    </xf>
    <xf numFmtId="164" fontId="1" fillId="0" borderId="0" applyAlignment="1" pivotButton="0" quotePrefix="0" xfId="8">
      <alignment vertical="center"/>
    </xf>
    <xf numFmtId="0" fontId="0" fillId="0" borderId="0" pivotButton="0" quotePrefix="0" xfId="0"/>
    <xf numFmtId="0" fontId="0" fillId="0" borderId="62" pivotButton="0" quotePrefix="0" xfId="0"/>
    <xf numFmtId="0" fontId="51" fillId="13" borderId="4" applyAlignment="1" pivotButton="0" quotePrefix="0" xfId="9">
      <alignment horizontal="center" vertical="center"/>
    </xf>
    <xf numFmtId="0" fontId="0" fillId="0" borderId="58" pivotButton="0" quotePrefix="0" xfId="0"/>
    <xf numFmtId="0" fontId="0" fillId="0" borderId="63" pivotButton="0" quotePrefix="0" xfId="0"/>
    <xf numFmtId="0" fontId="45" fillId="13" borderId="65" applyAlignment="1" pivotButton="0" quotePrefix="0" xfId="0">
      <alignment horizontal="center" vertical="center" wrapText="1"/>
    </xf>
    <xf numFmtId="0" fontId="0" fillId="0" borderId="50" pivotButton="0" quotePrefix="0" xfId="0"/>
    <xf numFmtId="0" fontId="0" fillId="0" borderId="60" pivotButton="0" quotePrefix="0" xfId="0"/>
    <xf numFmtId="0" fontId="0" fillId="0" borderId="59" pivotButton="0" quotePrefix="0" xfId="0"/>
    <xf numFmtId="0" fontId="0" fillId="0" borderId="84" pivotButton="0" quotePrefix="0" xfId="0"/>
    <xf numFmtId="0" fontId="0" fillId="0" borderId="74" pivotButton="0" quotePrefix="0" xfId="0"/>
    <xf numFmtId="0" fontId="0" fillId="0" borderId="82" pivotButton="0" quotePrefix="0" xfId="0"/>
    <xf numFmtId="0" fontId="0" fillId="0" borderId="77" pivotButton="0" quotePrefix="0" xfId="0"/>
    <xf numFmtId="14" fontId="50" fillId="0" borderId="4" applyAlignment="1" pivotButton="0" quotePrefix="0" xfId="9">
      <alignment horizontal="center" vertical="center" wrapText="1"/>
    </xf>
    <xf numFmtId="164" fontId="50" fillId="0" borderId="4" applyAlignment="1" pivotButton="0" quotePrefix="0" xfId="9">
      <alignment horizontal="justify" vertical="center"/>
    </xf>
    <xf numFmtId="164" fontId="50" fillId="0" borderId="4" applyAlignment="1" pivotButton="0" quotePrefix="0" xfId="8">
      <alignment horizontal="right" vertical="center"/>
    </xf>
    <xf numFmtId="164" fontId="48" fillId="0" borderId="2" applyAlignment="1" pivotButton="0" quotePrefix="0" xfId="8">
      <alignment horizontal="right" vertical="center"/>
    </xf>
    <xf numFmtId="164" fontId="48" fillId="0" borderId="4" applyAlignment="1" pivotButton="0" quotePrefix="0" xfId="8">
      <alignment horizontal="right" vertical="center"/>
    </xf>
    <xf numFmtId="41" fontId="47" fillId="12" borderId="58" applyAlignment="1" pivotButton="0" quotePrefix="0" xfId="8">
      <alignment horizontal="right" vertical="center"/>
    </xf>
    <xf numFmtId="41" fontId="47" fillId="12" borderId="57" applyAlignment="1" pivotButton="0" quotePrefix="0" xfId="8">
      <alignment horizontal="right" vertical="center"/>
    </xf>
    <xf numFmtId="41" fontId="47" fillId="12" borderId="57" applyAlignment="1" pivotButton="0" quotePrefix="0" xfId="9">
      <alignment horizontal="right" vertical="center"/>
    </xf>
    <xf numFmtId="169" fontId="47" fillId="12" borderId="64" applyAlignment="1" pivotButton="0" quotePrefix="0" xfId="9">
      <alignment horizontal="right" vertical="center"/>
    </xf>
    <xf numFmtId="0" fontId="47" fillId="12" borderId="66" applyAlignment="1" pivotButton="0" quotePrefix="0" xfId="0">
      <alignment horizontal="center" vertical="center"/>
    </xf>
    <xf numFmtId="0" fontId="0" fillId="0" borderId="49" pivotButton="0" quotePrefix="0" xfId="0"/>
    <xf numFmtId="0" fontId="61" fillId="12" borderId="66" applyAlignment="1" pivotButton="0" quotePrefix="0" xfId="0">
      <alignment horizontal="center" vertical="center"/>
    </xf>
    <xf numFmtId="171" fontId="60" fillId="12" borderId="70" applyAlignment="1" pivotButton="0" quotePrefix="0" xfId="0">
      <alignment vertical="center" wrapText="1"/>
    </xf>
    <xf numFmtId="171" fontId="60" fillId="21" borderId="70" applyAlignment="1" pivotButton="0" quotePrefix="0" xfId="0">
      <alignment vertical="center" wrapText="1"/>
    </xf>
    <xf numFmtId="169" fontId="60" fillId="12" borderId="70" applyAlignment="1" pivotButton="0" quotePrefix="0" xfId="0">
      <alignment vertical="center" wrapText="1"/>
    </xf>
    <xf numFmtId="171" fontId="43" fillId="0" borderId="71" applyAlignment="1" pivotButton="0" quotePrefix="0" xfId="9">
      <alignment vertical="center"/>
    </xf>
    <xf numFmtId="171" fontId="43" fillId="0" borderId="0" applyAlignment="1" pivotButton="0" quotePrefix="0" xfId="9">
      <alignment vertical="center"/>
    </xf>
    <xf numFmtId="169" fontId="1" fillId="0" borderId="0" applyAlignment="1" pivotButton="0" quotePrefix="0" xfId="9">
      <alignment vertical="center"/>
    </xf>
    <xf numFmtId="164" fontId="46" fillId="11" borderId="4" applyAlignment="1" pivotButton="0" quotePrefix="0" xfId="8">
      <alignment horizontal="center" vertical="center"/>
    </xf>
    <xf numFmtId="0" fontId="0" fillId="0" borderId="78" pivotButton="0" quotePrefix="0" xfId="0"/>
    <xf numFmtId="0" fontId="0" fillId="0" borderId="79" pivotButton="0" quotePrefix="0" xfId="0"/>
    <xf numFmtId="164" fontId="46" fillId="11" borderId="4" applyAlignment="1" pivotButton="0" quotePrefix="0" xfId="8">
      <alignment vertical="center"/>
    </xf>
    <xf numFmtId="164" fontId="46" fillId="11" borderId="2" applyAlignment="1" pivotButton="0" quotePrefix="0" xfId="8">
      <alignment vertical="center"/>
    </xf>
    <xf numFmtId="164" fontId="45" fillId="11" borderId="57" applyAlignment="1" pivotButton="0" quotePrefix="0" xfId="8">
      <alignment horizontal="center" vertical="center"/>
    </xf>
    <xf numFmtId="41" fontId="45" fillId="11" borderId="58" applyAlignment="1" pivotButton="0" quotePrefix="0" xfId="8">
      <alignment horizontal="right" vertical="center"/>
    </xf>
    <xf numFmtId="41" fontId="45" fillId="11" borderId="57" applyAlignment="1" pivotButton="0" quotePrefix="0" xfId="8">
      <alignment horizontal="right" vertical="center"/>
    </xf>
    <xf numFmtId="41" fontId="45" fillId="11" borderId="57" applyAlignment="1" pivotButton="0" quotePrefix="0" xfId="9">
      <alignment horizontal="right" vertical="center"/>
    </xf>
    <xf numFmtId="169" fontId="45" fillId="11" borderId="64" applyAlignment="1" pivotButton="0" quotePrefix="0" xfId="9">
      <alignment horizontal="right" vertical="center"/>
    </xf>
    <xf numFmtId="173" fontId="45" fillId="11" borderId="66" applyAlignment="1" pivotButton="0" quotePrefix="0" xfId="0">
      <alignment horizontal="center" vertical="center"/>
    </xf>
    <xf numFmtId="164" fontId="47" fillId="12" borderId="57" applyAlignment="1" pivotButton="0" quotePrefix="0" xfId="8">
      <alignment horizontal="center" vertical="center"/>
    </xf>
    <xf numFmtId="0" fontId="0" fillId="0" borderId="3" pivotButton="0" quotePrefix="0" xfId="0"/>
    <xf numFmtId="0" fontId="0" fillId="0" borderId="61" pivotButton="0" quotePrefix="0" xfId="0"/>
    <xf numFmtId="41" fontId="45" fillId="11" borderId="57" applyAlignment="1" pivotButton="0" quotePrefix="0" xfId="9">
      <alignment horizontal="center" vertical="center"/>
    </xf>
    <xf numFmtId="173" fontId="45" fillId="14" borderId="67" applyAlignment="1" pivotButton="0" quotePrefix="0" xfId="0">
      <alignment horizontal="center" vertical="center"/>
    </xf>
    <xf numFmtId="170" fontId="18" fillId="15" borderId="4" applyAlignment="1" pivotButton="0" quotePrefix="0" xfId="10">
      <alignment horizontal="center" vertical="center"/>
    </xf>
    <xf numFmtId="164" fontId="18" fillId="15" borderId="4" applyAlignment="1" pivotButton="0" quotePrefix="0" xfId="8">
      <alignment horizontal="center" vertical="center"/>
    </xf>
    <xf numFmtId="164" fontId="18" fillId="15" borderId="4" applyAlignment="1" pivotButton="0" quotePrefix="0" xfId="8">
      <alignment horizontal="right" vertical="center"/>
    </xf>
    <xf numFmtId="170" fontId="18" fillId="17" borderId="4" applyAlignment="1" pivotButton="0" quotePrefix="0" xfId="10">
      <alignment horizontal="center" vertical="center"/>
    </xf>
    <xf numFmtId="164" fontId="18" fillId="17" borderId="4" applyAlignment="1" pivotButton="0" quotePrefix="0" xfId="8">
      <alignment horizontal="center" vertical="center"/>
    </xf>
    <xf numFmtId="164" fontId="18" fillId="17" borderId="4" applyAlignment="1" pivotButton="0" quotePrefix="0" xfId="8">
      <alignment horizontal="right" vertical="center"/>
    </xf>
    <xf numFmtId="0" fontId="54" fillId="19" borderId="85" applyAlignment="1" pivotButton="0" quotePrefix="0" xfId="9">
      <alignment horizontal="center" vertical="center"/>
    </xf>
    <xf numFmtId="0" fontId="0" fillId="0" borderId="87" pivotButton="0" quotePrefix="0" xfId="0"/>
    <xf numFmtId="170" fontId="18" fillId="19" borderId="4" applyAlignment="1" pivotButton="0" quotePrefix="0" xfId="10">
      <alignment horizontal="center" vertical="center"/>
    </xf>
    <xf numFmtId="164" fontId="18" fillId="19" borderId="4" applyAlignment="1" pivotButton="0" quotePrefix="0" xfId="8">
      <alignment horizontal="center" vertical="center"/>
    </xf>
    <xf numFmtId="164" fontId="18" fillId="19" borderId="4" applyAlignment="1" pivotButton="0" quotePrefix="0" xfId="8">
      <alignment horizontal="right" vertical="center"/>
    </xf>
    <xf numFmtId="170" fontId="18" fillId="0" borderId="4" applyAlignment="1" pivotButton="0" quotePrefix="0" xfId="10">
      <alignment horizontal="center" vertical="center"/>
    </xf>
    <xf numFmtId="164" fontId="18" fillId="0" borderId="4" applyAlignment="1" pivotButton="0" quotePrefix="0" xfId="8">
      <alignment horizontal="center" vertical="center"/>
    </xf>
    <xf numFmtId="164" fontId="18" fillId="0" borderId="4" applyAlignment="1" pivotButton="0" quotePrefix="0" xfId="8">
      <alignment horizontal="right" vertical="center"/>
    </xf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64" fillId="22" borderId="101" applyAlignment="1" pivotButton="0" quotePrefix="0" xfId="0">
      <alignment horizontal="center" vertical="center" wrapText="1"/>
    </xf>
    <xf numFmtId="0" fontId="65" fillId="0" borderId="101" applyAlignment="1" pivotButton="0" quotePrefix="0" xfId="0">
      <alignment horizontal="left" vertical="center" wrapText="1"/>
    </xf>
    <xf numFmtId="0" fontId="0" fillId="0" borderId="101" pivotButton="0" quotePrefix="0" xfId="0"/>
    <xf numFmtId="0" fontId="65" fillId="0" borderId="101" applyAlignment="1" pivotButton="0" quotePrefix="0" xfId="0">
      <alignment horizontal="center" vertical="center" wrapText="1"/>
    </xf>
    <xf numFmtId="3" fontId="65" fillId="0" borderId="101" applyAlignment="1" pivotButton="0" quotePrefix="0" xfId="0">
      <alignment horizontal="center" vertical="center" wrapText="1"/>
    </xf>
    <xf numFmtId="174" fontId="65" fillId="0" borderId="101" applyAlignment="1" pivotButton="0" quotePrefix="0" xfId="0">
      <alignment horizontal="center" vertical="center" wrapText="1"/>
    </xf>
    <xf numFmtId="175" fontId="65" fillId="0" borderId="101" applyAlignment="1" pivotButton="0" quotePrefix="0" xfId="0">
      <alignment horizontal="center" vertical="center" wrapText="1"/>
    </xf>
    <xf numFmtId="41" fontId="65" fillId="0" borderId="101" applyAlignment="1" pivotButton="0" quotePrefix="0" xfId="0">
      <alignment horizontal="right" vertical="center"/>
    </xf>
    <xf numFmtId="169" fontId="65" fillId="0" borderId="101" applyAlignment="1" pivotButton="0" quotePrefix="0" xfId="0">
      <alignment horizontal="center" vertical="center" wrapText="1"/>
    </xf>
    <xf numFmtId="0" fontId="64" fillId="23" borderId="101" applyAlignment="1" pivotButton="0" quotePrefix="0" xfId="0">
      <alignment horizontal="center" vertical="center" wrapText="1"/>
    </xf>
    <xf numFmtId="0" fontId="0" fillId="23" borderId="101" pivotButton="0" quotePrefix="0" xfId="0"/>
    <xf numFmtId="3" fontId="64" fillId="23" borderId="101" applyAlignment="1" pivotButton="0" quotePrefix="0" xfId="0">
      <alignment horizontal="right" vertical="center"/>
    </xf>
    <xf numFmtId="174" fontId="64" fillId="23" borderId="101" applyAlignment="1" pivotButton="0" quotePrefix="0" xfId="0">
      <alignment horizontal="right" vertical="center"/>
    </xf>
    <xf numFmtId="175" fontId="64" fillId="23" borderId="101" applyAlignment="1" pivotButton="0" quotePrefix="0" xfId="0">
      <alignment horizontal="right" vertical="center"/>
    </xf>
    <xf numFmtId="41" fontId="64" fillId="23" borderId="101" applyAlignment="1" pivotButton="0" quotePrefix="0" xfId="0">
      <alignment horizontal="right" vertical="center"/>
    </xf>
    <xf numFmtId="0" fontId="0" fillId="22" borderId="101" pivotButton="0" quotePrefix="0" xfId="0"/>
    <xf numFmtId="0" fontId="7" fillId="2" borderId="90" applyAlignment="1" pivotButton="0" quotePrefix="0" xfId="3">
      <alignment horizontal="center" vertical="center"/>
    </xf>
    <xf numFmtId="0" fontId="7" fillId="2" borderId="88" applyAlignment="1" pivotButton="0" quotePrefix="0" xfId="3">
      <alignment horizontal="center" vertical="center"/>
    </xf>
    <xf numFmtId="0" fontId="7" fillId="2" borderId="88" applyAlignment="1" pivotButton="0" quotePrefix="0" xfId="3">
      <alignment horizontal="center" vertical="center" wrapText="1"/>
    </xf>
    <xf numFmtId="0" fontId="9" fillId="2" borderId="91" applyAlignment="1" pivotButton="0" quotePrefix="0" xfId="3">
      <alignment horizontal="center" vertical="center"/>
    </xf>
    <xf numFmtId="0" fontId="7" fillId="3" borderId="92" applyAlignment="1" pivotButton="0" quotePrefix="0" xfId="3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164" fontId="7" fillId="4" borderId="28" applyAlignment="1" pivotButton="0" quotePrefix="0" xfId="4">
      <alignment vertical="center"/>
    </xf>
    <xf numFmtId="164" fontId="7" fillId="0" borderId="29" applyAlignment="1" pivotButton="0" quotePrefix="0" xfId="4">
      <alignment vertical="center"/>
    </xf>
    <xf numFmtId="164" fontId="7" fillId="4" borderId="20" applyAlignment="1" pivotButton="0" quotePrefix="0" xfId="4">
      <alignment vertical="center"/>
    </xf>
    <xf numFmtId="164" fontId="14" fillId="5" borderId="30" applyAlignment="1" pivotButton="0" quotePrefix="0" xfId="4">
      <alignment vertical="center"/>
    </xf>
    <xf numFmtId="164" fontId="7" fillId="6" borderId="28" applyAlignment="1" pivotButton="0" quotePrefix="0" xfId="4">
      <alignment vertical="center"/>
    </xf>
    <xf numFmtId="164" fontId="7" fillId="6" borderId="29" applyAlignment="1" pivotButton="0" quotePrefix="0" xfId="4">
      <alignment vertical="center"/>
    </xf>
    <xf numFmtId="164" fontId="7" fillId="6" borderId="20" applyAlignment="1" pivotButton="0" quotePrefix="0" xfId="4">
      <alignment vertical="center"/>
    </xf>
    <xf numFmtId="164" fontId="14" fillId="6" borderId="30" applyAlignment="1" pivotButton="0" quotePrefix="0" xfId="4">
      <alignment vertical="center"/>
    </xf>
    <xf numFmtId="164" fontId="7" fillId="3" borderId="28" applyAlignment="1" pivotButton="0" quotePrefix="0" xfId="4">
      <alignment vertical="center"/>
    </xf>
    <xf numFmtId="164" fontId="7" fillId="3" borderId="29" applyAlignment="1" pivotButton="0" quotePrefix="0" xfId="4">
      <alignment vertical="center"/>
    </xf>
    <xf numFmtId="164" fontId="7" fillId="3" borderId="20" applyAlignment="1" pivotButton="0" quotePrefix="0" xfId="4">
      <alignment vertical="center"/>
    </xf>
    <xf numFmtId="164" fontId="14" fillId="3" borderId="30" applyAlignment="1" pivotButton="0" quotePrefix="0" xfId="4">
      <alignment vertical="center"/>
    </xf>
    <xf numFmtId="164" fontId="7" fillId="0" borderId="0" applyAlignment="1" pivotButton="0" quotePrefix="0" xfId="1">
      <alignment vertical="center"/>
    </xf>
    <xf numFmtId="164" fontId="9" fillId="3" borderId="28" applyAlignment="1" pivotButton="0" quotePrefix="0" xfId="4">
      <alignment vertical="center"/>
    </xf>
    <xf numFmtId="164" fontId="9" fillId="3" borderId="29" applyAlignment="1" pivotButton="0" quotePrefix="0" xfId="4">
      <alignment vertical="center"/>
    </xf>
    <xf numFmtId="164" fontId="9" fillId="3" borderId="20" applyAlignment="1" pivotButton="0" quotePrefix="0" xfId="4">
      <alignment vertical="center"/>
    </xf>
    <xf numFmtId="164" fontId="9" fillId="4" borderId="28" applyAlignment="1" pivotButton="0" quotePrefix="0" xfId="4">
      <alignment vertical="center"/>
    </xf>
    <xf numFmtId="164" fontId="9" fillId="0" borderId="29" applyAlignment="1" pivotButton="0" quotePrefix="0" xfId="4">
      <alignment vertical="center"/>
    </xf>
    <xf numFmtId="164" fontId="9" fillId="4" borderId="20" applyAlignment="1" pivotButton="0" quotePrefix="0" xfId="4">
      <alignment vertical="center"/>
    </xf>
    <xf numFmtId="165" fontId="7" fillId="0" borderId="0" applyAlignment="1" pivotButton="0" quotePrefix="0" xfId="3">
      <alignment vertical="center"/>
    </xf>
    <xf numFmtId="43" fontId="7" fillId="0" borderId="0" applyAlignment="1" pivotButton="0" quotePrefix="0" xfId="3">
      <alignment vertical="center"/>
    </xf>
    <xf numFmtId="164" fontId="7" fillId="3" borderId="32" applyAlignment="1" pivotButton="0" quotePrefix="0" xfId="4">
      <alignment vertical="center"/>
    </xf>
    <xf numFmtId="164" fontId="7" fillId="3" borderId="34" applyAlignment="1" pivotButton="0" quotePrefix="0" xfId="4">
      <alignment vertical="center"/>
    </xf>
    <xf numFmtId="164" fontId="7" fillId="3" borderId="35" applyAlignment="1" pivotButton="0" quotePrefix="0" xfId="4">
      <alignment vertical="center"/>
    </xf>
    <xf numFmtId="164" fontId="14" fillId="3" borderId="36" applyAlignment="1" pivotButton="0" quotePrefix="0" xfId="4">
      <alignment vertical="center"/>
    </xf>
    <xf numFmtId="166" fontId="14" fillId="5" borderId="37" applyAlignment="1" pivotButton="0" quotePrefix="0" xfId="3">
      <alignment vertical="center"/>
    </xf>
    <xf numFmtId="166" fontId="14" fillId="5" borderId="38" applyAlignment="1" pivotButton="0" quotePrefix="0" xfId="3">
      <alignment vertical="center"/>
    </xf>
    <xf numFmtId="166" fontId="14" fillId="5" borderId="38" applyAlignment="1" pivotButton="0" quotePrefix="0" xfId="3">
      <alignment horizontal="center" vertical="center"/>
    </xf>
    <xf numFmtId="166" fontId="14" fillId="5" borderId="39" applyAlignment="1" pivotButton="0" quotePrefix="0" xfId="3">
      <alignment vertical="center"/>
    </xf>
    <xf numFmtId="164" fontId="14" fillId="5" borderId="40" applyAlignment="1" pivotButton="0" quotePrefix="0" xfId="3">
      <alignment vertical="center"/>
    </xf>
    <xf numFmtId="164" fontId="14" fillId="5" borderId="41" applyAlignment="1" pivotButton="0" quotePrefix="0" xfId="3">
      <alignment vertical="center"/>
    </xf>
    <xf numFmtId="164" fontId="14" fillId="4" borderId="43" applyAlignment="1" pivotButton="0" quotePrefix="0" xfId="4">
      <alignment vertical="center"/>
    </xf>
    <xf numFmtId="164" fontId="14" fillId="5" borderId="44" applyAlignment="1" pivotButton="0" quotePrefix="0" xfId="4">
      <alignment vertical="center"/>
    </xf>
    <xf numFmtId="41" fontId="14" fillId="5" borderId="45" applyAlignment="1" pivotButton="0" quotePrefix="0" xfId="3">
      <alignment vertical="center"/>
    </xf>
    <xf numFmtId="41" fontId="14" fillId="5" borderId="46" applyAlignment="1" pivotButton="0" quotePrefix="0" xfId="3">
      <alignment vertical="center"/>
    </xf>
    <xf numFmtId="164" fontId="14" fillId="5" borderId="47" applyAlignment="1" pivotButton="0" quotePrefix="0" xfId="4">
      <alignment vertical="center"/>
    </xf>
    <xf numFmtId="164" fontId="7" fillId="0" borderId="0" applyAlignment="1" pivotButton="0" quotePrefix="0" xfId="4">
      <alignment vertical="center"/>
    </xf>
    <xf numFmtId="41" fontId="7" fillId="0" borderId="0" applyAlignment="1" pivotButton="0" quotePrefix="0" xfId="3">
      <alignment vertical="center"/>
    </xf>
    <xf numFmtId="164" fontId="18" fillId="0" borderId="4" applyAlignment="1" pivotButton="0" quotePrefix="0" xfId="1">
      <alignment horizontal="right" vertical="center"/>
    </xf>
    <xf numFmtId="169" fontId="18" fillId="0" borderId="4" applyAlignment="1" pivotButton="0" quotePrefix="0" xfId="2">
      <alignment horizontal="center" vertical="center"/>
    </xf>
    <xf numFmtId="164" fontId="18" fillId="0" borderId="4" applyAlignment="1" pivotButton="0" quotePrefix="0" xfId="1">
      <alignment horizontal="center" vertical="center"/>
    </xf>
    <xf numFmtId="164" fontId="18" fillId="7" borderId="4" applyAlignment="1" pivotButton="0" quotePrefix="0" xfId="1">
      <alignment horizontal="center" vertical="center"/>
    </xf>
    <xf numFmtId="167" fontId="40" fillId="10" borderId="55" applyAlignment="1" pivotButton="0" quotePrefix="0" xfId="0">
      <alignment horizontal="center" vertical="center"/>
    </xf>
    <xf numFmtId="168" fontId="40" fillId="10" borderId="55" applyAlignment="1" pivotButton="0" quotePrefix="0" xfId="0">
      <alignment horizontal="center" vertical="center"/>
    </xf>
    <xf numFmtId="164" fontId="40" fillId="10" borderId="56" applyAlignment="1" pivotButton="0" quotePrefix="0" xfId="1">
      <alignment horizontal="center" vertical="center"/>
    </xf>
    <xf numFmtId="164" fontId="40" fillId="10" borderId="56" applyAlignment="1" pivotButton="0" quotePrefix="0" xfId="1">
      <alignment vertical="center"/>
    </xf>
    <xf numFmtId="164" fontId="16" fillId="0" borderId="0" applyAlignment="1" pivotButton="0" quotePrefix="0" xfId="0">
      <alignment vertical="center"/>
    </xf>
    <xf numFmtId="164" fontId="41" fillId="0" borderId="0" applyAlignment="1" pivotButton="0" quotePrefix="0" xfId="1">
      <alignment vertical="center"/>
    </xf>
    <xf numFmtId="0" fontId="0" fillId="0" borderId="100" pivotButton="0" quotePrefix="0" xfId="0"/>
    <xf numFmtId="0" fontId="0" fillId="0" borderId="54" pivotButton="0" quotePrefix="0" xfId="0"/>
    <xf numFmtId="164" fontId="39" fillId="8" borderId="55" applyAlignment="1" pivotButton="0" quotePrefix="0" xfId="0">
      <alignment vertical="center"/>
    </xf>
    <xf numFmtId="164" fontId="39" fillId="8" borderId="56" applyAlignment="1" pivotButton="0" quotePrefix="0" xfId="0">
      <alignment horizontal="center" vertical="center"/>
    </xf>
    <xf numFmtId="164" fontId="39" fillId="8" borderId="56" applyAlignment="1" pivotButton="0" quotePrefix="0" xfId="0">
      <alignment vertical="center"/>
    </xf>
    <xf numFmtId="164" fontId="19" fillId="0" borderId="0" applyAlignment="1" pivotButton="0" quotePrefix="0" xfId="0">
      <alignment vertical="center"/>
    </xf>
    <xf numFmtId="164" fontId="16" fillId="0" borderId="0" applyAlignment="1" pivotButton="0" quotePrefix="0" xfId="1">
      <alignment vertical="center"/>
    </xf>
  </cellXfs>
  <cellStyles count="12">
    <cellStyle name="표준" xfId="0" builtinId="0"/>
    <cellStyle name="쉼표 [0]" xfId="1" builtinId="6"/>
    <cellStyle name="백분율" xfId="2" builtinId="5"/>
    <cellStyle name="표준 2 4 2 4" xfId="3"/>
    <cellStyle name="쉼표 [0] 3_(최종수정)수도광열비(1월~8월)_stm" xfId="4"/>
    <cellStyle name="하이퍼링크 3" xfId="5"/>
    <cellStyle name="백분율 95" xfId="6"/>
    <cellStyle name="쉼표 [0] 10 2 2" xfId="7"/>
    <cellStyle name="쉼표 [0] 2" xfId="8"/>
    <cellStyle name="표준 3" xfId="9"/>
    <cellStyle name="Excel Built-in Comma [0] 1" xfId="10"/>
    <cellStyle name="백분율 2" xfId="1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externalLink" Target="/xl/externalLinks/externalLink2.xml" Id="rId9"/><Relationship Type="http://schemas.openxmlformats.org/officeDocument/2006/relationships/externalLink" Target="/xl/externalLinks/externalLink3.xml" Id="rId10"/><Relationship Type="http://schemas.openxmlformats.org/officeDocument/2006/relationships/externalLink" Target="/xl/externalLinks/externalLink4.xml" Id="rId11"/><Relationship Type="http://schemas.openxmlformats.org/officeDocument/2006/relationships/externalLink" Target="/xl/externalLinks/externalLink5.xml" Id="rId12"/><Relationship Type="http://schemas.openxmlformats.org/officeDocument/2006/relationships/externalLink" Target="/xl/externalLinks/externalLink6.xml" Id="rId13"/><Relationship Type="http://schemas.openxmlformats.org/officeDocument/2006/relationships/externalLink" Target="/xl/externalLinks/externalLink7.xml" Id="rId14"/><Relationship Type="http://schemas.openxmlformats.org/officeDocument/2006/relationships/externalLink" Target="/xl/externalLinks/externalLink8.xml" Id="rId15"/><Relationship Type="http://schemas.openxmlformats.org/officeDocument/2006/relationships/externalLink" Target="/xl/externalLinks/externalLink9.xml" Id="rId16"/><Relationship Type="http://schemas.openxmlformats.org/officeDocument/2006/relationships/externalLink" Target="/xl/externalLinks/externalLink10.xml" Id="rId17"/><Relationship Type="http://schemas.openxmlformats.org/officeDocument/2006/relationships/externalLink" Target="/xl/externalLinks/externalLink11.xml" Id="rId18"/><Relationship Type="http://schemas.openxmlformats.org/officeDocument/2006/relationships/externalLink" Target="/xl/externalLinks/externalLink12.xml" Id="rId19"/><Relationship Type="http://schemas.openxmlformats.org/officeDocument/2006/relationships/externalLink" Target="/xl/externalLinks/externalLink13.xml" Id="rId20"/><Relationship Type="http://schemas.openxmlformats.org/officeDocument/2006/relationships/externalLink" Target="/xl/externalLinks/externalLink14.xml" Id="rId21"/><Relationship Type="http://schemas.openxmlformats.org/officeDocument/2006/relationships/externalLink" Target="/xl/externalLinks/externalLink15.xml" Id="rId22"/><Relationship Type="http://schemas.openxmlformats.org/officeDocument/2006/relationships/externalLink" Target="/xl/externalLinks/externalLink16.xml" Id="rId23"/><Relationship Type="http://schemas.openxmlformats.org/officeDocument/2006/relationships/externalLink" Target="/xl/externalLinks/externalLink17.xml" Id="rId24"/><Relationship Type="http://schemas.openxmlformats.org/officeDocument/2006/relationships/externalLink" Target="/xl/externalLinks/externalLink18.xml" Id="rId25"/><Relationship Type="http://schemas.openxmlformats.org/officeDocument/2006/relationships/externalLink" Target="/xl/externalLinks/externalLink19.xml" Id="rId26"/><Relationship Type="http://schemas.openxmlformats.org/officeDocument/2006/relationships/externalLink" Target="/xl/externalLinks/externalLink20.xml" Id="rId27"/><Relationship Type="http://schemas.openxmlformats.org/officeDocument/2006/relationships/externalLink" Target="/xl/externalLinks/externalLink21.xml" Id="rId28"/><Relationship Type="http://schemas.openxmlformats.org/officeDocument/2006/relationships/externalLink" Target="/xl/externalLinks/externalLink22.xml" Id="rId29"/><Relationship Type="http://schemas.openxmlformats.org/officeDocument/2006/relationships/externalLink" Target="/xl/externalLinks/externalLink23.xml" Id="rId30"/><Relationship Type="http://schemas.openxmlformats.org/officeDocument/2006/relationships/externalLink" Target="/xl/externalLinks/externalLink24.xml" Id="rId31"/><Relationship Type="http://schemas.openxmlformats.org/officeDocument/2006/relationships/externalLink" Target="/xl/externalLinks/externalLink25.xml" Id="rId32"/><Relationship Type="http://schemas.openxmlformats.org/officeDocument/2006/relationships/externalLink" Target="/xl/externalLinks/externalLink26.xml" Id="rId33"/><Relationship Type="http://schemas.openxmlformats.org/officeDocument/2006/relationships/externalLink" Target="/xl/externalLinks/externalLink27.xml" Id="rId34"/><Relationship Type="http://schemas.openxmlformats.org/officeDocument/2006/relationships/externalLink" Target="/xl/externalLinks/externalLink28.xml" Id="rId35"/><Relationship Type="http://schemas.openxmlformats.org/officeDocument/2006/relationships/externalLink" Target="/xl/externalLinks/externalLink29.xml" Id="rId36"/><Relationship Type="http://schemas.openxmlformats.org/officeDocument/2006/relationships/externalLink" Target="/xl/externalLinks/externalLink30.xml" Id="rId37"/><Relationship Type="http://schemas.openxmlformats.org/officeDocument/2006/relationships/externalLink" Target="/xl/externalLinks/externalLink31.xml" Id="rId38"/><Relationship Type="http://schemas.openxmlformats.org/officeDocument/2006/relationships/externalLink" Target="/xl/externalLinks/externalLink32.xml" Id="rId39"/><Relationship Type="http://schemas.openxmlformats.org/officeDocument/2006/relationships/externalLink" Target="/xl/externalLinks/externalLink33.xml" Id="rId40"/><Relationship Type="http://schemas.openxmlformats.org/officeDocument/2006/relationships/externalLink" Target="/xl/externalLinks/externalLink34.xml" Id="rId41"/><Relationship Type="http://schemas.openxmlformats.org/officeDocument/2006/relationships/externalLink" Target="/xl/externalLinks/externalLink35.xml" Id="rId42"/><Relationship Type="http://schemas.openxmlformats.org/officeDocument/2006/relationships/externalLink" Target="/xl/externalLinks/externalLink36.xml" Id="rId43"/><Relationship Type="http://schemas.openxmlformats.org/officeDocument/2006/relationships/externalLink" Target="/xl/externalLinks/externalLink37.xml" Id="rId44"/><Relationship Type="http://schemas.openxmlformats.org/officeDocument/2006/relationships/externalLink" Target="/xl/externalLinks/externalLink38.xml" Id="rId45"/><Relationship Type="http://schemas.openxmlformats.org/officeDocument/2006/relationships/externalLink" Target="/xl/externalLinks/externalLink39.xml" Id="rId46"/><Relationship Type="http://schemas.openxmlformats.org/officeDocument/2006/relationships/externalLink" Target="/xl/externalLinks/externalLink40.xml" Id="rId47"/><Relationship Type="http://schemas.openxmlformats.org/officeDocument/2006/relationships/externalLink" Target="/xl/externalLinks/externalLink41.xml" Id="rId48"/><Relationship Type="http://schemas.openxmlformats.org/officeDocument/2006/relationships/externalLink" Target="/xl/externalLinks/externalLink42.xml" Id="rId49"/><Relationship Type="http://schemas.openxmlformats.org/officeDocument/2006/relationships/externalLink" Target="/xl/externalLinks/externalLink43.xml" Id="rId50"/><Relationship Type="http://schemas.openxmlformats.org/officeDocument/2006/relationships/externalLink" Target="/xl/externalLinks/externalLink44.xml" Id="rId51"/><Relationship Type="http://schemas.openxmlformats.org/officeDocument/2006/relationships/externalLink" Target="/xl/externalLinks/externalLink45.xml" Id="rId52"/><Relationship Type="http://schemas.openxmlformats.org/officeDocument/2006/relationships/externalLink" Target="/xl/externalLinks/externalLink46.xml" Id="rId53"/><Relationship Type="http://schemas.openxmlformats.org/officeDocument/2006/relationships/externalLink" Target="/xl/externalLinks/externalLink47.xml" Id="rId54"/><Relationship Type="http://schemas.openxmlformats.org/officeDocument/2006/relationships/externalLink" Target="/xl/externalLinks/externalLink48.xml" Id="rId55"/><Relationship Type="http://schemas.openxmlformats.org/officeDocument/2006/relationships/externalLink" Target="/xl/externalLinks/externalLink49.xml" Id="rId56"/><Relationship Type="http://schemas.openxmlformats.org/officeDocument/2006/relationships/externalLink" Target="/xl/externalLinks/externalLink50.xml" Id="rId57"/><Relationship Type="http://schemas.openxmlformats.org/officeDocument/2006/relationships/externalLink" Target="/xl/externalLinks/externalLink51.xml" Id="rId58"/><Relationship Type="http://schemas.openxmlformats.org/officeDocument/2006/relationships/externalLink" Target="/xl/externalLinks/externalLink52.xml" Id="rId59"/><Relationship Type="http://schemas.openxmlformats.org/officeDocument/2006/relationships/externalLink" Target="/xl/externalLinks/externalLink53.xml" Id="rId60"/><Relationship Type="http://schemas.openxmlformats.org/officeDocument/2006/relationships/externalLink" Target="/xl/externalLinks/externalLink54.xml" Id="rId61"/><Relationship Type="http://schemas.openxmlformats.org/officeDocument/2006/relationships/externalLink" Target="/xl/externalLinks/externalLink55.xml" Id="rId62"/><Relationship Type="http://schemas.openxmlformats.org/officeDocument/2006/relationships/styles" Target="styles.xml" Id="rId63"/><Relationship Type="http://schemas.openxmlformats.org/officeDocument/2006/relationships/theme" Target="theme/theme1.xml" Id="rId64"/></Relationships>
</file>

<file path=xl/comments/comment1.xml><?xml version="1.0" encoding="utf-8"?>
<comments xmlns="http://schemas.openxmlformats.org/spreadsheetml/2006/main">
  <authors>
    <author>김 관준</author>
  </authors>
  <commentList>
    <comment ref="Z3" authorId="0" shapeId="0">
      <text>
        <t>김 관준:
Source: 복사본 주유소 매각현황_260507.xlsx, 담보대출상환비율 시트 (지역별 상환비율을 각 주유소 지역에 매핑)</t>
      </text>
    </comment>
    <comment ref="S4" authorId="0" shapeId="0">
      <text>
        <t>김 관준:
Source: 복사본 주유소 매각현황_260507.xlsx, 매입장부가 시트 - 부동산장부가액 안분 토지가액</t>
      </text>
    </comment>
    <comment ref="T4" authorId="0" shapeId="0">
      <text>
        <t>김 관준:
Source: 복사본 주유소 매각현황_260507.xlsx, 매입장부가 시트 - 건물등 소계</t>
      </text>
    </comment>
    <comment ref="V4" authorId="0" shapeId="0">
      <text>
        <t>김 관준:
Source: 복사본 주유소 매각현황_260507.xlsx, 매입장부가 시트 - 매매대금 배분 토지</t>
      </text>
    </comment>
    <comment ref="K21" authorId="0" shapeId="0">
      <text>
        <t>김 관준:
'- 권장용도: 문화 및 집회시설 중 공연장/전시장,
  판매시설, 업무시설(바닥면적 1,000m2 이상), 의료
  시설 중 병원(정신병원 제외), 교육연구시설 중 학원</t>
      </text>
    </comment>
    <comment ref="K22" authorId="0" shapeId="0">
      <text>
        <t>김 관준:
'- 판매 및 영업시설
- 근린생활시설</t>
      </text>
    </comment>
    <comment ref="K26" authorId="0" shapeId="0">
      <text>
        <t>김 관준:
'- 단독주택, 공동주택 중 기숙사, 제1종근생, 제2종근생,
  문화 및 집회시설, 종교시설, 판매시설, 의료시설,
  교육연구시설, 노유자시설, 운동시설, 업무시설, 공장
  중 도시계획조례 준주거지역에서 건축할 수 있는 공장,
  위험물저장 및 처리시설 중 주유소 및 부대시설, 자동
  차관련시설</t>
      </text>
    </comment>
  </commentList>
</comments>
</file>

<file path=xl/comments/comment2.xml><?xml version="1.0" encoding="utf-8"?>
<comments xmlns="http://schemas.openxmlformats.org/spreadsheetml/2006/main">
  <authors>
    <author>안 승준</author>
  </authors>
  <commentList>
    <comment ref="U13" authorId="0" shapeId="0">
      <text>
        <t xml:space="preserve">신호모터스 건물 매입가 15억원 추가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JOSHI\MY%20DOCUMENTS\WINDOWS\Desktop\Manoj%20Gandhi\FINDRDEC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&#44285;&#49849;&#54984;\&#44032;&#47532;&#48393;&#51116;&#51221;&#48708;&#52489;&#51652;&#51648;&#44396;\&#51088;&#47308;&#44160;&#53664;\1&#49324;&#50629;&#49457;&#44160;&#53664;&#51088;&#47308;\&#44053;&#45224;&#44396;&#52397;&#44060;&#48156;\&#51312;&#45804;&#52397;&#48512;&#51648;&#44060;&#48156;\&#49340;&#49457;&#47932;&#49328;\&#49352;&#54028;&#51068;\A&#49373;&#47749;98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Yikyongsoo\DATA\&#51088;&#47308;&#44160;&#53664;\1&#49324;&#50629;&#49457;&#44160;&#53664;&#51088;&#47308;\&#44053;&#45224;&#44396;&#52397;&#44060;&#48156;\&#51312;&#45804;&#52397;&#48512;&#51648;&#44060;&#48156;\&#49340;&#49457;&#47932;&#49328;\&#49352;&#54028;&#51068;\A&#49373;&#47749;98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A:\&#25351;&#27161;&#26376;&#22577;\A6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172.16.100.140\02%20%20&#47532;&#52768;&#48512;&#47928;\&#44204;&#51201;&#49892;\&#44592;&#53440;\&#44060;&#51064;\4.&#45824;&#47532;\&#51060;&#51116;&#44592;\&#51068;&#48152;-RC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72.16.100.140\02%20%20&#47532;&#52768;&#48512;&#47928;\Documents%20and%20Settings\Netware%20ID\My%20Documents\&#44048;&#49324;&#51312;&#49436;&#49436;&#47448;\&#44048;&#49324;schedule&#52280;&#44256;&#50857;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A:\&#44204;&#51201;&#49892;\&#44592;&#53440;\&#44060;&#51064;\4.&#45824;&#47532;\&#51060;&#49457;&#54616;\FILE\&#50696;&#49328;F\&#50500;&#54028;&#53944;F\&#50504;&#50577;2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HDFILE\HAUS\&#44204;&#51201;&#49892;\&#44592;&#51456;\&#45800;&#44032;&#51088;&#47308;\&#50808;&#51452;&#44204;&#51201;\&#51473;&#44592;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netappwmc1\Documents%20and%20Settings\mngo\Local%20Settings\Temporary%20Internet%20Files\OLK6D\Intel%20SL%20CF%20Value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apacdfs\sg\Clients\Overseas%20Union%20Enterprises\Proposals\Feb%202014%20Acquisition\Backup\OUECT_Pre%20Back%20Up_20140228_v3.xlsx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Z:\WINDOWS\TEMP\My%20Documents\Process\HCR\Basic%20Data\Spec\1&#44284;\Control%20Valve\HCR%20Control%20Valve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&#44285;&#49849;&#54872;\C\MSOFFICE\EXCEL\YOON\&#51473;&#51216;&#49324;&#50629;\&#50629;&#52404;FIX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E:\Users\Administrator\Desktop\esErrNameDelete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A:\&#38306;&#35199;&#38651;&#21147;\&#12510;&#12452;&#12459;&#33576;&#26408;\&#65423;&#65394;&#65398;&#65433;&#33576;&#26408;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I:\Users\Administrator\AppData\Local\Microsoft\Windows\Temporary%20Internet%20Files\Low\~ing\2014_&#50696;&#49328;\&#48372;&#44256;&#54028;&#51068;\Korea\KCAT\Bid\Samsung%20Heavy\Samsung%20Heavy%20Industry%20Bldg.Info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&#44053;&#46041;&#54840;\&#44053;&#46041;&#54840;\MSOFFICE\EXCEL\EXAMPLES\TEST1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JOSHI\MY%20DOCUMENTS\WINDOWS\Desktop\Manoj%20Gandhi\WINDOWS\DEPRE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&#51221;&#44592;&#46024;\&#44060;&#49328;&#44204;&#51201;\ESTI\K-EMART\&#44204;&#51201;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webmail.ap.joneslanglasalle.com/Documents%20and%20Settings/Luriem/Desktop/63816~~DASHBOARDWORKBOOKS/Dashboard,%20WSJ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172.16.100.140\02%20%20&#47532;&#52768;&#48512;&#47928;\My%20Documents\Excel\LIK\OTH\Inv\00&#48152;&#44592;\&#51116;&#44256;&#51312;&#49324;99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B:\WINDOWS\DEPRE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\\nccrpfs1\NCCR\Everyone\Asset%20Management\Report(&#65315;&#65331;&#65323;%20etc)\Feb-04\NCR1\8%20Todoroki\Todoroki%20Feb-04.xls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\\172.16.100.140\02%20%20&#47532;&#52768;&#48512;&#47928;\Users\user\Desktop\&#44552;&#50997;&#44592;&#44288;&#51312;&#54924;&#49436;_v1.xlsx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\\Krkrdab103\&#45712;&#49884;\WORK\&#45824;&#50689;&#54252;&#51109;\My%20Documents\work-&#49436;&#51068;\&#51068;&#49340;\&#51068;&#49340;&#54788;&#44552;&#55120;&#47492;&#54364;.xls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K:\&#54144;&#46300;&#49436;&#48708;&#49828;&#48512;(P)\&#44277;&#50857;-REITs\REITs&#54016;\&#47532;&#52768;%20&#54924;&#49324;&#48324;\&#53076;&#46988;&#53076;&#51088;&#49328;&#49888;&#53441;\&#53076;&#46988;&#53076;&#50640;&#45320;&#51648;\11.%20&#51116;&#47924;&#51228;&#54364;\&#51228;5&#44592;\2022.09&#50900;\%20%20&#51312;&#49436;&#51032;%20&#50892;&#53356;&#49884;&#53944;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K:\&#54144;&#46300;&#49436;&#48708;&#49828;&#48512;(P)\&#44277;&#50857;-REITs\REITs&#54016;\&#47532;&#52768;%20&#54924;&#49324;&#48324;\&#53076;&#46988;&#53076;&#51088;&#49328;&#49888;&#53441;\&#53076;&#46988;&#53076;&#50640;&#45320;&#51648;\11.%20&#51116;&#47924;&#51228;&#54364;\&#51228;5&#44592;\2022.09&#50900;\Worksheet%20in%205760%20&#44048;&#44032;&#49345;&#44033;&#48708;(&#45572;&#44228;&#50529;)&#47749;&#49464;&#49436;" TargetMode="External" Id="rId1"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\\KR-KANGJIWOONG\aws\Documents%20and%20Settings\Administrator\My%20Documents\&#50629;&#47924;\&#48516;&#44592;&#44160;&#53664;\&#53076;&#53356;&#47129;1&#54840;&#48152;&#44592;(6&#44592;)\&#51204;&#44592;&#51312;&#49436;\&#44592;&#47568;\5710%20&#50976;&#54805;&#51088;&#49328;%20Leadsheet.xls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K:\&#54144;&#46300;&#49436;&#48708;&#49828;&#48512;(P)\&#44277;&#50857;-REITs\REITs&#54016;\&#47532;&#52768;%20&#54924;&#49324;&#48324;\&#53076;&#46988;&#53076;&#51088;&#49328;&#49888;&#53441;\&#53076;&#46988;&#53076;&#50640;&#45320;&#51648;\11.%20&#51116;&#47924;&#51228;&#54364;\&#51228;5&#44592;\2022.09&#50900;\Worksheet%20in%205720%20&#50976;&#54805;&#51088;&#49328;%20LEAD" TargetMode="External" Id="rId1"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\\Ryul\&#49457;&#47456;&#51060;%20&#44277;&#50976;\Documents%20and%20Settings\&#44608;&#49457;&#50756;\My%20Documents\sw%5e%5e\&#51088;&#44552;\&#49688;&#51221;\Audit%20client\&#50528;&#44221;&#44536;&#47353;&#44208;&#54633;\Projected%20FS\kjk\&#51068;&#48152;\&#51648;&#44553;&#50612;&#51020;.XLS" TargetMode="External" Id="rId1"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\\KR-KANGJIWOONG\aws\WINDOWS\TEMP\5712%20&#50976;&#54805;&#51088;&#49328;&#47532;&#46300;.xls" TargetMode="External" Id="rId1"/></Relationships>
</file>

<file path=xl/externalLinks/_rels/externalLink31.xml.rels><Relationships xmlns="http://schemas.openxmlformats.org/package/2006/relationships"><Relationship Type="http://schemas.microsoft.com/office/2006/relationships/xlExternalLinkPath/xlPathMissing" Target="Worksheet%20in%202261.1%20Final%20Accounts" TargetMode="External" Id="rId1"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\\&#44608;&#55141;&#49692;\&#44277;&#50976;\2&#49436;&#49457;&#44396;\&#54788;&#51109;\&#51068;&#49328;&#51648;&#54617;&#49324;\&#44592;&#49689;&#49324;\LOTUS\&#44144;&#51228;&#46020;\&#44144;&#51228;&#46020;.XLS" TargetMode="External" Id="rId1"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\\Cwkrs001\asset\P&#12489;&#12521;&#12452;&#12502;&#65288;&#12499;&#12523;&#12510;&#12493;&#65289;\&#26412;&#31038;\&#12499;&#12523;&#12510;&#12493;\&#20107;&#21209;&#21729;\&#31649;&#29702;&#38306;&#20418;\&#65420;&#65439;&#65435;&#65418;&#65439;&#65411;&#65384;\G&#65317;\&#26376;&#27425;&#22577;&#21578;&#26360;\7&#26376;&#20998;\&#20210;&#22478;\Mito.xls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file:///\\172.16.100.140\02%20%20&#47532;&#52768;&#48512;&#47928;\DATA\FC\CONDI\ADMIN\SHSUN\&#44277;&#53685;&#47588;&#51077;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\\172.16.100.140\02%20%20&#47532;&#52768;&#48512;&#47928;\MSOFFICE\EXCEL\&#44204;&#51201;LIST\&#51452;&#49345;&#48373;&#54633;\&#50976;&#47548;&#53080;&#46020;.XLS" TargetMode="External" Id="rId1"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\\172.16.100.140\02%20%20&#47532;&#52768;&#48512;&#47928;\&#44204;&#51201;&#49892;\&#44592;&#53440;\&#44060;&#51064;\4.&#45824;&#47532;\&#51060;&#49457;&#54616;\FILE\&#44277;&#53685;&#48708;F\&#45432;&#50516;&#44277;&#53685;.xls" TargetMode="External" Id="rId1"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\\Hdedms\Mepss\&#50629;&#47924;\&#52265;&#49688;&#44208;&#51032;&#49436;\&#48520;&#44305;1&#44396;&#50669;\&#44204;&#51201;&#49892;\&#44592;&#53440;\&#44060;&#51064;\4.&#45824;&#47532;\&#51060;&#49457;&#54616;\FILE\&#50696;&#49328;F\&#50500;&#54028;&#53944;F\&#44368;&#46041;&#54788;&#51109;.xls" TargetMode="External" Id="rId1"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\\&#51221;&#50980;&#55148;\6&#50900;\&#45800;&#44592;&#52264;&#51077;&#44552;.XLS" TargetMode="External" Id="rId1"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file:///\\Hdapp\mepss\Project\&#44060;&#47029;&#44204;&#51201;\&#50500;&#54028;&#53944;\&#49436;&#50872;\&#54620;&#45224;&#46041;\KBLEE\&#44592;&#53440;\&#54364;&#51456;\1.xls" TargetMode="External" Id="rId1"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file:///\\MIGA&#44608;&#44305;&#49688;\&#49340;&#49457;%20TOWER%20P\KBLEE\&#44592;&#53440;\&#54364;&#51456;\1.xls" TargetMode="External" Id="rId1"/></Relationships>
</file>

<file path=xl/externalLinks/_rels/externalLink41.xml.rels><Relationships xmlns="http://schemas.openxmlformats.org/package/2006/relationships"><Relationship Type="http://schemas.openxmlformats.org/officeDocument/2006/relationships/externalLinkPath" Target="file:///A:\WORK\&#45824;&#50689;&#54252;&#51109;\work\&#54620;&#49436;&#51228;&#50557;\A&#51312;&#49436;-&#54620;&#49436;.XLS" TargetMode="External" Id="rId1"/></Relationships>
</file>

<file path=xl/externalLinks/_rels/externalLink42.xml.rels><Relationships xmlns="http://schemas.openxmlformats.org/package/2006/relationships"><Relationship Type="http://schemas.openxmlformats.org/officeDocument/2006/relationships/externalLinkPath" Target="file:///A:\&#44204;&#51201;&#49892;\&#44592;&#53440;\&#44060;&#51064;\4.&#45824;&#47532;\&#51060;&#49457;&#54616;\FILE\&#50696;&#49328;F\&#50500;&#54028;&#53944;F\&#44368;&#46041;&#54788;&#51109;.xls" TargetMode="External" Id="rId1"/></Relationships>
</file>

<file path=xl/externalLinks/_rels/externalLink43.xml.rels><Relationships xmlns="http://schemas.openxmlformats.org/package/2006/relationships"><Relationship Type="http://schemas.openxmlformats.org/officeDocument/2006/relationships/externalLinkPath" Target="file:///\\H9400935\c\DATUM\&#52712;&#54616;&#51088;&#47308;\96&#45380;&#46020;&#51088;\&#52712;&#54616;&#51088;&#47308;\96&#45380;&#46020;&#51088;\&#51068;&#51068;&#49688;&#44552;.XLS" TargetMode="External" Id="rId1"/></Relationships>
</file>

<file path=xl/externalLinks/_rels/externalLink44.xml.rels><Relationships xmlns="http://schemas.openxmlformats.org/package/2006/relationships"><Relationship Type="http://schemas.openxmlformats.org/officeDocument/2006/relationships/externalLinkPath" Target="file:///\\DP6129\&#44256;&#50689;&#48372;&#51068;&#48152;\98&#50672;&#47568;&#44208;&#49328;\My%20Documents\IPIC\A&#44256;&#50689;&#48372;\IPIC\9806&#44208;&#49328;\WORK\RAW\RAW9701\RAW9701.XLS" TargetMode="External" Id="rId1"/></Relationships>
</file>

<file path=xl/externalLinks/_rels/externalLink45.xml.rels><Relationships xmlns="http://schemas.openxmlformats.org/package/2006/relationships"><Relationship Type="http://schemas.openxmlformats.org/officeDocument/2006/relationships/externalLinkPath" Target="file:///\\Krkrdab103\&#45712;&#49884;\work\&#54620;&#49436;&#51228;&#50557;\A&#51312;&#49436;-&#54620;&#49436;.XLS" TargetMode="External" Id="rId1"/></Relationships>
</file>

<file path=xl/externalLinks/_rels/externalLink46.xml.rels><Relationships xmlns="http://schemas.openxmlformats.org/package/2006/relationships"><Relationship Type="http://schemas.openxmlformats.org/officeDocument/2006/relationships/externalLinkPath" Target="file:///\\&#44608;&#49437;&#44508;\&#44608;&#49437;&#44508;\My%20Documents\Audit%20client\&#50528;&#44221;&#44536;&#47353;&#44208;&#54633;\Projected%20FS\kjk\&#51068;&#48152;\&#51648;&#44553;&#50612;&#51020;.XLS" TargetMode="External" Id="rId1"/></Relationships>
</file>

<file path=xl/externalLinks/_rels/externalLink47.xml.rels><Relationships xmlns="http://schemas.openxmlformats.org/package/2006/relationships"><Relationship Type="http://schemas.openxmlformats.org/officeDocument/2006/relationships/externalLinkPath" Target="file:///D:\DOCUME~1\&#48149;&#50980;&#55148;\LOCALS~1\Temp\Documents%20and%20Settings\&#48149;&#50980;&#55148;\Local%20Settings\Temporary%20Internet%20Files\Content.IE5\DSJ4MATH\Pentech\MR\5&#50900;\WINDOWS\&#48148;&#53461;%20&#54868;&#47732;\&#51648;&#48516;&#48277;&#48143;&#54620;&#51068;&#51088;&#50556;.xls" TargetMode="External" Id="rId1"/></Relationships>
</file>

<file path=xl/externalLinks/_rels/externalLink48.xml.rels><Relationships xmlns="http://schemas.openxmlformats.org/package/2006/relationships"><Relationship Type="http://schemas.openxmlformats.org/officeDocument/2006/relationships/externalLinkPath" Target="file:///\\&#48149;&#48372;&#48712;\&#48372;&#44256;&#49324;&#54637;\My%20Documents\&#48149;&#48372;&#48712;\LONE%20STAR\My%20Documents\&#48149;&#48372;&#48712;\&#50504;&#49464;&#54872;\&#50900;PMC&#48372;&#44256;&#49436;\2003&#45380;%20&#48372;&#44256;&#49436;\&#51228;&#50504;&#49436;\&#51008;&#49437;&#48716;&#46377;\&#47196;&#45812;&#53076;&#52509;&#44292;&#51228;&#50504;&#44204;&#51201;3.XLS" TargetMode="External" Id="rId1"/></Relationships>
</file>

<file path=xl/externalLinks/_rels/externalLink49.xml.rels><Relationships xmlns="http://schemas.openxmlformats.org/package/2006/relationships"><Relationship Type="http://schemas.openxmlformats.org/officeDocument/2006/relationships/externalLinkPath" Target="file:///\\&#44608;&#51116;&#51473;\&#44208;&#49328;\Sang%20Kyo\&#44208;&#49328;\2001&#45380;&#44208;&#49328;\&#44208;&#49328;&#44048;&#49324;\&#44048;&#49324;&#50857;\WINDOWS\&#48148;&#53461;%20&#54868;&#47732;\&#44608;&#44221;&#49688;\sekyong\excel\1)&#44592;&#48376;&#49436;&#49885;.xls" TargetMode="External" Id="rId1"/></Relationships>
</file>

<file path=xl/externalLinks/_rels/externalLink50.xml.rels><Relationships xmlns="http://schemas.openxmlformats.org/package/2006/relationships"><Relationship Type="http://schemas.openxmlformats.org/officeDocument/2006/relationships/externalLinkPath" Target="file:///\\&#51060;&#50689;&#54984;\&#51076;&#54217;&#45209;\2001-12&#50900;%20&#52292;&#44428;&#54788;&#54889;&#54364;\&#50976;&#46041;&#54868;&#52292;&#44428;&#50577;&#49688;&#46020;&#54788;&#54889;.xls" TargetMode="External" Id="rId1"/></Relationships>
</file>

<file path=xl/externalLinks/_rels/externalLink51.xml.rels><Relationships xmlns="http://schemas.openxmlformats.org/package/2006/relationships"><Relationship Type="http://schemas.openxmlformats.org/officeDocument/2006/relationships/externalLinkPath" Target="file:///\\&#48149;&#48372;&#48712;\&#50900;PMC&#48372;&#44256;&#49436;\My%20Documents\&#48149;&#48372;&#48712;\&#48708;&#49345;&#50672;&#46973;,&#50577;&#49885;\&#51312;&#51649;&#46020;\WINDOWS\&#48148;&#53461;%20&#54868;&#47732;\&#44148;&#52629;\&#51228;&#50504;&#49436;\&#51008;&#49437;&#48716;&#46377;\&#47196;&#45812;&#53076;&#52509;&#44292;&#51228;&#50504;&#44204;&#51201;3.XLS" TargetMode="External" Id="rId1"/></Relationships>
</file>

<file path=xl/externalLinks/_rels/externalLink52.xml.rels><Relationships xmlns="http://schemas.openxmlformats.org/package/2006/relationships"><Relationship Type="http://schemas.openxmlformats.org/officeDocument/2006/relationships/externalLinkPath" Target="file:///\\Ryul\&#49457;&#47456;&#51060;%20&#44277;&#50976;\Documents%20and%20Settings\&#44608;&#49457;&#50756;\My%20Documents\sw%5e%5e\&#51088;&#44552;\My%20Documents\Audit%20client\&#50528;&#44221;&#44536;&#47353;&#44208;&#54633;\Projected%20FS\kjk\&#51068;&#48152;\&#51648;&#44553;&#50612;&#51020;.XLS" TargetMode="External" Id="rId1"/></Relationships>
</file>

<file path=xl/externalLinks/_rels/externalLink53.xml.rels><Relationships xmlns="http://schemas.openxmlformats.org/package/2006/relationships"><Relationship Type="http://schemas.openxmlformats.org/officeDocument/2006/relationships/externalLinkPath" Target="file:///\\&#48149;&#48372;&#48712;\&#50504;&#49464;&#54872;\&#50900;PMC&#48372;&#44256;&#49436;\&#51228;&#50504;&#49436;\&#51008;&#49437;&#48716;&#46377;\&#47196;&#45812;&#53076;&#52509;&#44292;&#51228;&#50504;&#44204;&#51201;3.XLS" TargetMode="External" Id="rId1"/></Relationships>
</file>

<file path=xl/externalLinks/_rels/externalLink54.xml.rels><Relationships xmlns="http://schemas.openxmlformats.org/package/2006/relationships"><Relationship Type="http://schemas.openxmlformats.org/officeDocument/2006/relationships/externalLinkPath" Target="file:///\\JJJ90\&#51116;&#51221;&#48512;\Windows\&#48148;&#53461;%20&#54868;&#47732;\&#51116;&#51221;&#48512;\&#51060;&#51088;&#48516;&#49437;\&#51648;&#44553;&#51060;&#51088;\98&#45380;&#44036;&#48516;&#44592;.xls" TargetMode="External" Id="rId1"/></Relationships>
</file>

<file path=xl/externalLinks/_rels/externalLink55.xml.rels><Relationships xmlns="http://schemas.openxmlformats.org/package/2006/relationships"><Relationship Type="http://schemas.openxmlformats.org/officeDocument/2006/relationships/externalLinkPath" Target="file:///\\Krkrdab103\&#45712;&#49884;\WORK\&#49457;&#51652;C&amp;C\&#51473;&#44036;&#44048;&#49324;-&#46300;&#47548;&#46972;&#51064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6"/>
      <sheetName val="Partic"/>
      <sheetName val="FINDRDEC"/>
      <sheetName val="Sheet2"/>
      <sheetName val="Sheet3 (2)"/>
      <sheetName val="DKPL9811"/>
      <sheetName val="summ"/>
      <sheetName val="sheet1"/>
      <sheetName val="sheet4"/>
      <sheetName val="Sheet4a"/>
      <sheetName val="sheet5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02"/>
      <sheetName val="03"/>
      <sheetName val="04"/>
      <sheetName val="01"/>
      <sheetName val="Monthly"/>
      <sheetName val="girder"/>
      <sheetName val="Rocker"/>
      <sheetName val="C"/>
      <sheetName val="extra"/>
      <sheetName val="Grand"/>
      <sheetName val="FitOutConfCentre"/>
      <sheetName val="CASHFLOWS"/>
      <sheetName val="SUMMARY"/>
      <sheetName val="#REF"/>
      <sheetName val="Estimate for approval"/>
      <sheetName val="Lab"/>
      <sheetName val="Code"/>
      <sheetName val="Legend"/>
      <sheetName val="Hot"/>
      <sheetName val="INI"/>
      <sheetName val="Assumptions"/>
      <sheetName val="Output"/>
      <sheetName val="Sheet3_(2)"/>
      <sheetName val="% Collection Schedule"/>
      <sheetName val="LBO"/>
      <sheetName val="Main"/>
      <sheetName val="Rate Analysis"/>
      <sheetName val="BLK2"/>
      <sheetName val="BLK3"/>
      <sheetName val="E &amp; R"/>
      <sheetName val="radar"/>
      <sheetName val="UG"/>
      <sheetName val="Design"/>
      <sheetName val="98Price"/>
      <sheetName val="Earnings model"/>
      <sheetName val="BHANDUP"/>
      <sheetName val="Set"/>
      <sheetName val="Concessions Lodz SC"/>
      <sheetName val="Data"/>
      <sheetName val="Instructions"/>
      <sheetName val="A5.201 Consol Profit &amp; Loss "/>
      <sheetName val="Consolidated Monthly"/>
      <sheetName val="Balance Sheet"/>
      <sheetName val="A5.202 Consol Balance Sheet "/>
      <sheetName val="BS"/>
      <sheetName val="Consolidated"/>
      <sheetName val="PB"/>
      <sheetName val="Fixed Assets"/>
      <sheetName val="Receivables"/>
      <sheetName val="Charts"/>
      <sheetName val="Stacking Plan &amp; LEP"/>
      <sheetName val="Estimate_for_approval"/>
      <sheetName val="Sheet3_(2)1"/>
      <sheetName val="Estimate_for_approval1"/>
      <sheetName val="Sheet3_(2)2"/>
      <sheetName val="Estimate_for_approval2"/>
      <sheetName val="Sheet3_(2)3"/>
      <sheetName val="Estimate_for_approval3"/>
      <sheetName val="Sheet3_(2)4"/>
      <sheetName val="Estimate_for_approval4"/>
      <sheetName val="pldt"/>
      <sheetName val="results"/>
      <sheetName val="P&amp;LDEC99"/>
      <sheetName val="Sheet18"/>
      <sheetName val="Sheet17"/>
      <sheetName val="SUMM1"/>
      <sheetName val="Sheet3"/>
      <sheetName val="Sheet31"/>
      <sheetName val="Sheet30"/>
      <sheetName val="Sheet29"/>
      <sheetName val="Sheet28"/>
      <sheetName val="Sheet27"/>
      <sheetName val="Sheet26"/>
      <sheetName val="Sheet25"/>
      <sheetName val="Sheet24"/>
      <sheetName val="Sheet23"/>
      <sheetName val="Sheet22"/>
      <sheetName val="Sheet21"/>
      <sheetName val="Sheet20"/>
      <sheetName val="Sheet19"/>
      <sheetName val="Materials Cost(PCC)"/>
      <sheetName val="office"/>
      <sheetName val="concrete"/>
      <sheetName val="beam-reinft-IIInd floor"/>
      <sheetName val="SPT vs PHI"/>
      <sheetName val="Materials Cost"/>
      <sheetName val="beam-reinft-machine rm"/>
      <sheetName val="jobhist"/>
      <sheetName val="R20_R30_work"/>
      <sheetName val="A-D"/>
      <sheetName val="H"/>
      <sheetName val="BWR"/>
      <sheetName val="CRITERIA3"/>
      <sheetName val="CRITERIA1"/>
      <sheetName val="Excess Calc"/>
      <sheetName val="KG-DWN"/>
      <sheetName val="Key assumption"/>
      <sheetName val="BKCSTOCKVAL"/>
      <sheetName val="Grouping Master"/>
      <sheetName val="Occ"/>
      <sheetName val="Demand"/>
      <sheetName val="Material List "/>
      <sheetName val="STAFFSCHED "/>
      <sheetName val="upa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1 Market"/>
      <sheetName val="FINAL"/>
      <sheetName val="Mar-06"/>
      <sheetName val="Jul-05"/>
      <sheetName val="Stacking Plan"/>
      <sheetName val="Infinite Studios"/>
      <sheetName val="Neuros &amp; Immunos"/>
      <sheetName val="Nucleos"/>
      <sheetName val="Commission and Volume MOM(Chart"/>
      <sheetName val="MN T.B."/>
      <sheetName val="INDIGINEOUS ITEMS "/>
      <sheetName val="TB"/>
      <sheetName val="Costcal"/>
      <sheetName val="11-hsd"/>
      <sheetName val="13-septic"/>
      <sheetName val="7-ug"/>
      <sheetName val="2-utility"/>
      <sheetName val="Bin"/>
      <sheetName val="SCHE-MARCH'04"/>
      <sheetName val="Sheet 2"/>
      <sheetName val="Apartments - 1st Mar"/>
      <sheetName val="JCF"/>
      <sheetName val="Multiple output"/>
      <sheetName val="CGOI"/>
      <sheetName val="vb 9&amp;10"/>
      <sheetName val="Earnings_model"/>
      <sheetName val="Schedules"/>
      <sheetName val="B S-31-3-2006"/>
      <sheetName val="132417"/>
      <sheetName val="35 D Annex2"/>
      <sheetName val="CMA_Calculations"/>
      <sheetName val="H.O"/>
      <sheetName val="営業収益"/>
      <sheetName val="TRIAL BALANCE"/>
      <sheetName val="Keyratios"/>
      <sheetName val="Card nos."/>
      <sheetName val="YE-SW2"/>
      <sheetName val="Statistics {pbc}"/>
      <sheetName val="関係会社貸付金データ"/>
      <sheetName val="末残計画(四半期ベース)"/>
      <sheetName val="MISBS"/>
      <sheetName val="BOD PL NEW"/>
      <sheetName val="AFFI内訳"/>
      <sheetName val="Assumptions (2)"/>
      <sheetName val="Cntrl Sheet"/>
      <sheetName val="B S"/>
      <sheetName val="Project Cost"/>
      <sheetName val="CAS P"/>
      <sheetName val="194C"/>
      <sheetName val="ﾏﾁｭﾘﾃｨﾗﾀﾞｰ（月次ベース）"/>
      <sheetName val="ﾏﾁｭﾘﾃｨﾗﾀﾞｰ（四半期ベース）"/>
      <sheetName val="EXPENDITURE CYCLE"/>
      <sheetName val="Inputs"/>
      <sheetName val="海外WORK"/>
      <sheetName val="Facility"/>
      <sheetName val="Lrnet_Inftch"/>
      <sheetName val="Input"/>
      <sheetName val="deb"/>
      <sheetName val="FIN_EXPENSE"/>
      <sheetName val="43B"/>
      <sheetName val="DTPL"/>
      <sheetName val="Fixed Assets Top Sheet- Consol"/>
      <sheetName val="VIR CG"/>
      <sheetName val="業種小分類"/>
      <sheetName val="業種大分類"/>
      <sheetName val="Weighted Avg"/>
      <sheetName val="Interest"/>
      <sheetName val="Links"/>
      <sheetName val="m3&amp;4"/>
      <sheetName val="Assumptions (W)"/>
      <sheetName val="Misc"/>
      <sheetName val="PAP"/>
      <sheetName val="Masters"/>
      <sheetName val="P L"/>
      <sheetName val="総括（1～3Q）"/>
      <sheetName val="NKEL O&amp;M"/>
      <sheetName val="192"/>
      <sheetName val="GLED"/>
      <sheetName val="IRR"/>
      <sheetName val="CAPEX"/>
      <sheetName val="国内work"/>
      <sheetName val="その他"/>
      <sheetName val="SPR"/>
      <sheetName val="COMPUTATION"/>
      <sheetName val="ASSUMPTIONS 2"/>
      <sheetName val=" TARIFFS POST PCOD"/>
      <sheetName val="Valuation"/>
      <sheetName val="Workings"/>
      <sheetName val="TAX"/>
      <sheetName val="DCF Valuation - FCFF"/>
      <sheetName val="FAR"/>
      <sheetName val="FA Leadsheet &amp; Movement"/>
      <sheetName val="Profit &amp; Loss"/>
      <sheetName val="Summary - USD"/>
      <sheetName val="Yield-COB"/>
      <sheetName val="全体"/>
      <sheetName val="NFF"/>
      <sheetName val="1"/>
      <sheetName val="再ﾘｰｽ収益"/>
      <sheetName val="利息連結"/>
      <sheetName val="受取手数料"/>
      <sheetName val="有価証券残高（仮提出）"/>
      <sheetName val="発生連結"/>
      <sheetName val="関連会社明細"/>
      <sheetName val="売却可能公債"/>
      <sheetName val="3部提出用累計"/>
      <sheetName val="繰入連結"/>
      <sheetName val="諸原価連結"/>
      <sheetName val="四半期毎MICﾃﾞｰﾀ転記"/>
      <sheetName val="単体SGA"/>
      <sheetName val="販管連結"/>
      <sheetName val="平残連結"/>
      <sheetName val="Main School Building"/>
      <sheetName val="BOQ-1"/>
      <sheetName val="유통망계획"/>
      <sheetName val="EXPENSES"/>
      <sheetName val="Currency"/>
      <sheetName val="Chembur 1"/>
      <sheetName val="Felix Street Summary"/>
      <sheetName val="Newspapers"/>
      <sheetName val="AccDil"/>
      <sheetName val="Fee Rate Summary"/>
      <sheetName val="Rate_Analysis"/>
      <sheetName val="E_&amp;_R"/>
      <sheetName val="JE10310X"/>
      <sheetName val="tngst1"/>
      <sheetName val="MAHSTOCKVAL"/>
      <sheetName val="FOIL"/>
      <sheetName val="Accounts"/>
      <sheetName val="sdrs_mar"/>
      <sheetName val="Index"/>
      <sheetName val="Summary_Local"/>
      <sheetName val="segment_topsheet"/>
      <sheetName val="FY16-17 Cashflow"/>
      <sheetName val="List"/>
      <sheetName val="RR"/>
      <sheetName val="Ten"/>
      <sheetName val="ES"/>
      <sheetName val="Roster"/>
      <sheetName val="For_Trav-01"/>
      <sheetName val="Rent -01"/>
      <sheetName val="AV"/>
      <sheetName val="Sukuki CDR"/>
      <sheetName val="BQMPALOC"/>
      <sheetName val="B-SHEET"/>
      <sheetName val="GrossMgn 98"/>
      <sheetName val="validation"/>
      <sheetName val="Wall"/>
      <sheetName val="Labour Rate "/>
      <sheetName val="(M+L)"/>
      <sheetName val="DPR"/>
      <sheetName val="hist&amp;proj"/>
      <sheetName val="Settings"/>
      <sheetName val="TRX ADDITION"/>
      <sheetName val="Bs_dft"/>
      <sheetName val="P&amp;l_dft"/>
      <sheetName val="Sch_dft"/>
      <sheetName val="SC"/>
      <sheetName val="NPV"/>
      <sheetName val="입찰내역 발주처 양식"/>
      <sheetName val="VARIABLE"/>
      <sheetName val="Customize Your Purchase Order"/>
      <sheetName val="priority analysis"/>
      <sheetName val="standards trend"/>
      <sheetName val="service timing"/>
      <sheetName val="Product Problems"/>
      <sheetName val="Parts"/>
      <sheetName val="score trends"/>
      <sheetName val="Fix it First Time"/>
      <sheetName val="dashboard"/>
      <sheetName val="TOC"/>
      <sheetName val="Range"/>
      <sheetName val="Sample India"/>
      <sheetName val="Sample Indo"/>
      <sheetName val="Sample MY"/>
      <sheetName val="Sample PH"/>
      <sheetName val="Sample TH"/>
      <sheetName val="Form 6"/>
      <sheetName val="ESCON"/>
      <sheetName val="Income Statements"/>
      <sheetName val="Rates"/>
      <sheetName val="Kontensalden"/>
      <sheetName val="CTbe tong"/>
      <sheetName val="CTDZ 0.4+cto"/>
      <sheetName val=" "/>
      <sheetName val="450 x 350"/>
      <sheetName val="Fill this out first..."/>
      <sheetName val="Approved MTD Proj #'s"/>
      <sheetName val="TDS Certificate-Format"/>
      <sheetName val="RATE ANALYSIS."/>
      <sheetName val="col-reinft1"/>
      <sheetName val="Mix Design"/>
      <sheetName val="std-rates"/>
      <sheetName val="COLUMN"/>
      <sheetName val="Ins &amp; Bonds"/>
      <sheetName val="dyes"/>
      <sheetName val="Costing"/>
      <sheetName val=" Vivante MAIN  INFRA  MAR 18"/>
      <sheetName val="MFG"/>
      <sheetName val="Current Bill MB ref"/>
      <sheetName val="COMPLEXALL"/>
      <sheetName val="M-Book for Conc"/>
      <sheetName val="M-Book for FW"/>
      <sheetName val="Source Ref."/>
      <sheetName val="Schedules PL"/>
      <sheetName val="Schedules BS"/>
      <sheetName val="Raw DCF"/>
      <sheetName val="DCF_PPS"/>
      <sheetName val="DCF"/>
      <sheetName val="Sch 1,2,3"/>
      <sheetName val="Sch 14,15,16"/>
      <sheetName val="profit &amp; loss account"/>
      <sheetName val="Movement of Mutual Funds"/>
      <sheetName val="References"/>
      <sheetName val="Sheet3_(2)5"/>
      <sheetName val="%_Collection_Schedule"/>
      <sheetName val="Rate_Analysis1"/>
      <sheetName val="Estimate_for_approval5"/>
      <sheetName val="E_&amp;_R1"/>
      <sheetName val="Earnings_model1"/>
      <sheetName val="Stacking_Plan_&amp;_LEP"/>
      <sheetName val="Materials_Cost(PCC)"/>
      <sheetName val="Excess_Calc"/>
      <sheetName val="beam-reinft-IIInd_floor"/>
      <sheetName val="SPT_vs_PHI"/>
      <sheetName val="Materials_Cost"/>
      <sheetName val="beam-reinft-machine_rm"/>
      <sheetName val="Grouping_Master"/>
      <sheetName val="Commission_and_Volume_MOM(Chart"/>
      <sheetName val="A5_201_Consol_Profit_&amp;_Loss_"/>
      <sheetName val="Consolidated_Monthly"/>
      <sheetName val="Balance_Sheet"/>
      <sheetName val="A5_202_Consol_Balance_Sheet_"/>
      <sheetName val="Fixed_Assets"/>
      <sheetName val="Sheet_2"/>
      <sheetName val="Key_assumption"/>
      <sheetName val="MN_T_B_"/>
      <sheetName val="INDIGINEOUS_ITEMS_"/>
      <sheetName val="Apartments_-_1st_Mar"/>
      <sheetName val="1_Market"/>
      <sheetName val="Material_List_"/>
      <sheetName val="STAFFSCHED_"/>
      <sheetName val="Fee_Rate_Summary"/>
      <sheetName val="Main_School_Building"/>
      <sheetName val="A"/>
      <sheetName val="fixd1"/>
      <sheetName val="fixd2"/>
      <sheetName val="Intro"/>
      <sheetName val="Preside"/>
      <sheetName val="SP Break Up"/>
      <sheetName val="Control"/>
      <sheetName val="Blore"/>
      <sheetName val="factors"/>
      <sheetName val="VCH-SLC"/>
      <sheetName val="Supplier"/>
      <sheetName val="Assum"/>
      <sheetName val="Names&amp;Cases"/>
      <sheetName val="final abstract"/>
      <sheetName val="Product Details"/>
      <sheetName val="costing_ESDV"/>
      <sheetName val="costing_FE"/>
      <sheetName val="costing_Misc"/>
      <sheetName val="costing_MOV"/>
      <sheetName val="costing_Press"/>
      <sheetName val="Price Comparison"/>
      <sheetName val="Cash2"/>
      <sheetName val="Z"/>
      <sheetName val="Cover"/>
      <sheetName val="Leg 1-1"/>
      <sheetName val="Annex - 8"/>
      <sheetName val="pcQueryData"/>
      <sheetName val="_pcSlicerSheet1"/>
      <sheetName val="6 TRS"/>
      <sheetName val="Concessions_Lodz_SC"/>
      <sheetName val="Figures_Dec"/>
      <sheetName val="Div"/>
      <sheetName val="Concessions_Lodz_SC1"/>
      <sheetName val="Concessions_Lodz_SC2"/>
      <sheetName val="Concessions_Lodz_SC3"/>
      <sheetName val="Monthly Checklist"/>
      <sheetName val="Corp Svc fee"/>
      <sheetName val="PL"/>
      <sheetName val="BANK"/>
      <sheetName val="GL"/>
      <sheetName val="GJ"/>
      <sheetName val="AR SUM (SGD) "/>
      <sheetName val="AR SUM (RM)"/>
      <sheetName val="AR DETAIL (RM)"/>
      <sheetName val="AR DETAIL (SGD) "/>
      <sheetName val="AP SUM (SGD)"/>
      <sheetName val="AP DETAIL (SGD) "/>
      <sheetName val="Revenue Schedule "/>
      <sheetName val="Sch"/>
      <sheetName val="FA"/>
      <sheetName val="Under paid GST Working"/>
      <sheetName val="Bonus com"/>
      <sheetName val="Exchange Rates_2019"/>
      <sheetName val="CCS"/>
      <sheetName val="ERL"/>
      <sheetName val="SSR"/>
      <sheetName val="Database"/>
      <sheetName val="SCHEDULE"/>
      <sheetName val="schedule nos"/>
      <sheetName val="RA 1"/>
      <sheetName val="Outline Cost - Five star Hotel"/>
      <sheetName val="CC APR04"/>
      <sheetName val="CC MAY04"/>
      <sheetName val="CC JUNE04"/>
      <sheetName val="C1C2"/>
      <sheetName val="LIFE &amp; REP PROVN"/>
      <sheetName val="O&amp;M CREW"/>
      <sheetName val="Exp"/>
      <sheetName val="18-misc"/>
      <sheetName val="5-pipe"/>
      <sheetName val="Direct cost shed A-2 "/>
      <sheetName val="DIVBUD99"/>
      <sheetName val="2007-01"/>
      <sheetName val="DF"/>
      <sheetName val="Config"/>
      <sheetName val="Reconciliation of GL &amp; FAR"/>
      <sheetName val="Rent_-01"/>
      <sheetName val="Sukuki_CDR"/>
      <sheetName val="Multiple_output"/>
      <sheetName val="priority_analysis"/>
      <sheetName val="standards_trend"/>
      <sheetName val="service_timing"/>
      <sheetName val="Product_Problems"/>
      <sheetName val="score_trends"/>
      <sheetName val="Fix_it_First_Time"/>
      <sheetName val="Sample_India"/>
      <sheetName val="Sample_Indo"/>
      <sheetName val="Sample_MY"/>
      <sheetName val="Sample_PH"/>
      <sheetName val="Sample_TH"/>
      <sheetName val="Emp Details"/>
      <sheetName val="Pur"/>
      <sheetName val="B_S-31-3-2006"/>
      <sheetName val="35_D_Annex2"/>
      <sheetName val="H_O"/>
      <sheetName val="TRIAL_BALANCE"/>
      <sheetName val="Card_nos_"/>
      <sheetName val="Statistics_{pbc}"/>
      <sheetName val="BOD_PL_NEW"/>
      <sheetName val="Assumptions_(2)"/>
      <sheetName val="Cntrl_Sheet"/>
      <sheetName val="B_S"/>
      <sheetName val="Project_Cost"/>
      <sheetName val="CAS_P"/>
      <sheetName val="EXPENDITURE_CYCLE"/>
      <sheetName val="Fixed_Assets_Top_Sheet-_Consol"/>
      <sheetName val="VIR_CG"/>
      <sheetName val="Weighted_Avg"/>
      <sheetName val="Assumptions_(W)"/>
      <sheetName val="P_L"/>
      <sheetName val="NKEL_O&amp;M"/>
      <sheetName val="ASSUMPTIONS_2"/>
      <sheetName val="_TARIFFS_POST_PCOD"/>
      <sheetName val="DCF_Valuation_-_FCFF"/>
      <sheetName val="FA_Leadsheet_&amp;_Movement"/>
      <sheetName val="Profit_&amp;_Loss"/>
      <sheetName val="Summary_-_USD"/>
      <sheetName val="BS SCH A-D"/>
      <sheetName val="Sheet3_(2)7"/>
      <sheetName val="%_Collection_Schedule2"/>
      <sheetName val="Rate_Analysis3"/>
      <sheetName val="Estimate_for_approval7"/>
      <sheetName val="E_&amp;_R3"/>
      <sheetName val="Earnings_model3"/>
      <sheetName val="Stacking_Plan_&amp;_LEP2"/>
      <sheetName val="Materials_Cost(PCC)2"/>
      <sheetName val="Excess_Calc2"/>
      <sheetName val="beam-reinft-IIInd_floor2"/>
      <sheetName val="SPT_vs_PHI2"/>
      <sheetName val="Materials_Cost2"/>
      <sheetName val="beam-reinft-machine_rm2"/>
      <sheetName val="Grouping_Master2"/>
      <sheetName val="Commission_and_Volume_MOM(Char2"/>
      <sheetName val="A5_201_Consol_Profit_&amp;_Loss_2"/>
      <sheetName val="Consolidated_Monthly2"/>
      <sheetName val="Balance_Sheet2"/>
      <sheetName val="A5_202_Consol_Balance_Sheet_2"/>
      <sheetName val="Fixed_Assets2"/>
      <sheetName val="Sheet_22"/>
      <sheetName val="Key_assumption2"/>
      <sheetName val="MN_T_B_2"/>
      <sheetName val="INDIGINEOUS_ITEMS_2"/>
      <sheetName val="Apartments_-_1st_Mar2"/>
      <sheetName val="1_Market2"/>
      <sheetName val="Material_List_2"/>
      <sheetName val="STAFFSCHED_2"/>
      <sheetName val="Fee_Rate_Summary2"/>
      <sheetName val="Main_School_Building2"/>
      <sheetName val="Sheet3_(2)6"/>
      <sheetName val="%_Collection_Schedule1"/>
      <sheetName val="Rate_Analysis2"/>
      <sheetName val="Estimate_for_approval6"/>
      <sheetName val="E_&amp;_R2"/>
      <sheetName val="Earnings_model2"/>
      <sheetName val="Stacking_Plan_&amp;_LEP1"/>
      <sheetName val="Materials_Cost(PCC)1"/>
      <sheetName val="Excess_Calc1"/>
      <sheetName val="beam-reinft-IIInd_floor1"/>
      <sheetName val="SPT_vs_PHI1"/>
      <sheetName val="Materials_Cost1"/>
      <sheetName val="beam-reinft-machine_rm1"/>
      <sheetName val="Grouping_Master1"/>
      <sheetName val="Commission_and_Volume_MOM(Char1"/>
      <sheetName val="A5_201_Consol_Profit_&amp;_Loss_1"/>
      <sheetName val="Consolidated_Monthly1"/>
      <sheetName val="Balance_Sheet1"/>
      <sheetName val="A5_202_Consol_Balance_Sheet_1"/>
      <sheetName val="Fixed_Assets1"/>
      <sheetName val="Sheet_21"/>
      <sheetName val="Key_assumption1"/>
      <sheetName val="MN_T_B_1"/>
      <sheetName val="INDIGINEOUS_ITEMS_1"/>
      <sheetName val="Apartments_-_1st_Mar1"/>
      <sheetName val="1_Market1"/>
      <sheetName val="Material_List_1"/>
      <sheetName val="STAFFSCHED_1"/>
      <sheetName val="Fee_Rate_Summary1"/>
      <sheetName val="Main_School_Building1"/>
      <sheetName val="Sheet3_(2)8"/>
      <sheetName val="%_Collection_Schedule3"/>
      <sheetName val="Rate_Analysis4"/>
      <sheetName val="Estimate_for_approval8"/>
      <sheetName val="E_&amp;_R4"/>
      <sheetName val="Earnings_model4"/>
      <sheetName val="Stacking_Plan_&amp;_LEP3"/>
      <sheetName val="Materials_Cost(PCC)3"/>
      <sheetName val="Excess_Calc3"/>
      <sheetName val="beam-reinft-IIInd_floor3"/>
      <sheetName val="SPT_vs_PHI3"/>
      <sheetName val="Materials_Cost3"/>
      <sheetName val="beam-reinft-machine_rm3"/>
      <sheetName val="Grouping_Master3"/>
      <sheetName val="Commission_and_Volume_MOM(Char3"/>
      <sheetName val="A5_201_Consol_Profit_&amp;_Loss_3"/>
      <sheetName val="Consolidated_Monthly3"/>
      <sheetName val="Balance_Sheet3"/>
      <sheetName val="A5_202_Consol_Balance_Sheet_3"/>
      <sheetName val="Fixed_Assets3"/>
      <sheetName val="Sheet_23"/>
      <sheetName val="Key_assumption3"/>
      <sheetName val="MN_T_B_3"/>
      <sheetName val="INDIGINEOUS_ITEMS_3"/>
      <sheetName val="Apartments_-_1st_Mar3"/>
      <sheetName val="1_Market3"/>
      <sheetName val="Material_List_3"/>
      <sheetName val="STAFFSCHED_3"/>
      <sheetName val="Fee_Rate_Summary3"/>
      <sheetName val="Main_School_Building3"/>
      <sheetName val="Item Master"/>
      <sheetName val="stryker div "/>
      <sheetName val="LTM"/>
      <sheetName val="DropZone"/>
      <sheetName val="Builtup Area"/>
      <sheetName val="Old"/>
      <sheetName val="Introduction"/>
      <sheetName val="RA-markate"/>
      <sheetName val="ADD092001_Final"/>
      <sheetName val="TBEAM"/>
      <sheetName val="PROCTOR"/>
      <sheetName val="ANAL"/>
      <sheetName val="opstat"/>
      <sheetName val="costs"/>
      <sheetName val="Elect."/>
      <sheetName val="Ins_&amp;_Bonds"/>
      <sheetName val="Labour_Rate_"/>
      <sheetName val="Source_Ref_"/>
      <sheetName val="vb_9&amp;10"/>
      <sheetName val="입찰내역_발주처_양식"/>
      <sheetName val="Direct_cost_shed_A-2_"/>
      <sheetName val="glsrpt129909e"/>
      <sheetName val="RF Vol"/>
      <sheetName val="ASP"/>
      <sheetName val="2nd "/>
      <sheetName val="A.O.R."/>
      <sheetName val="Basic Rate"/>
      <sheetName val="INFLUENCES ON GM"/>
      <sheetName val="Boq"/>
      <sheetName val="TBAL9697 -group wise  sdpl"/>
      <sheetName val="PM"/>
      <sheetName val="ER10_Old"/>
      <sheetName val="Headings"/>
      <sheetName val="csd1"/>
      <sheetName val="csd2"/>
      <sheetName val="SAP EMP"/>
      <sheetName val="WBS"/>
      <sheetName val="gen ledger data"/>
      <sheetName val="Chembur_1"/>
      <sheetName val="Felix_Street_Summary"/>
      <sheetName val="FY16-17_Cashflow"/>
      <sheetName val="GrossMgn_98"/>
      <sheetName val="TRX_ADDITION"/>
      <sheetName val="TDS_Certificate-Format"/>
      <sheetName val="Income_Statements"/>
      <sheetName val="CTbe_tong"/>
      <sheetName val="CTDZ_0_4+cto"/>
      <sheetName val="_"/>
      <sheetName val="450_x_350"/>
      <sheetName val="Fill_this_out_first___"/>
      <sheetName val="Approved_MTD_Proj_#'s"/>
      <sheetName val="Customize_Your_Purchase_Order"/>
      <sheetName val="RATE_ANALYSIS_"/>
      <sheetName val="Raw_DCF"/>
      <sheetName val="Sch_1,2,3"/>
      <sheetName val="Sch_14,15,16"/>
      <sheetName val="profit_&amp;_loss_account"/>
      <sheetName val="Movement_of_Mutual_Funds"/>
      <sheetName val="Mix_Design"/>
      <sheetName val="_Vivante_MAIN__INFRA__MAR_18"/>
      <sheetName val="Current_Bill_MB_ref"/>
      <sheetName val="Form_6"/>
      <sheetName val="M-Book_for_Conc"/>
      <sheetName val="M-Book_for_FW"/>
      <sheetName val="Schedules_PL"/>
      <sheetName val="Schedules_BS"/>
      <sheetName val="RA_1"/>
      <sheetName val="Outline_Cost_-_Five_star_Hotel"/>
      <sheetName val="CC_APR04"/>
      <sheetName val="CC_MAY04"/>
      <sheetName val="CC_JUNE04"/>
      <sheetName val="LIFE_&amp;_REP_PROVN"/>
      <sheetName val="O&amp;M_CREW"/>
      <sheetName val="Note 9-13"/>
      <sheetName val="P&amp;L"/>
      <sheetName val="BALANCE-SHEET"/>
      <sheetName val="Dep - SAP"/>
      <sheetName val="BUDLDD"/>
      <sheetName val="ICB"/>
      <sheetName val="Rate analysis civil"/>
      <sheetName val="M_Maincomp"/>
      <sheetName val="All Components Report"/>
      <sheetName val="Severity"/>
      <sheetName val="April'00"/>
      <sheetName val="Labor abs-NMR"/>
      <sheetName val="Internal Finishes (Unit types)"/>
      <sheetName val="pri-com"/>
      <sheetName val="10. &amp; 11. Rate Code &amp; BQ"/>
      <sheetName val="sept-plan"/>
      <sheetName val="XREF"/>
      <sheetName val="BP"/>
      <sheetName val="check"/>
      <sheetName val="main1"/>
      <sheetName val="wacc"/>
      <sheetName val="wdr bldg"/>
      <sheetName val="Assumption Inputs"/>
      <sheetName val="Insts"/>
      <sheetName val="MASTER_RATE ANALYSIS"/>
      <sheetName val="Budget Vs Actuals (2)"/>
      <sheetName val="Data sheet"/>
      <sheetName val="DC (Junior)"/>
      <sheetName val="Utility Cost Trend"/>
      <sheetName val="Instruction"/>
      <sheetName val="IGAAP Entity BS PL"/>
      <sheetName val="IGAAP Trial Balance New"/>
      <sheetName val="SAP TB With Grouping"/>
      <sheetName val="SAP Download TB"/>
      <sheetName val="Per Unit"/>
      <sheetName val="_REF"/>
      <sheetName val="Project Budget Worksheet"/>
      <sheetName val="RF_Vol"/>
      <sheetName val="RA_markate"/>
      <sheetName val="OT Rentroll"/>
      <sheetName val="AR aging-CD"/>
      <sheetName val="Oct'19-Feb'20 base file"/>
      <sheetName val="Mar'20-base file"/>
      <sheetName val="April'20-Dec'20 Base File"/>
      <sheetName val="TB WORLI"/>
      <sheetName val="TB APJ"/>
      <sheetName val="H.O."/>
      <sheetName val="B"/>
      <sheetName val="Admin "/>
      <sheetName val="Cap"/>
      <sheetName val="C_flow 95"/>
      <sheetName val="1201"/>
      <sheetName val="Capital leases"/>
      <sheetName val="FA TB 28-2-2006"/>
      <sheetName val="data 3A|6A"/>
      <sheetName val="D.D"/>
      <sheetName val="Assmp"/>
      <sheetName val="BS-R"/>
      <sheetName val="Billing"/>
      <sheetName val="MNP"/>
      <sheetName val="ITT-R"/>
      <sheetName val="BSSchedules"/>
      <sheetName val="Data Summary"/>
      <sheetName val="Recovered_Sheet4"/>
      <sheetName val="Recovered_Sheet36"/>
      <sheetName val="Recovered_Sheet37"/>
      <sheetName val="Recovered_Sheet30"/>
      <sheetName val="Recovered_Sheet10"/>
      <sheetName val="Recovered_Sheet13"/>
      <sheetName val="Recovered_Sheet19"/>
      <sheetName val="Recovered_Sheet28"/>
      <sheetName val="Recovered_Sheet20"/>
      <sheetName val="Recovered_Sheet21"/>
      <sheetName val="Recovered_Sheet22"/>
      <sheetName val="Recovered_Sheet17"/>
      <sheetName val="Recovered_Sheet39"/>
      <sheetName val="Recovered_Sheet35"/>
      <sheetName val="Recovered_Sheet40"/>
      <sheetName val="Recovered_Sheet1"/>
      <sheetName val="Recovered_Sheet31"/>
      <sheetName val="Recovered_Sheet14"/>
      <sheetName val="Recovered_Sheet38"/>
      <sheetName val="Recovered_Sheet27"/>
      <sheetName val="Recovered_Sheet32"/>
      <sheetName val="Recovered_Sheet6"/>
      <sheetName val="Recovered_Sheet5"/>
      <sheetName val="Recovered_Sheet3"/>
      <sheetName val="Recovered_Sheet18"/>
      <sheetName val="rent paid details"/>
      <sheetName val="DGP-2002"/>
      <sheetName val="bank-int"/>
      <sheetName val="CAM- Airoli"/>
      <sheetName val="AMC- Airoli"/>
      <sheetName val="CAM - Poch"/>
      <sheetName val="AMC - Poch"/>
      <sheetName val="Complex - Poch"/>
      <sheetName val="CAM - Trion"/>
      <sheetName val="AMC - Trion"/>
      <sheetName val="Complex - Trion"/>
      <sheetName val="Sheet3_(2)9"/>
      <sheetName val="Estimate_for_approval9"/>
      <sheetName val="Rate_Analysis5"/>
      <sheetName val="Earnings_model5"/>
      <sheetName val="E_&amp;_R5"/>
      <sheetName val="Material_List_4"/>
      <sheetName val="STAFFSCHED_4"/>
      <sheetName val="SPT_vs_PHI4"/>
      <sheetName val="beam-reinft-IIInd_floor4"/>
      <sheetName val="Materials_Cost4"/>
      <sheetName val="MN_T_B_4"/>
      <sheetName val="INDIGINEOUS_ITEMS_4"/>
      <sheetName val="Fee_Rate_Summary4"/>
      <sheetName val="Main_School_Building4"/>
      <sheetName val="Materials_Cost(PCC)4"/>
      <sheetName val="Excess_Calc4"/>
      <sheetName val="Grouping_Master4"/>
      <sheetName val="Commission_and_Volume_MOM(Char4"/>
      <sheetName val="%_Collection_Schedule4"/>
      <sheetName val="Stacking_Plan_&amp;_LEP4"/>
      <sheetName val="beam-reinft-machine_rm4"/>
      <sheetName val="A5_201_Consol_Profit_&amp;_Loss_4"/>
      <sheetName val="Consolidated_Monthly4"/>
      <sheetName val="Balance_Sheet4"/>
      <sheetName val="A5_202_Consol_Balance_Sheet_4"/>
      <sheetName val="Fixed_Assets4"/>
      <sheetName val="Key_assumption4"/>
      <sheetName val="Labour_Rate_1"/>
      <sheetName val="입찰내역_발주처_양식1"/>
      <sheetName val="Customize_Your_Purchase_Order1"/>
      <sheetName val="1_Market4"/>
      <sheetName val="Apartments_-_1st_Mar4"/>
      <sheetName val="Sheet_24"/>
      <sheetName val="schedule_nos"/>
      <sheetName val="Multiple_output1"/>
      <sheetName val="Chembur_11"/>
      <sheetName val="vb_9&amp;101"/>
      <sheetName val="Felix_Street_Summary1"/>
      <sheetName val="B_S-31-3-20061"/>
      <sheetName val="35_D_Annex21"/>
      <sheetName val="H_O1"/>
      <sheetName val="TRIAL_BALANCE1"/>
      <sheetName val="Card_nos_1"/>
      <sheetName val="Statistics_{pbc}1"/>
      <sheetName val="BOD_PL_NEW1"/>
      <sheetName val="Assumptions_(2)1"/>
      <sheetName val="Cntrl_Sheet1"/>
      <sheetName val="B_S1"/>
      <sheetName val="Project_Cost1"/>
      <sheetName val="CAS_P1"/>
      <sheetName val="EXPENDITURE_CYCLE1"/>
      <sheetName val="Fixed_Assets_Top_Sheet-_Consol1"/>
      <sheetName val="VIR_CG1"/>
      <sheetName val="Weighted_Avg1"/>
      <sheetName val="Assumptions_(W)1"/>
      <sheetName val="P_L1"/>
      <sheetName val="NKEL_O&amp;M1"/>
      <sheetName val="ASSUMPTIONS_21"/>
      <sheetName val="_TARIFFS_POST_PCOD1"/>
      <sheetName val="DCF_Valuation_-_FCFF1"/>
      <sheetName val="FA_Leadsheet_&amp;_Movement1"/>
      <sheetName val="Profit_&amp;_Loss1"/>
      <sheetName val="Summary_-_USD1"/>
      <sheetName val="FY16-17_Cashflow1"/>
      <sheetName val="GrossMgn_981"/>
      <sheetName val="Rent_-011"/>
      <sheetName val="Sukuki_CDR1"/>
      <sheetName val="TRX_ADDITION1"/>
      <sheetName val="TDS_Certificate-Format1"/>
      <sheetName val="priority_analysis1"/>
      <sheetName val="standards_trend1"/>
      <sheetName val="service_timing1"/>
      <sheetName val="Product_Problems1"/>
      <sheetName val="score_trends1"/>
      <sheetName val="Fix_it_First_Time1"/>
      <sheetName val="Sample_India1"/>
      <sheetName val="Sample_Indo1"/>
      <sheetName val="Sample_MY1"/>
      <sheetName val="Sample_PH1"/>
      <sheetName val="Sample_TH1"/>
      <sheetName val="Income_Statements1"/>
      <sheetName val="CTbe_tong1"/>
      <sheetName val="CTDZ_0_4+cto1"/>
      <sheetName val="_1"/>
      <sheetName val="450_x_3501"/>
      <sheetName val="Fill_this_out_first___1"/>
      <sheetName val="Approved_MTD_Proj_#'s1"/>
      <sheetName val="RATE_ANALYSIS_1"/>
      <sheetName val="Raw_DCF1"/>
      <sheetName val="Sch_1,2,31"/>
      <sheetName val="Sch_14,15,161"/>
      <sheetName val="profit_&amp;_loss_account1"/>
      <sheetName val="Movement_of_Mutual_Funds1"/>
      <sheetName val="Mix_Design1"/>
      <sheetName val="Ins_&amp;_Bonds1"/>
      <sheetName val="_Vivante_MAIN__INFRA__MAR_181"/>
      <sheetName val="Current_Bill_MB_ref1"/>
      <sheetName val="Form_61"/>
      <sheetName val="M-Book_for_Conc1"/>
      <sheetName val="M-Book_for_FW1"/>
      <sheetName val="Source_Ref_1"/>
      <sheetName val="Schedules_PL1"/>
      <sheetName val="Schedules_BS1"/>
      <sheetName val="RA_11"/>
      <sheetName val="Outline_Cost_-_Five_star_Hotel1"/>
      <sheetName val="CC_APR041"/>
      <sheetName val="CC_MAY041"/>
      <sheetName val="CC_JUNE041"/>
      <sheetName val="LIFE_&amp;_REP_PROVN1"/>
      <sheetName val="O&amp;M_CREW1"/>
      <sheetName val="Direct_cost_shed_A-2_1"/>
      <sheetName val="gen_ledger_data"/>
      <sheetName val="Annex_-_8"/>
      <sheetName val="6_TRS"/>
      <sheetName val="BS_SCH_A-D"/>
      <sheetName val="Elect_"/>
      <sheetName val="Note_9-13"/>
      <sheetName val="Basic_Rate"/>
      <sheetName val="INFLUENCES_ON_GM"/>
      <sheetName val="2nd_"/>
      <sheetName val="final_abstract"/>
      <sheetName val="Product_Details"/>
      <sheetName val="SP_Break_Up"/>
      <sheetName val="Reconciliation_of_GL_&amp;_FAR"/>
      <sheetName val="Price_Comparison"/>
      <sheetName val="Leg_1-1"/>
      <sheetName val="All_Components_Report"/>
      <sheetName val="Rate_analysis_civil"/>
      <sheetName val="A_O_R_"/>
      <sheetName val="Detail In Door Stad"/>
      <sheetName val="200205C"/>
      <sheetName val="CFForecast detail"/>
      <sheetName val="WORK TABLE"/>
      <sheetName val="Door"/>
      <sheetName val="Groupings-final"/>
      <sheetName val="Sched"/>
      <sheetName val="Trial"/>
      <sheetName val="FA_Final"/>
      <sheetName val="BFS"/>
      <sheetName val="SOA"/>
      <sheetName val="Podium Areas"/>
      <sheetName val="Mkt PMS"/>
      <sheetName val="Manual JV"/>
      <sheetName val="A1-Continuous"/>
      <sheetName val="theatre mgmt cont"/>
      <sheetName val="RF_Vol1"/>
      <sheetName val="TBAL9697_-group_wise__sdpl"/>
      <sheetName val="Dep_-_SAP"/>
      <sheetName val="SAP_EMP"/>
      <sheetName val="Labor_abs-NMR"/>
      <sheetName val="Project_Budget_Worksheet"/>
      <sheetName val="Builtup_Area"/>
      <sheetName val="MASTER_RATE_ANALYSIS"/>
      <sheetName val="Item_Master"/>
      <sheetName val="ABB"/>
      <sheetName val="GE"/>
      <sheetName val="adp-budget"/>
      <sheetName val="HistData(1)"/>
      <sheetName val="Update"/>
      <sheetName val="FORM-16"/>
      <sheetName val="Material "/>
      <sheetName val="Labour &amp; Plant"/>
      <sheetName val="Steel-Circular"/>
      <sheetName val="analysis"/>
      <sheetName val="wdr_bldg"/>
      <sheetName val="Admin_"/>
      <sheetName val="Internal_Finishes_(Unit_types)"/>
      <sheetName val="10__&amp;_11__Rate_Code_&amp;_BQ"/>
      <sheetName val="Operating Statistics"/>
      <sheetName val="Financials"/>
      <sheetName val="BS_ABRIDGED"/>
      <sheetName val="Hyp-mstr"/>
      <sheetName val="PCost"/>
      <sheetName val="INCOME "/>
      <sheetName val="IO"/>
      <sheetName val="SCH4"/>
      <sheetName val="PRECAST lightconc-II"/>
      <sheetName val="starter"/>
      <sheetName val="Civil Works"/>
      <sheetName val="gen"/>
      <sheetName val="M-0003"/>
      <sheetName val="ins spares"/>
      <sheetName val="Groupings "/>
      <sheetName val="Changes to be made"/>
      <sheetName val="Stacking_Plan"/>
      <sheetName val="Detail_In_Door_Stad"/>
      <sheetName val="CFForecast_detail"/>
      <sheetName val="Data_sheet"/>
      <sheetName val="Per_Unit"/>
      <sheetName val="WORK_TABLE"/>
      <sheetName val="Podium_Areas"/>
      <sheetName val="depit"/>
      <sheetName val="Summary 30-09-09"/>
      <sheetName val="Adjusted data"/>
      <sheetName val="JetFuel"/>
      <sheetName val="Block A"/>
      <sheetName val="model by field"/>
      <sheetName val="IEA_02-99"/>
      <sheetName val="cs1997"/>
      <sheetName val="Crude oil"/>
      <sheetName val="Book1"/>
      <sheetName val="Corridor"/>
      <sheetName val="Summary model"/>
      <sheetName val="Valuation (F)"/>
      <sheetName val="Provision base"/>
      <sheetName val="balance"/>
      <sheetName val="Area Statement"/>
      <sheetName val="Risk Analysis"/>
      <sheetName val="Detailed Summary (5)"/>
      <sheetName val="Cost_Any."/>
      <sheetName val="Mat_Cost"/>
      <sheetName val="KP1590_E"/>
      <sheetName val="OCT 06"/>
      <sheetName val="Itemised"/>
      <sheetName val="Inv_Data"/>
      <sheetName val="31 July 2005"/>
      <sheetName val="PL Notes2"/>
      <sheetName val="Cost summary"/>
      <sheetName val="Sump"/>
      <sheetName val="conc-foot-gradeslab"/>
      <sheetName val="Prospect 2007"/>
      <sheetName val="Master - Inventory"/>
      <sheetName val="2.Fixed Assets Schedule"/>
      <sheetName val="Original"/>
      <sheetName val="P.O VS Actual"/>
      <sheetName val="IBP I Hotel March 08 Vendorwise"/>
      <sheetName val="Marketing cost breakdown"/>
      <sheetName val="Dep"/>
      <sheetName val="소상 &quot;1&quot;"/>
      <sheetName val="Publicbuilding"/>
      <sheetName val="K2-03-100"/>
      <sheetName val="2009-04"/>
      <sheetName val="2009-08"/>
      <sheetName val="2009-12"/>
      <sheetName val="2010-02"/>
      <sheetName val="2010-01"/>
      <sheetName val="2009-07"/>
      <sheetName val="2010-03"/>
      <sheetName val="2009-05"/>
      <sheetName val="2009-11"/>
      <sheetName val="2009-10"/>
      <sheetName val="2009-06"/>
      <sheetName val="2009-09"/>
      <sheetName val="Summary Chart"/>
      <sheetName val="7 Jan 02"/>
      <sheetName val="ECR.ECNOI Slide"/>
      <sheetName val="Intaccrual"/>
      <sheetName val="SBU"/>
      <sheetName val="Cash Flow Working"/>
      <sheetName val="JAN91"/>
      <sheetName val="Name List"/>
      <sheetName val="P&amp;L-BDMC"/>
      <sheetName val="Q&amp;pl-V"/>
      <sheetName val="공사비 내역 (가)"/>
      <sheetName val="FORM7"/>
      <sheetName val="Internet"/>
      <sheetName val="Riser-1"/>
      <sheetName val="Estimate"/>
      <sheetName val="precast RC element"/>
      <sheetName val="Appendix-1-PS-PT"/>
      <sheetName val="dBase"/>
      <sheetName val="dummy"/>
      <sheetName val="PointNo.5"/>
      <sheetName val="Detail 1A"/>
      <sheetName val="Rate"/>
      <sheetName val="ECP II Cashflow INR"/>
      <sheetName val="ECP II Cashflow USD"/>
      <sheetName val="#REF!"/>
      <sheetName val="合成単価作成表-BLDG"/>
      <sheetName val="Comparative"/>
      <sheetName val="Summary T-1"/>
      <sheetName val="Break up Sheet"/>
      <sheetName val="Cal(6.3.2) GSB-T"/>
      <sheetName val="Cal(6.3.1) GSB-1(Jn.) DDA"/>
      <sheetName val="Cal(6.2.2) (b)EMB-T"/>
      <sheetName val="Cal(6.3.3) WMM-T"/>
      <sheetName val="Cal(6.2.4) SG-T"/>
      <sheetName val="Certificate"/>
      <sheetName val="Infinite_Studios"/>
      <sheetName val="Neuros_&amp;_Immunos"/>
      <sheetName val="Monthly_Checklist"/>
      <sheetName val="Corp_Svc_fee"/>
      <sheetName val="AR_SUM_(SGD)_"/>
      <sheetName val="AR_SUM_(RM)"/>
      <sheetName val="AR_DETAIL_(RM)"/>
      <sheetName val="AR_DETAIL_(SGD)_"/>
      <sheetName val="AP_SUM_(SGD)"/>
      <sheetName val="AP_DETAIL_(SGD)_"/>
      <sheetName val="Revenue_Schedule_"/>
      <sheetName val="Under_paid_GST_Working"/>
      <sheetName val="Bonus_com"/>
      <sheetName val="Exchange_Rates_2019"/>
      <sheetName val="Occupancy 2004"/>
      <sheetName val="CFS3"/>
      <sheetName val="SALE"/>
      <sheetName val="PNL"/>
      <sheetName val="U1 P&amp;L"/>
      <sheetName val="????(?????)"/>
      <sheetName val="NOTE 2"/>
      <sheetName val="Annexure VI A-1 Done"/>
      <sheetName val="vb_9&amp;102"/>
      <sheetName val="Ins_&amp;_Bonds2"/>
      <sheetName val="Labour_Rate_2"/>
      <sheetName val="Source_Ref_2"/>
      <sheetName val="입찰내역_발주처_양식2"/>
      <sheetName val="BS_SCH_A-D1"/>
      <sheetName val="Direct_cost_shed_A-2_2"/>
      <sheetName val="Elect_1"/>
      <sheetName val="Screening"/>
      <sheetName val="Screening (2)"/>
      <sheetName val="Oct'19-Feb'20_base_file"/>
      <sheetName val="Mar'20-base_file"/>
      <sheetName val="April'20-Dec'20_Base_File"/>
      <sheetName val="Sheet3_(2)10"/>
      <sheetName val="Rate_Analysis6"/>
      <sheetName val="Earnings_model6"/>
      <sheetName val="Estimate_for_approval10"/>
      <sheetName val="E_&amp;_R6"/>
      <sheetName val="Excess_Calc5"/>
      <sheetName val="Stacking_Plan_&amp;_LEP5"/>
      <sheetName val="Grouping_Master5"/>
      <sheetName val="%_Collection_Schedule5"/>
      <sheetName val="1_Market5"/>
      <sheetName val="Materials_Cost(PCC)5"/>
      <sheetName val="beam-reinft-IIInd_floor5"/>
      <sheetName val="SPT_vs_PHI5"/>
      <sheetName val="Materials_Cost5"/>
      <sheetName val="beam-reinft-machine_rm5"/>
      <sheetName val="Commission_and_Volume_MOM(Char5"/>
      <sheetName val="A5_201_Consol_Profit_&amp;_Loss_5"/>
      <sheetName val="Consolidated_Monthly5"/>
      <sheetName val="Balance_Sheet5"/>
      <sheetName val="A5_202_Consol_Balance_Sheet_5"/>
      <sheetName val="Fixed_Assets5"/>
      <sheetName val="Sheet_25"/>
      <sheetName val="Key_assumption5"/>
      <sheetName val="MN_T_B_5"/>
      <sheetName val="INDIGINEOUS_ITEMS_5"/>
      <sheetName val="Apartments_-_1st_Mar5"/>
      <sheetName val="Multiple_output2"/>
      <sheetName val="Material_List_5"/>
      <sheetName val="STAFFSCHED_5"/>
      <sheetName val="Main_School_Building5"/>
      <sheetName val="Chembur_12"/>
      <sheetName val="Fee_Rate_Summary5"/>
      <sheetName val="B_S-31-3-20062"/>
      <sheetName val="35_D_Annex22"/>
      <sheetName val="H_O2"/>
      <sheetName val="TRIAL_BALANCE2"/>
      <sheetName val="Card_nos_2"/>
      <sheetName val="Statistics_{pbc}2"/>
      <sheetName val="BOD_PL_NEW2"/>
      <sheetName val="Assumptions_(2)2"/>
      <sheetName val="Cntrl_Sheet2"/>
      <sheetName val="B_S2"/>
      <sheetName val="Project_Cost2"/>
      <sheetName val="CAS_P2"/>
      <sheetName val="EXPENDITURE_CYCLE2"/>
      <sheetName val="Fixed_Assets_Top_Sheet-_Consol2"/>
      <sheetName val="VIR_CG2"/>
      <sheetName val="Weighted_Avg2"/>
      <sheetName val="Assumptions_(W)2"/>
      <sheetName val="P_L2"/>
      <sheetName val="NKEL_O&amp;M2"/>
      <sheetName val="ASSUMPTIONS_22"/>
      <sheetName val="_TARIFFS_POST_PCOD2"/>
      <sheetName val="DCF_Valuation_-_FCFF2"/>
      <sheetName val="FA_Leadsheet_&amp;_Movement2"/>
      <sheetName val="Profit_&amp;_Loss2"/>
      <sheetName val="Summary_-_USD2"/>
      <sheetName val="gen_ledger_data1"/>
      <sheetName val="Customize_Your_Purchase_Order2"/>
      <sheetName val="Rent_-012"/>
      <sheetName val="Sukuki_CDR2"/>
      <sheetName val="priority_analysis2"/>
      <sheetName val="standards_trend2"/>
      <sheetName val="service_timing2"/>
      <sheetName val="Product_Problems2"/>
      <sheetName val="score_trends2"/>
      <sheetName val="Fix_it_First_Time2"/>
      <sheetName val="Sample_India2"/>
      <sheetName val="Sample_Indo2"/>
      <sheetName val="Sample_MY2"/>
      <sheetName val="Sample_PH2"/>
      <sheetName val="Sample_TH2"/>
      <sheetName val="Note_9-131"/>
      <sheetName val="TRX_ADDITION2"/>
      <sheetName val="_Vivante_MAIN__INFRA__MAR_182"/>
      <sheetName val="Felix_Street_Summary2"/>
      <sheetName val="FY16-17_Cashflow2"/>
      <sheetName val="GrossMgn_982"/>
      <sheetName val="Income_Statements2"/>
      <sheetName val="RATE_ANALYSIS_2"/>
      <sheetName val="Mix_Design2"/>
      <sheetName val="Current_Bill_MB_ref2"/>
      <sheetName val="Form_62"/>
      <sheetName val="CTbe_tong2"/>
      <sheetName val="CTDZ_0_4+cto2"/>
      <sheetName val="_2"/>
      <sheetName val="450_x_3502"/>
      <sheetName val="Fill_this_out_first___2"/>
      <sheetName val="Approved_MTD_Proj_#'s2"/>
      <sheetName val="TDS_Certificate-Format2"/>
      <sheetName val="Raw_DCF2"/>
      <sheetName val="Sch_1,2,32"/>
      <sheetName val="Sch_14,15,162"/>
      <sheetName val="profit_&amp;_loss_account2"/>
      <sheetName val="Movement_of_Mutual_Funds2"/>
      <sheetName val="M-Book_for_Conc2"/>
      <sheetName val="M-Book_for_FW2"/>
      <sheetName val="Schedules_PL2"/>
      <sheetName val="Schedules_BS2"/>
      <sheetName val="RA_12"/>
      <sheetName val="CC_APR042"/>
      <sheetName val="CC_MAY042"/>
      <sheetName val="CC_JUNE042"/>
      <sheetName val="Outline_Cost_-_Five_star_Hotel2"/>
      <sheetName val="Reconciliation_of_GL_&amp;_FAR1"/>
      <sheetName val="SP_Break_Up1"/>
      <sheetName val="final_abstract1"/>
      <sheetName val="Product_Details1"/>
      <sheetName val="Price_Comparison1"/>
      <sheetName val="Leg_1-11"/>
      <sheetName val="Annex_-_81"/>
      <sheetName val="6_TRS1"/>
      <sheetName val="schedule_nos1"/>
      <sheetName val="LIFE_&amp;_REP_PROVN2"/>
      <sheetName val="O&amp;M_CREW2"/>
      <sheetName val="Basic_Rate1"/>
      <sheetName val="INFLUENCES_ON_GM1"/>
      <sheetName val="Rate_analysis_civil1"/>
      <sheetName val="A_O_R_1"/>
      <sheetName val="2nd_1"/>
      <sheetName val="All_Components_Report1"/>
      <sheetName val="C_flow_95"/>
      <sheetName val="Capital_leases"/>
      <sheetName val="FA_TB_28-2-2006"/>
      <sheetName val="data_3A|6A"/>
      <sheetName val="TB_WORLI"/>
      <sheetName val="TB_APJ"/>
      <sheetName val="H_O_"/>
      <sheetName val="rent_paid_details"/>
      <sheetName val="PL_Notes2"/>
      <sheetName val="Changes_to_be_made"/>
      <sheetName val="D_D"/>
      <sheetName val="Data_Summary"/>
      <sheetName val="OCT_06"/>
      <sheetName val="Provision_base"/>
      <sheetName val="Groupings_"/>
      <sheetName val="CAM-_Airoli"/>
      <sheetName val="AMC-_Airoli"/>
      <sheetName val="CAM_-_Poch"/>
      <sheetName val="AMC_-_Poch"/>
      <sheetName val="Complex_-_Poch"/>
      <sheetName val="CAM_-_Trion"/>
      <sheetName val="AMC_-_Trion"/>
      <sheetName val="Complex_-_Trion"/>
      <sheetName val="Q-Mtr"/>
      <sheetName val="CA"/>
      <sheetName val="S1BOQ"/>
      <sheetName val="Assumption_Inputs"/>
      <sheetName val="Cost_summary"/>
      <sheetName val="Budget_Vs_Actuals_(2)"/>
      <sheetName val="stryker_div_"/>
      <sheetName val="Abstract"/>
      <sheetName val="BOQ 17-01"/>
      <sheetName val="Summary of Esc."/>
      <sheetName val="Comp Statement"/>
      <sheetName val="Concrete Esc.-RA23"/>
      <sheetName val="Material Adv."/>
      <sheetName val="Mile stone details"/>
      <sheetName val="Proforma-invoice"/>
      <sheetName val="Steel Abs."/>
      <sheetName val="Steel Esc. 23"/>
      <sheetName val="Ra  stair"/>
      <sheetName val="RF_Vol2"/>
      <sheetName val="Item_Master1"/>
      <sheetName val="TBAL9697_-group_wise__sdpl1"/>
      <sheetName val="SAP_EMP1"/>
      <sheetName val="Labor_abs-NMR1"/>
      <sheetName val="Dep_-_SAP1"/>
      <sheetName val="Project_Budget_Worksheet1"/>
      <sheetName val="Builtup_Area1"/>
      <sheetName val="MASTER_RATE_ANALYSIS1"/>
      <sheetName val="Operating_Statistics"/>
      <sheetName val="INCOME_"/>
      <sheetName val="소상_&quot;1&quot;"/>
      <sheetName val="Master_-_Inventory"/>
      <sheetName val="Mkt_PMS"/>
      <sheetName val="Manual_JV"/>
      <sheetName val="Emp_Details"/>
      <sheetName val="theatre_mgmt_cont"/>
      <sheetName val="Civil_Works"/>
      <sheetName val="ins_spares"/>
      <sheetName val="PRECAST_lightconc-II"/>
      <sheetName val="Material_"/>
      <sheetName val="Labour_&amp;_Plant"/>
      <sheetName val="Area_Statement"/>
      <sheetName val="Risk_Analysis"/>
      <sheetName val="Detailed_Summary_(5)"/>
      <sheetName val="Cost_Any_"/>
      <sheetName val="Summary_30-09-09"/>
      <sheetName val="Fin Sum"/>
      <sheetName val="LINER"/>
      <sheetName val="BORING "/>
      <sheetName val="EXPANSION JOINT"/>
      <sheetName val="CIS MAIN BERTH-1"/>
      <sheetName val="steam outlet"/>
      <sheetName val="BOQ LT"/>
      <sheetName val="GR.slab-reinft"/>
      <sheetName val="Summary year Plan"/>
      <sheetName val="Budget - Format (T3sub)"/>
      <sheetName val="Micro"/>
      <sheetName val="GM &amp; TA"/>
      <sheetName val="Macro"/>
      <sheetName val="Scaff-Rose"/>
      <sheetName val="細目"/>
      <sheetName val="Electrical-Line Items"/>
      <sheetName val="LTG-STG"/>
      <sheetName val="beam-reinft"/>
      <sheetName val="방배동내역(리라)"/>
      <sheetName val="부대공사총괄"/>
      <sheetName val="현장경비"/>
      <sheetName val="건축공사집계표"/>
      <sheetName val="방배동내역 (총괄)"/>
      <sheetName val="EXIM Interest"/>
      <sheetName val="mapping"/>
      <sheetName val="A-Monitoring"/>
      <sheetName val="Dadar_CF"/>
      <sheetName val="Nisarg_Mulund_CF"/>
      <sheetName val="Actions"/>
      <sheetName val="Nisarg CF"/>
      <sheetName val="Com CF"/>
      <sheetName val="Combi"/>
      <sheetName val="master"/>
      <sheetName val="Ass"/>
      <sheetName val="MERGER"/>
      <sheetName val="HONOTES"/>
      <sheetName val="Groupings"/>
      <sheetName val="Dept Spend Dtl (20)"/>
      <sheetName val="foot-slab reinft"/>
      <sheetName val="BORDGC"/>
      <sheetName val="F"/>
      <sheetName val="BASIC RATES"/>
      <sheetName val="Detail_In_Door_Stad1"/>
      <sheetName val="Data_sheet1"/>
      <sheetName val="Per_Unit1"/>
      <sheetName val="CFForecast_detail1"/>
      <sheetName val="WORK_TABLE1"/>
      <sheetName val="10__&amp;_11__Rate_Code_&amp;_BQ1"/>
      <sheetName val="Internal_Finishes_(Unit_types)1"/>
      <sheetName val="Admin_1"/>
      <sheetName val="Data_Summary1"/>
      <sheetName val="Assumption_Inputs1"/>
      <sheetName val="Cost_summary1"/>
      <sheetName val="rent_paid_details1"/>
      <sheetName val="Oct'19-Feb'20_base_file1"/>
      <sheetName val="Mar'20-base_file1"/>
      <sheetName val="April'20-Dec'20_Base_File1"/>
      <sheetName val="TB_WORLI1"/>
      <sheetName val="TB_APJ1"/>
      <sheetName val="H_O_1"/>
      <sheetName val="D_D1"/>
      <sheetName val="wdr_bldg1"/>
      <sheetName val="OCT_061"/>
      <sheetName val="Budget_Vs_Actuals_(2)1"/>
      <sheetName val="stryker_div_1"/>
      <sheetName val="8. Cover"/>
      <sheetName val=""/>
      <sheetName val="Ins Erection"/>
      <sheetName val="2gii"/>
      <sheetName val="Meas.-Hotel Part"/>
      <sheetName val="SILICATE"/>
      <sheetName val="QTY"/>
      <sheetName val="ct BBS"/>
      <sheetName val="PA3-CB BBS"/>
      <sheetName val="tower BBS"/>
      <sheetName val="MB MANHOLES"/>
      <sheetName val="Attributes"/>
      <sheetName val="Material"/>
      <sheetName val="maingirder"/>
      <sheetName val="Key Ratios"/>
      <sheetName val="Wing D GF"/>
      <sheetName val="Annex"/>
      <sheetName val="PCC"/>
      <sheetName val="site fab&amp;ernstr"/>
      <sheetName val="Detail"/>
      <sheetName val="Bank Guarantee"/>
      <sheetName val="INPUT SHEET"/>
      <sheetName val="RES-PLANNING"/>
      <sheetName val="FINCAL"/>
      <sheetName val="Makro1"/>
      <sheetName val="Mat.Cost"/>
      <sheetName val="3"/>
      <sheetName val="io list"/>
      <sheetName val="Operating Result(Prov.)"/>
      <sheetName val="CAUSTIC"/>
      <sheetName val="Mixed"/>
      <sheetName val="acevsSp (ABC)"/>
      <sheetName val="Day work"/>
      <sheetName val="RA_Civil"/>
      <sheetName val="COM"/>
      <sheetName val="HK-I"/>
      <sheetName val="INT-I"/>
      <sheetName val="RSCH"/>
      <sheetName val="TR"/>
      <sheetName val="PopCache"/>
      <sheetName val="Reference Table"/>
      <sheetName val="CH Docente"/>
      <sheetName val="Corp cost"/>
      <sheetName val="Concessions_Lodz_SC4"/>
      <sheetName val="Info"/>
      <sheetName val="Units Performance"/>
      <sheetName val="Tenancy"/>
      <sheetName val="Operation"/>
      <sheetName val="Summary(BaseBP)"/>
      <sheetName val="LA"/>
      <sheetName val="GLA_Total"/>
      <sheetName val="GLA_Occup"/>
      <sheetName val="MGR"/>
      <sheetName val="% Discounts Cont MGR"/>
      <sheetName val="Discounts Cont MGR"/>
      <sheetName val="% Discounts Adit MGR"/>
      <sheetName val="Discounts Adit MGR"/>
      <sheetName val="RFP"/>
      <sheetName val="NET MGR"/>
      <sheetName val="Sales"/>
      <sheetName val="% TOR"/>
      <sheetName val="TOR"/>
      <sheetName val="SC_Gross"/>
      <sheetName val="% SC Discounts"/>
      <sheetName val="SC Discounts"/>
      <sheetName val="SC Net"/>
      <sheetName val="OCR"/>
      <sheetName val="Letting Fees"/>
      <sheetName val="FOC"/>
      <sheetName val="Delivery Works"/>
      <sheetName val="Other Costs"/>
      <sheetName val="Indemnities"/>
      <sheetName val="Key Money"/>
      <sheetName val="Concessions_Lodz_SC5"/>
      <sheetName val="Units_Performance"/>
      <sheetName val="%_Discounts_Cont_MGR"/>
      <sheetName val="Discounts_Cont_MGR"/>
      <sheetName val="%_Discounts_Adit_MGR"/>
      <sheetName val="Discounts_Adit_MGR"/>
      <sheetName val="NET_MGR"/>
      <sheetName val="%_TOR"/>
      <sheetName val="%_SC_Discounts"/>
      <sheetName val="SC_Discounts"/>
      <sheetName val="SC_Net"/>
      <sheetName val="Letting_Fees"/>
      <sheetName val="Delivery_Works"/>
      <sheetName val="Other_Costs"/>
      <sheetName val="Key_Money"/>
      <sheetName val="BASE"/>
      <sheetName val="Concessions_Lodz_SC6"/>
      <sheetName val="Units_Performance1"/>
      <sheetName val="%_Discounts_Cont_MGR1"/>
      <sheetName val="Discounts_Cont_MGR1"/>
      <sheetName val="%_Discounts_Adit_MGR1"/>
      <sheetName val="Discounts_Adit_MGR1"/>
      <sheetName val="NET_MGR1"/>
      <sheetName val="%_TOR1"/>
      <sheetName val="%_SC_Discounts1"/>
      <sheetName val="SC_Discounts1"/>
      <sheetName val="SC_Net1"/>
      <sheetName val="Letting_Fees1"/>
      <sheetName val="Delivery_Works1"/>
      <sheetName val="Other_Costs1"/>
      <sheetName val="Key_Money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/>
      <sheetData sheetId="384"/>
      <sheetData sheetId="385"/>
      <sheetData sheetId="386"/>
      <sheetData sheetId="387" refreshError="1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 refreshError="1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 refreshError="1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/>
      <sheetData sheetId="934"/>
      <sheetData sheetId="935"/>
      <sheetData sheetId="936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/>
      <sheetData sheetId="954"/>
      <sheetData sheetId="955"/>
      <sheetData sheetId="956"/>
      <sheetData sheetId="957"/>
      <sheetData sheetId="958"/>
      <sheetData sheetId="959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 refreshError="1"/>
      <sheetData sheetId="1078" refreshError="1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/>
      <sheetData sheetId="1310"/>
      <sheetData sheetId="1311" refreshError="1"/>
      <sheetData sheetId="1312" refreshError="1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 refreshError="1"/>
      <sheetData sheetId="1333"/>
      <sheetData sheetId="1334"/>
      <sheetData sheetId="1335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기초"/>
      <sheetName val="건축"/>
      <sheetName val="지표"/>
      <sheetName val="임대"/>
      <sheetName val="공정"/>
      <sheetName val="건설기간분석"/>
      <sheetName val="운영기간분석"/>
      <sheetName val="유림골조"/>
      <sheetName val="공통비(전체)"/>
      <sheetName val="유림총괄"/>
      <sheetName val="노임단가"/>
      <sheetName val="재무가정"/>
      <sheetName val="은행"/>
      <sheetName val="총괄"/>
      <sheetName val="E_경상가"/>
    </sheetNames>
    <sheetDataSet>
      <sheetData sheetId="0" refreshError="1"/>
      <sheetData sheetId="1"/>
      <sheetData sheetId="2"/>
      <sheetData sheetId="3"/>
      <sheetData sheetId="4"/>
      <sheetData sheetId="5">
        <row r="25">
          <cell r="AH25" t="str">
            <v xml:space="preserve"> 진 척 도</v>
          </cell>
        </row>
        <row r="26">
          <cell r="AH26" t="str">
            <v xml:space="preserve"> 공통가설</v>
          </cell>
        </row>
        <row r="27">
          <cell r="AH27" t="str">
            <v xml:space="preserve"> 건축공사</v>
          </cell>
        </row>
        <row r="28">
          <cell r="AH28" t="str">
            <v xml:space="preserve"> 설비공사</v>
          </cell>
        </row>
        <row r="29">
          <cell r="AH29" t="str">
            <v xml:space="preserve"> 전기공사</v>
          </cell>
        </row>
        <row r="30">
          <cell r="AH30" t="str">
            <v xml:space="preserve"> 현관비등</v>
          </cell>
        </row>
        <row r="31">
          <cell r="AH31" t="str">
            <v>누계공정</v>
          </cell>
        </row>
        <row r="33">
          <cell r="AH33" t="str">
            <v xml:space="preserve">  구  분</v>
          </cell>
        </row>
        <row r="34">
          <cell r="AH34" t="str">
            <v xml:space="preserve"> 진 척 도</v>
          </cell>
        </row>
        <row r="35">
          <cell r="AH35" t="str">
            <v xml:space="preserve"> 공통가설</v>
          </cell>
        </row>
        <row r="36">
          <cell r="AH36" t="str">
            <v xml:space="preserve"> 건축공사</v>
          </cell>
        </row>
        <row r="37">
          <cell r="AH37" t="str">
            <v xml:space="preserve"> 설비공사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기초"/>
      <sheetName val="건축"/>
      <sheetName val="지표"/>
      <sheetName val="임대"/>
      <sheetName val="공정"/>
      <sheetName val="건설기간분석"/>
      <sheetName val="운영기간분석"/>
      <sheetName val="2F 회의실견적(5_14 일대)"/>
      <sheetName val="Dash Board"/>
      <sheetName val="TOWER 12TON"/>
      <sheetName val="TOWER 10TON"/>
      <sheetName val="JIB CRANE,HOIST"/>
      <sheetName val="A생명98"/>
      <sheetName val="목표세부명세"/>
      <sheetName val="5층 건축물대장 등기 예정"/>
      <sheetName val="층별면적표-060411-5층 통합"/>
      <sheetName val="서피070607"/>
      <sheetName val="Assumption"/>
      <sheetName val="재원조달"/>
      <sheetName val="손익"/>
      <sheetName val="현금흐름"/>
      <sheetName val="시산표"/>
      <sheetName val="Utility Usage YTN TOWER"/>
      <sheetName val="정부노임단가"/>
      <sheetName val="미납중도금후납시"/>
      <sheetName val="Base"/>
      <sheetName val="대구"/>
      <sheetName val="용연"/>
      <sheetName val="울산"/>
      <sheetName val="#REF"/>
      <sheetName val="구미"/>
      <sheetName val="광주"/>
      <sheetName val="언양"/>
      <sheetName val="진천"/>
      <sheetName val="중연"/>
      <sheetName val="노무비"/>
      <sheetName val="Dash_Board"/>
      <sheetName val="TOWER_12TON"/>
      <sheetName val="TOWER_10TON"/>
      <sheetName val="JIB_CRANE,HOIST"/>
      <sheetName val="5층_건축물대장_등기_예정"/>
      <sheetName val="층별면적표-060411-5층_통합"/>
      <sheetName val="대출금_분양율별민감도_토지비수익권"/>
      <sheetName val="손익분석"/>
      <sheetName val="사업보고"/>
      <sheetName val="CF"/>
      <sheetName val="Dropdown list"/>
      <sheetName val="1ST"/>
      <sheetName val="Budget"/>
      <sheetName val="간이연락"/>
      <sheetName val="유림골조"/>
      <sheetName val="공통비(전체)"/>
      <sheetName val="유림총괄"/>
      <sheetName val="master"/>
      <sheetName val="Prices"/>
      <sheetName val="仲介業者"/>
      <sheetName val="A"/>
      <sheetName val="DataWP"/>
      <sheetName val="Dash_Board1"/>
      <sheetName val="TOWER_12TON1"/>
      <sheetName val="TOWER_10TON1"/>
      <sheetName val="JIB_CRANE,HOIST1"/>
      <sheetName val="5층_건축물대장_등기_예정1"/>
      <sheetName val="층별면적표-060411-5층_통합1"/>
      <sheetName val="2F_회의실견적(5_14_일대)"/>
      <sheetName val="Utility_Usage_YTN_TOWER"/>
      <sheetName val="일위대가(계측기설치)"/>
      <sheetName val="BCPAB"/>
      <sheetName val="fy09 ~12 erp"/>
      <sheetName val="fy09 erp"/>
      <sheetName val="Sheet1"/>
      <sheetName val="list"/>
      <sheetName val="Raw data_카테고리별 매출"/>
      <sheetName val="Raw data_시설전체_일간,주간_매출&amp;트래픽"/>
      <sheetName val="재료비"/>
      <sheetName val="Mapping"/>
      <sheetName val="Sheet4"/>
      <sheetName val="공문"/>
      <sheetName val="단독빌딩 총합계본"/>
      <sheetName val="7.Utility Analysis"/>
      <sheetName val="Operational Activities"/>
      <sheetName val="7_Utility_Analysis"/>
      <sheetName val="Operational_Activities"/>
      <sheetName val="I-Données_de_base"/>
      <sheetName val="BESOINS  MOS"/>
      <sheetName val="날개벽수량표"/>
      <sheetName val="B"/>
      <sheetName val="기계"/>
      <sheetName val="建物概要 (2)"/>
      <sheetName val="안산기계장치"/>
      <sheetName val="Dash_Board2"/>
      <sheetName val="TOWER_12TON2"/>
      <sheetName val="TOWER_10TON2"/>
      <sheetName val="JIB_CRANE,HOIST2"/>
      <sheetName val="5층_건축물대장_등기_예정2"/>
      <sheetName val="층별면적표-060411-5층_통합2"/>
      <sheetName val="2F_회의실견적(5_14_일대)1"/>
      <sheetName val="Utility_Usage_YTN_TOWER1"/>
      <sheetName val="Dropdown_list"/>
      <sheetName val="fy09_~12_erp"/>
      <sheetName val="fy09_erp"/>
      <sheetName val="단독빌딩_총합계본"/>
      <sheetName val="Raw_data_카테고리별_매출"/>
      <sheetName val="Raw_data_시설전체_일간,주간_매출&amp;트래픽"/>
      <sheetName val="계정과목"/>
      <sheetName val="01_tool"/>
      <sheetName val="부문손익"/>
      <sheetName val="손익합산"/>
      <sheetName val="전담운영PM"/>
      <sheetName val="추가공정(내역서)"/>
      <sheetName val="표지"/>
      <sheetName val="기성내역"/>
      <sheetName val="인원계획-미화"/>
      <sheetName val="マスタ"/>
      <sheetName val="공통비총괄표"/>
      <sheetName val="입찰내역 발주처 양식"/>
      <sheetName val="유효성검사"/>
      <sheetName val="내역서"/>
      <sheetName val=" 하이드파크 2022년 하반기 소방종합정밀점검 지적사항."/>
      <sheetName val="단면 (2)"/>
      <sheetName val="단가조견표"/>
      <sheetName val="재무가정"/>
      <sheetName val="노임단가"/>
      <sheetName val="Preslinks"/>
      <sheetName val="gaeyo"/>
      <sheetName val="공통부대비"/>
      <sheetName val="7 (2)"/>
      <sheetName val="수문보고"/>
      <sheetName val="처분 test"/>
      <sheetName val="XREF"/>
      <sheetName val="설계조건"/>
      <sheetName val="경비"/>
      <sheetName val="참고 작업(내부용)_제출시 삭제"/>
      <sheetName val="산근"/>
      <sheetName val="대비표"/>
      <sheetName val="은행"/>
      <sheetName val="총괄"/>
      <sheetName val="comparables"/>
      <sheetName val="Deduction"/>
      <sheetName val="other"/>
      <sheetName val="Sheet3"/>
      <sheetName val="Sheet15"/>
      <sheetName val="Sheet13"/>
      <sheetName val="APT"/>
      <sheetName val="특수선일위대가"/>
      <sheetName val="실행"/>
      <sheetName val="E_경상가"/>
      <sheetName val="지역개발"/>
      <sheetName val="BESOINS__MOS"/>
      <sheetName val="7_Utility_Analysis1"/>
      <sheetName val="Operational_Activities1"/>
      <sheetName val="建物概要_(2)"/>
      <sheetName val="7_(2)"/>
      <sheetName val="list price"/>
      <sheetName val="Assu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5">
          <cell r="AH25" t="str">
            <v xml:space="preserve"> 진 척 도</v>
          </cell>
        </row>
        <row r="26">
          <cell r="AH26" t="str">
            <v xml:space="preserve"> 공통가설</v>
          </cell>
        </row>
        <row r="27">
          <cell r="AH27" t="str">
            <v xml:space="preserve"> 건축공사</v>
          </cell>
        </row>
        <row r="28">
          <cell r="AH28" t="str">
            <v xml:space="preserve"> 설비공사</v>
          </cell>
        </row>
        <row r="29">
          <cell r="AH29" t="str">
            <v xml:space="preserve"> 전기공사</v>
          </cell>
        </row>
        <row r="30">
          <cell r="AH30" t="str">
            <v xml:space="preserve"> 현관비등</v>
          </cell>
        </row>
        <row r="31">
          <cell r="AH31" t="str">
            <v>누계공정</v>
          </cell>
        </row>
        <row r="33">
          <cell r="AH33" t="str">
            <v xml:space="preserve">  구  분</v>
          </cell>
        </row>
        <row r="34">
          <cell r="AH34" t="str">
            <v xml:space="preserve"> 진 척 도</v>
          </cell>
        </row>
        <row r="35">
          <cell r="AH35" t="str">
            <v xml:space="preserve"> 공통가설</v>
          </cell>
        </row>
        <row r="36">
          <cell r="AH36" t="str">
            <v xml:space="preserve"> 건축공사</v>
          </cell>
        </row>
        <row r="37">
          <cell r="AH37" t="str">
            <v xml:space="preserve"> 설비공사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 refreshError="1"/>
      <sheetData sheetId="15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6"/>
      <sheetName val="現用"/>
    </sheetNames>
    <sheetDataSet>
      <sheetData sheetId="0" refreshError="1">
        <row r="51">
          <cell r="B51" t="str">
            <v>86年1月</v>
          </cell>
          <cell r="C51">
            <v>753</v>
          </cell>
          <cell r="E51">
            <v>44</v>
          </cell>
        </row>
        <row r="52">
          <cell r="B52" t="str">
            <v>2月</v>
          </cell>
          <cell r="C52">
            <v>900</v>
          </cell>
          <cell r="E52">
            <v>156</v>
          </cell>
        </row>
        <row r="53">
          <cell r="B53" t="str">
            <v>3月</v>
          </cell>
          <cell r="C53">
            <v>642</v>
          </cell>
          <cell r="E53">
            <v>23</v>
          </cell>
        </row>
        <row r="54">
          <cell r="B54" t="str">
            <v>4月</v>
          </cell>
          <cell r="C54">
            <v>718</v>
          </cell>
          <cell r="E54">
            <v>16</v>
          </cell>
        </row>
        <row r="55">
          <cell r="B55" t="str">
            <v>5月</v>
          </cell>
          <cell r="C55">
            <v>722</v>
          </cell>
          <cell r="E55">
            <v>13</v>
          </cell>
        </row>
        <row r="56">
          <cell r="B56" t="str">
            <v>6月</v>
          </cell>
          <cell r="C56">
            <v>688</v>
          </cell>
          <cell r="E56">
            <v>9</v>
          </cell>
        </row>
        <row r="57">
          <cell r="B57" t="str">
            <v>7月</v>
          </cell>
          <cell r="C57">
            <v>774</v>
          </cell>
          <cell r="E57">
            <v>24</v>
          </cell>
        </row>
        <row r="58">
          <cell r="B58" t="str">
            <v>8月</v>
          </cell>
          <cell r="C58">
            <v>803</v>
          </cell>
          <cell r="E58">
            <v>20</v>
          </cell>
        </row>
        <row r="59">
          <cell r="B59" t="str">
            <v>9月</v>
          </cell>
          <cell r="C59">
            <v>675</v>
          </cell>
          <cell r="E59">
            <v>17</v>
          </cell>
        </row>
        <row r="60">
          <cell r="B60" t="str">
            <v>10月</v>
          </cell>
          <cell r="C60">
            <v>695</v>
          </cell>
          <cell r="E60">
            <v>11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유림콘도"/>
      <sheetName val="역삼원룸"/>
      <sheetName val="고양점소"/>
      <sheetName val="변산리조트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ssign"/>
      <sheetName val="감사schedule참고용"/>
      <sheetName val="Sheet1"/>
      <sheetName val="#REF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골조"/>
      <sheetName val="PILE"/>
      <sheetName val="공통비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세대구분목록"/>
      <sheetName val="부대시설"/>
      <sheetName val="Apt내역"/>
      <sheetName val="1안가"/>
      <sheetName val="첨부6"/>
      <sheetName val="세금자료"/>
      <sheetName val="갑지(추정)"/>
      <sheetName val="자금운영"/>
      <sheetName val="유림콘도"/>
      <sheetName val="식재인부"/>
      <sheetName val="0226"/>
      <sheetName val="부산제일극장"/>
      <sheetName val="유림골조"/>
      <sheetName val="공사개요"/>
      <sheetName val="Inv_sum"/>
      <sheetName val="내역"/>
      <sheetName val="CTEMCOST"/>
      <sheetName val="품종별월계"/>
      <sheetName val="EE-PROP"/>
      <sheetName val="Eq. Mobilization"/>
      <sheetName val="내   역"/>
      <sheetName val="일위대가(가설)"/>
      <sheetName val="집계표"/>
      <sheetName val="목표세부명세"/>
      <sheetName val="Sheet1"/>
      <sheetName val="기성내역서(을지)"/>
      <sheetName val="건축집계"/>
      <sheetName val="Baby일위대가"/>
      <sheetName val="총사업비명세"/>
      <sheetName val="보고서"/>
      <sheetName val="안양2"/>
      <sheetName val="일반부표"/>
      <sheetName val="금융"/>
      <sheetName val="Eq__Mobilization"/>
      <sheetName val="내___역"/>
      <sheetName val="2공구산출내역"/>
      <sheetName val="TTL"/>
      <sheetName val="공통비총괄표"/>
      <sheetName val="Sheet2"/>
      <sheetName val="코드"/>
      <sheetName val="FAB별"/>
      <sheetName val="조명시설"/>
      <sheetName val="Sheet1 (2)"/>
      <sheetName val="수정시산표"/>
      <sheetName val="영업소실적"/>
      <sheetName val="DHEQSUPT"/>
      <sheetName val="1062-X방향 "/>
      <sheetName val="전기"/>
      <sheetName val="업무일지"/>
      <sheetName val="갑지"/>
      <sheetName val="I. Assumptions"/>
      <sheetName val="목록"/>
      <sheetName val="ENE-CAL"/>
      <sheetName val="회사정보"/>
      <sheetName val="3단계"/>
      <sheetName val="2단계"/>
      <sheetName val="VXXXXXXX"/>
      <sheetName val="★도급내역"/>
      <sheetName val="공비대비"/>
      <sheetName val="회신현황_주간업무보고 첨부"/>
      <sheetName val="기계설비"/>
      <sheetName val="교각계산"/>
      <sheetName val="운반"/>
      <sheetName val="B"/>
      <sheetName val="A"/>
      <sheetName val="F4-F7"/>
      <sheetName val="변경내역"/>
      <sheetName val="Standards"/>
      <sheetName val="카메라"/>
      <sheetName val="cp1"/>
      <sheetName val="마산월령동골조물량변경"/>
      <sheetName val="중기 부표"/>
      <sheetName val="배수내역"/>
      <sheetName val="BID"/>
      <sheetName val="SG"/>
      <sheetName val="기성내역"/>
      <sheetName val="DRUM"/>
      <sheetName val="형틀공사"/>
      <sheetName val="분개장"/>
      <sheetName val="간접비"/>
      <sheetName val="4.2유효폭의 계산"/>
      <sheetName val="일위대가"/>
      <sheetName val="건축공사"/>
      <sheetName val=" FURNACE현설"/>
      <sheetName val="품셈TABLE"/>
      <sheetName val="상반기손익차2총괄"/>
      <sheetName val="내역 (2)"/>
      <sheetName val="연습"/>
      <sheetName val="DATA"/>
      <sheetName val="수량산출"/>
      <sheetName val="드롭다운"/>
      <sheetName val="드롭 다운"/>
      <sheetName val="드롭다운1"/>
      <sheetName val="내역서"/>
      <sheetName val="N賃率-職"/>
      <sheetName val="수리결과"/>
      <sheetName val="원가계산"/>
      <sheetName val="1.기성청구공문양식"/>
      <sheetName val="2.기성청구갑지"/>
      <sheetName val="경비원 "/>
      <sheetName val="본공사"/>
      <sheetName val="조건표"/>
      <sheetName val="설계"/>
      <sheetName val="부대내역"/>
      <sheetName val="공통부대비"/>
      <sheetName val="U-TYPE(1)"/>
      <sheetName val="인사자료총집계"/>
      <sheetName val="설계명세"/>
      <sheetName val="설계명세서"/>
      <sheetName val="말뚝지지력산정"/>
      <sheetName val="사진"/>
      <sheetName val="사진 (2)"/>
      <sheetName val="주관사업"/>
      <sheetName val="부하계산서"/>
      <sheetName val="개산공사비"/>
      <sheetName val="토목공사"/>
      <sheetName val="단가표"/>
      <sheetName val="이름정의"/>
      <sheetName val=""/>
      <sheetName val="발전기"/>
      <sheetName val="간선"/>
      <sheetName val="P-J"/>
      <sheetName val="기계경비 (2)"/>
      <sheetName val="토공"/>
      <sheetName val="공동"/>
      <sheetName val="단독"/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여과지동"/>
      <sheetName val="기초자료"/>
      <sheetName val="자재단가"/>
      <sheetName val="파이프류"/>
      <sheetName val="주안3차A-A"/>
      <sheetName val="Total"/>
      <sheetName val="견적정보"/>
      <sheetName val="차액보증"/>
      <sheetName val="예총"/>
      <sheetName val="입찰안"/>
      <sheetName val="결재서류"/>
      <sheetName val="원가서"/>
      <sheetName val="9GNG운반"/>
      <sheetName val="표지"/>
      <sheetName val="실행(ALT1)"/>
      <sheetName val="실행(표지,갑,을)"/>
      <sheetName val="확약서"/>
      <sheetName val="산출근거"/>
      <sheetName val="연결관암거"/>
      <sheetName val="신우"/>
      <sheetName val="정보"/>
      <sheetName val="실행대비_(2)"/>
      <sheetName val="유림총괄"/>
      <sheetName val="부하(성남)"/>
      <sheetName val="대치판정"/>
      <sheetName val="견적서"/>
      <sheetName val="확산동"/>
      <sheetName val="시화점실행"/>
      <sheetName val="실행철강하도"/>
      <sheetName val="노임"/>
      <sheetName val="할증"/>
      <sheetName val="실행내역"/>
      <sheetName val="현장관리비"/>
      <sheetName val="정부노임단가"/>
      <sheetName val="분석"/>
      <sheetName val="노임단가"/>
      <sheetName val="주경기-오배수"/>
      <sheetName val="공사"/>
      <sheetName val="입찰견적보고서"/>
      <sheetName val="코드표"/>
      <sheetName val="공정분류"/>
      <sheetName val="잡철물"/>
      <sheetName val="견적을지"/>
      <sheetName val="돈암사업"/>
      <sheetName val="음료실행"/>
      <sheetName val="일위대가(1)"/>
      <sheetName val="노임이"/>
      <sheetName val="단중"/>
      <sheetName val="프랜트면허"/>
      <sheetName val="토목주소"/>
      <sheetName val="APT"/>
      <sheetName val="본사인상전"/>
      <sheetName val="울산자동제어"/>
      <sheetName val="변경비교-을"/>
      <sheetName val="감액총괄표"/>
      <sheetName val="금호"/>
      <sheetName val="MATRLDATA"/>
      <sheetName val="소비자가"/>
      <sheetName val="실행내역서(DCU)"/>
      <sheetName val="CAPVC"/>
      <sheetName val="설계내역서"/>
      <sheetName val="CONCRETE"/>
      <sheetName val="Y-WORK"/>
      <sheetName val="EQT-ESTN"/>
      <sheetName val="1차 내역서"/>
      <sheetName val="교통대책내역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동원인원"/>
      <sheetName val="일위대가 "/>
      <sheetName val="덕전리"/>
      <sheetName val="실행"/>
      <sheetName val="FRP PIPING 일위대가"/>
      <sheetName val="단열-자재"/>
      <sheetName val="단가목록"/>
      <sheetName val="PAINT"/>
      <sheetName val="바이오"/>
      <sheetName val="냉천부속동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정산ISSUE(T)"/>
      <sheetName val="블럭 손익"/>
      <sheetName val="개인별 순위표"/>
      <sheetName val="터널조도"/>
      <sheetName val="물량산출근거"/>
      <sheetName val="1. H2SO4_SUPPLY"/>
      <sheetName val="Contact Point"/>
      <sheetName val="건축(을)"/>
      <sheetName val="98수문일위"/>
      <sheetName val="TYPE-A"/>
      <sheetName val="DATE"/>
      <sheetName val="변경집계표"/>
      <sheetName val="그래프용Data"/>
      <sheetName val="견적조건"/>
      <sheetName val="5.세운W-A"/>
      <sheetName val="2. 주요공지（主要公告）"/>
      <sheetName val=" 견적서"/>
      <sheetName val="기준FACTOR"/>
      <sheetName val="단가조사"/>
      <sheetName val="WOC95467"/>
      <sheetName val="PLC B-M"/>
      <sheetName val="제-노임"/>
      <sheetName val="제직재"/>
      <sheetName val="직재"/>
      <sheetName val="일위"/>
      <sheetName val="건축내역"/>
      <sheetName val="실행갑지"/>
      <sheetName val="자동제어"/>
      <sheetName val="철근량"/>
      <sheetName val="직접비"/>
      <sheetName val="A-7-1LINE(수량)"/>
      <sheetName val="주요측점"/>
      <sheetName val="산출내역서집계표"/>
      <sheetName val="터파기및재료"/>
      <sheetName val="소방전기산출조서"/>
      <sheetName val="자료"/>
      <sheetName val="대비"/>
      <sheetName val="단가"/>
      <sheetName val="날개벽수량표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남양내역"/>
      <sheetName val="증감내역서"/>
      <sheetName val="변경실행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PI"/>
      <sheetName val="토공사B동추가"/>
      <sheetName val="계정"/>
      <sheetName val="콘크리트타설집계표"/>
      <sheetName val="프로젝트"/>
      <sheetName val="을지"/>
      <sheetName val="cable-data"/>
      <sheetName val=" 12,13라인 급탕열교환기 교체공사.xlsx"/>
      <sheetName val="도급"/>
      <sheetName val="지입자재집계표"/>
      <sheetName val="항목"/>
      <sheetName val="산출내역서"/>
      <sheetName val="집계표(수배전제조구매)"/>
      <sheetName val="（10）EDS AP设备"/>
      <sheetName val="준검 내역서"/>
      <sheetName val="COVER"/>
      <sheetName val="품종_품명"/>
      <sheetName val="본실행경비"/>
      <sheetName val="06 일위대가목록"/>
      <sheetName val="사다리"/>
      <sheetName val="공사예산하조서(O.K)"/>
      <sheetName val="Summary"/>
      <sheetName val="ITEM"/>
      <sheetName val="대비표"/>
      <sheetName val="설비"/>
      <sheetName val="wall"/>
      <sheetName val="원형1호맨홀토공수량"/>
      <sheetName val="기초일위"/>
      <sheetName val="C1.공사개요"/>
      <sheetName val="배수관공"/>
      <sheetName val="내역서-전기"/>
      <sheetName val="간접"/>
      <sheetName val="위생설비"/>
      <sheetName val="견적대비표"/>
      <sheetName val="부대입찰 내역서"/>
      <sheetName val="간선계산"/>
      <sheetName val="가실행 내역서"/>
      <sheetName val="Sheet3"/>
      <sheetName val="노무비"/>
      <sheetName val="기초단가"/>
      <sheetName val="1.취수장"/>
      <sheetName val="경영상태"/>
      <sheetName val="포장공"/>
      <sheetName val="00노임기준"/>
      <sheetName val="점자블럭연간단가"/>
      <sheetName val="잔수량(작성)"/>
      <sheetName val="토목내역"/>
      <sheetName val="1.능률현황"/>
      <sheetName val="건1"/>
      <sheetName val="2.호선별예상실적"/>
      <sheetName val="망미"/>
      <sheetName val="대공종"/>
      <sheetName val="기본사항"/>
      <sheetName val="유형분류"/>
      <sheetName val="GRDBS"/>
      <sheetName val="FANDBS"/>
      <sheetName val="GRDATA"/>
      <sheetName val="SHAFTDBSE"/>
      <sheetName val="가격조사서"/>
      <sheetName val="감가상각비"/>
      <sheetName val="지수"/>
      <sheetName val="세부내역서"/>
      <sheetName val="산근"/>
      <sheetName val="기본정보"/>
      <sheetName val="정리내역"/>
      <sheetName val="예산 세부사항"/>
      <sheetName val="단위수량"/>
      <sheetName val="기계경비"/>
      <sheetName val="관리,공감"/>
      <sheetName val="골조시행"/>
      <sheetName val="시운전연료"/>
      <sheetName val="입찰내역 발주처 양식"/>
      <sheetName val="간접경상비"/>
      <sheetName val="C_d"/>
      <sheetName val="GAEYO"/>
      <sheetName val="2000년1차"/>
      <sheetName val="입찰"/>
      <sheetName val="현경"/>
      <sheetName val="구리토평1전기"/>
      <sheetName val="추가예산"/>
      <sheetName val="消防报警安装物量"/>
      <sheetName val="문학간접"/>
      <sheetName val="QandAJunior"/>
      <sheetName val="ELECTRIC"/>
      <sheetName val="BM_NEW2"/>
      <sheetName val="SG-INT"/>
      <sheetName val="물가대비표"/>
      <sheetName val="급여대장"/>
      <sheetName val="증감대비"/>
      <sheetName val="load"/>
      <sheetName val="data spec"/>
      <sheetName val="상하차비용(기계상차)"/>
      <sheetName val="수간보호"/>
      <sheetName val="운반비"/>
      <sheetName val="연수원"/>
      <sheetName val="실행단가철(ems코드적용)"/>
      <sheetName val="열지마시오"/>
      <sheetName val="부서코드표"/>
      <sheetName val="세금계산서"/>
      <sheetName val="평3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단가산출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총물량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P.M 별"/>
      <sheetName val="ITB COST"/>
      <sheetName val="01"/>
      <sheetName val="수정계획3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2.냉난방설비공사"/>
      <sheetName val="4-10"/>
      <sheetName val="计算书"/>
      <sheetName val="일위대가표"/>
      <sheetName val="Xunit (단위환산)"/>
      <sheetName val="6동"/>
      <sheetName val="비교1"/>
      <sheetName val="Summary (공종별)"/>
      <sheetName val="삼성전기"/>
      <sheetName val="주식"/>
      <sheetName val="실행대비"/>
      <sheetName val="투찰추정"/>
      <sheetName val="학생내역"/>
      <sheetName val="제경비"/>
      <sheetName val="Sheet17"/>
      <sheetName val="NOTE"/>
      <sheetName val="TOWER 12TON"/>
      <sheetName val="TOWER 10TON"/>
      <sheetName val="Eq__Mobilization1"/>
      <sheetName val="내___역1"/>
      <sheetName val="Sheet1_(2)"/>
      <sheetName val="1062-X방향_"/>
      <sheetName val="I__Assumptions"/>
      <sheetName val="Front"/>
      <sheetName val="영동(D)"/>
      <sheetName val="Cash2"/>
      <sheetName val="Z"/>
      <sheetName val="95신규호표"/>
      <sheetName val="Input"/>
      <sheetName val="실행예산SHEET도장재검토"/>
      <sheetName val="투입비"/>
      <sheetName val="간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/>
      <sheetData sheetId="505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WER 10TON"/>
      <sheetName val="TOWER 12TON"/>
      <sheetName val="JIB CRANE,HOIST"/>
      <sheetName val="유림골조"/>
      <sheetName val="공통부대비"/>
      <sheetName val="#REF"/>
      <sheetName val="견적의뢰서"/>
      <sheetName val="공사비대비표"/>
      <sheetName val="품의서"/>
      <sheetName val="건축"/>
      <sheetName val="34평형"/>
      <sheetName val="옵션대비"/>
      <sheetName val="파일공사(아파트)"/>
      <sheetName val="HOIST"/>
      <sheetName val="부대건축"/>
      <sheetName val="주차장(지하1층)"/>
      <sheetName val="파일공사(부대동)"/>
      <sheetName val="토목"/>
      <sheetName val="옥외"/>
      <sheetName val="Sheet6"/>
      <sheetName val="죽전2차공통비ALT-3"/>
      <sheetName val="JIB-CRANE,HOIST"/>
      <sheetName val="Sheet4"/>
      <sheetName val="Sheet5"/>
      <sheetName val="Sheet2"/>
      <sheetName val="Sheet3"/>
      <sheetName val="시장성초안camera"/>
      <sheetName val="assign"/>
      <sheetName val="JIB CRANE_HOIST"/>
      <sheetName val="정부노임단가"/>
      <sheetName val="내역서"/>
      <sheetName val="입찰"/>
      <sheetName val="현경"/>
      <sheetName val="산출근거"/>
      <sheetName val="단가"/>
      <sheetName val="현장별 손익자료"/>
      <sheetName val="양식4-1)현장손익(월별)"/>
      <sheetName val="간선계산"/>
      <sheetName val="가로등"/>
      <sheetName val="산출내역서집계표"/>
      <sheetName val="DATA"/>
      <sheetName val="현장관리비 산출내역"/>
      <sheetName val="실행철강하도"/>
      <sheetName val="중기"/>
      <sheetName val="주요공사"/>
      <sheetName val="급여상승분석"/>
      <sheetName val="예산 대 실투입(안전제외)"/>
      <sheetName val="급여 상승현황"/>
      <sheetName val="TOWER_10TON1"/>
      <sheetName val="TOWER_12TON1"/>
      <sheetName val="JIB_CRANE,HOIST1"/>
      <sheetName val="JIB_CRANE_HOIST1"/>
      <sheetName val="현장별_손익자료"/>
      <sheetName val="TOWER_10TON"/>
      <sheetName val="TOWER_12TON"/>
      <sheetName val="JIB_CRANE,HOIST"/>
      <sheetName val="JIB_CRANE_HOIST"/>
      <sheetName val="VXXXXXXX"/>
      <sheetName val="1월"/>
      <sheetName val="5월"/>
      <sheetName val="AP1"/>
      <sheetName val="Sheet1"/>
      <sheetName val="TOWER_10TON2"/>
      <sheetName val="TOWER_12TON2"/>
      <sheetName val="JIB_CRANE,HOIST2"/>
      <sheetName val="JIB_CRANE_HOIST2"/>
      <sheetName val="현장별_손익자료1"/>
      <sheetName val="TOWER_10TON3"/>
      <sheetName val="TOWER_12TON3"/>
      <sheetName val="JIB_CRANE,HOIST3"/>
      <sheetName val="JIB_CRANE_HOIST3"/>
      <sheetName val="유림콘도"/>
      <sheetName val="현장관리비_산출내역"/>
      <sheetName val="부산제일극장"/>
      <sheetName val="예가표"/>
      <sheetName val="프랜트면허"/>
      <sheetName val="공문"/>
      <sheetName val="단위가격"/>
      <sheetName val="목표세부명세"/>
      <sheetName val="Variables"/>
      <sheetName val="금융비용"/>
      <sheetName val="건축내역"/>
      <sheetName val="수입"/>
      <sheetName val="견적의뢰"/>
      <sheetName val="SG"/>
      <sheetName val="와동25-3(변경)"/>
      <sheetName val="공통비(전체)"/>
      <sheetName val="토목공사"/>
      <sheetName val="새공통(96임금인상기준)"/>
      <sheetName val="구의33고"/>
      <sheetName val="비교1"/>
      <sheetName val="유림총괄"/>
      <sheetName val="단가표"/>
      <sheetName val="jobhist"/>
      <sheetName val="변경집계표"/>
      <sheetName val="손익차9월2"/>
      <sheetName val="공통비총괄표"/>
      <sheetName val="COST"/>
      <sheetName val="UnitList"/>
      <sheetName val="M-EQPT-Z"/>
      <sheetName val="총괄"/>
      <sheetName val="내역표지"/>
      <sheetName val="집계표"/>
      <sheetName val="노임이"/>
      <sheetName val="3.공종별투자분석(천원)"/>
      <sheetName val="토목검측서"/>
      <sheetName val="4.2유효폭의 계산"/>
      <sheetName val="토사(PE)"/>
      <sheetName val="대로근거"/>
      <sheetName val="0226"/>
      <sheetName val="★도급내역"/>
      <sheetName val="투입"/>
      <sheetName val="우수공"/>
      <sheetName val="회사99"/>
      <sheetName val="입찰내역 발주처 양식"/>
      <sheetName val="보할"/>
      <sheetName val="cp-e1"/>
      <sheetName val="차수"/>
      <sheetName val="복지비카메라"/>
      <sheetName val="설계조건"/>
      <sheetName val="총괄원가계산서"/>
      <sheetName val="6PILE  (돌출)"/>
      <sheetName val="입찰안"/>
      <sheetName val="부서 Code"/>
      <sheetName val="구간별관경"/>
      <sheetName val="9902"/>
      <sheetName val="RE9604"/>
      <sheetName val="201동 산출근거"/>
      <sheetName val="철거산출근거"/>
      <sheetName val="품셈TABLE"/>
      <sheetName val="교각계산"/>
      <sheetName val="경비2내역"/>
      <sheetName val="Currency"/>
      <sheetName val="손익분석"/>
      <sheetName val="카"/>
      <sheetName val="7.PILE  (돌출)"/>
      <sheetName val="현장배치"/>
      <sheetName val="밸브설치"/>
      <sheetName val="금액내역서"/>
      <sheetName val="CTEMCOST"/>
      <sheetName val="일위대가"/>
      <sheetName val="P.M 별"/>
      <sheetName val="인력(현장,직원)"/>
      <sheetName val="데이타"/>
      <sheetName val="집계"/>
      <sheetName val="대전-교대(A1-A2)"/>
      <sheetName val="공사기초자료"/>
      <sheetName val="회사기초자료"/>
      <sheetName val="TOWER_10TON4"/>
      <sheetName val="TOWER_12TON4"/>
      <sheetName val="JIB_CRANE,HOIST4"/>
      <sheetName val="JIB_CRANE_HOIST4"/>
      <sheetName val="현장별_손익자료2"/>
      <sheetName val="현장관리비_산출내역1"/>
      <sheetName val="예산_대_실투입(안전제외)"/>
      <sheetName val="급여_상승현황"/>
      <sheetName val="3_공종별투자분석(천원)"/>
      <sheetName val="4_2유효폭의_계산"/>
      <sheetName val="을지-내역서"/>
      <sheetName val="DB"/>
      <sheetName val="BQMPALOC"/>
      <sheetName val="INPUT"/>
      <sheetName val="입고현황(전체)"/>
      <sheetName val="물량표S"/>
      <sheetName val="Recap"/>
      <sheetName val="화전내"/>
      <sheetName val="건축내역서"/>
      <sheetName val="업무처리전"/>
      <sheetName val="실행(표지,갑,을)"/>
      <sheetName val="연돌일위집계"/>
      <sheetName val="도급실행(본관-주차장)"/>
      <sheetName val="울산자동제어"/>
      <sheetName val="견적서"/>
      <sheetName val="수리결과"/>
      <sheetName val="1TL종점(1)"/>
      <sheetName val="일위대가표"/>
      <sheetName val="냉천부속동"/>
      <sheetName val="2000년 공정표"/>
      <sheetName val="Assumption"/>
      <sheetName val="기준"/>
      <sheetName val="DHEQSUPT"/>
      <sheetName val="Eq. Mobilization"/>
      <sheetName val="수목표준대가"/>
      <sheetName val="Macro7"/>
      <sheetName val="소비자가"/>
      <sheetName val="울산시산표"/>
      <sheetName val="loading"/>
      <sheetName val="일반부표"/>
      <sheetName val="UNIT-QT"/>
      <sheetName val="코드"/>
      <sheetName val="시산표"/>
      <sheetName val="검토내역(갑)"/>
      <sheetName val="형틀공사"/>
      <sheetName val="노임단가"/>
      <sheetName val="코드표"/>
      <sheetName val="노무비"/>
      <sheetName val="3-1.건축공사(내역서)"/>
      <sheetName val="사업수지"/>
      <sheetName val="Sheet17"/>
      <sheetName val="B"/>
      <sheetName val="6호기"/>
      <sheetName val="정공공사"/>
      <sheetName val="을"/>
      <sheetName val="24"/>
      <sheetName val="25"/>
      <sheetName val="26"/>
      <sheetName val="27"/>
      <sheetName val="28"/>
      <sheetName val="가시설흙막이"/>
      <sheetName val="구분자"/>
      <sheetName val="부대tu"/>
      <sheetName val="간접경상비"/>
      <sheetName val="전기변내역"/>
      <sheetName val="CAL1"/>
      <sheetName val="토목주소"/>
      <sheetName val="설계내역서"/>
      <sheetName val="청산공사"/>
      <sheetName val="실행"/>
      <sheetName val="PAINT"/>
      <sheetName val="(C)원내역"/>
      <sheetName val="대운산출"/>
      <sheetName val="Tenants"/>
      <sheetName val=""/>
      <sheetName val="1062-X방향 "/>
      <sheetName val="지적항목분류"/>
      <sheetName val="갑지(추정)"/>
      <sheetName val="병-2(PS)"/>
      <sheetName val="병-3(현장경비)"/>
      <sheetName val="Noname 1"/>
      <sheetName val="Noname 2"/>
      <sheetName val="Noname 3"/>
      <sheetName val="Noname 4"/>
      <sheetName val="Noname 5"/>
      <sheetName val="Noname 6"/>
      <sheetName val="Noname 7"/>
      <sheetName val="Noname 8"/>
      <sheetName val="Noname 9"/>
      <sheetName val="Noname 10"/>
      <sheetName val="Noname 11"/>
      <sheetName val="Noname 12"/>
      <sheetName val="Noname 13"/>
      <sheetName val="Noname 14"/>
      <sheetName val="Noname 15"/>
      <sheetName val="Noname 16"/>
      <sheetName val="Noname 17"/>
      <sheetName val="Noname 18"/>
      <sheetName val="Noname 19"/>
      <sheetName val="Noname 20"/>
      <sheetName val="Noname 21"/>
      <sheetName val="Noname 22"/>
      <sheetName val="Noname 23"/>
      <sheetName val="직접인건비"/>
      <sheetName val="공비대비"/>
      <sheetName val="직접경비"/>
      <sheetName val="D분개장데이타"/>
      <sheetName val="drum"/>
      <sheetName val="골조"/>
      <sheetName val="철근단면적"/>
      <sheetName val="플랜트 설치"/>
      <sheetName val="주관사업"/>
      <sheetName val="98지급계획"/>
      <sheetName val="특수선일위대가"/>
      <sheetName val="은행"/>
      <sheetName val="00건설추정대차대조표"/>
      <sheetName val="자재단가"/>
      <sheetName val="감가상각비등 명세"/>
      <sheetName val="명부"/>
      <sheetName val="9.품셈"/>
      <sheetName val="배수내역"/>
      <sheetName val="COVER"/>
      <sheetName val="적심사표"/>
      <sheetName val="RD제품개발투자비(매가)"/>
      <sheetName val="갑지"/>
      <sheetName val="설산1.나"/>
      <sheetName val="본사S"/>
      <sheetName val="총괄표"/>
      <sheetName val="Macro(차단기)"/>
      <sheetName val="FAB별"/>
      <sheetName val="공사비증감"/>
      <sheetName val="01"/>
      <sheetName val="대비표"/>
      <sheetName val="산근"/>
      <sheetName val="간접비"/>
      <sheetName val="기성내역"/>
      <sheetName val="공정"/>
      <sheetName val="지급어음(일별)"/>
      <sheetName val="14 장비소요계획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송부용"/>
      <sheetName val="전선 및 전선관"/>
      <sheetName val="Quantity"/>
      <sheetName val="분전함신설"/>
      <sheetName val="접지1종"/>
      <sheetName val="TOWER_10TON5"/>
      <sheetName val="TOWER_12TON5"/>
      <sheetName val="JIB_CRANE,HOIST5"/>
      <sheetName val="JIB_CRANE_HOIST5"/>
      <sheetName val="현장별_손익자료3"/>
      <sheetName val="현장관리비_산출내역2"/>
      <sheetName val="예산_대_실투입(안전제외)1"/>
      <sheetName val="급여_상승현황1"/>
      <sheetName val="3_공종별투자분석(천원)1"/>
      <sheetName val="4_2유효폭의_계산1"/>
      <sheetName val="입찰내역_발주처_양식"/>
      <sheetName val="201동_산출근거"/>
      <sheetName val="6PILE__(돌출)"/>
      <sheetName val="부서_Code"/>
      <sheetName val="7_PILE__(돌출)"/>
      <sheetName val="P_M_별"/>
      <sheetName val="Eq__Mobilization"/>
      <sheetName val="2000년_공정표"/>
      <sheetName val="3-1_건축공사(내역서)"/>
      <sheetName val="Noname_1"/>
      <sheetName val="Noname_2"/>
      <sheetName val="Noname_3"/>
      <sheetName val="Noname_4"/>
      <sheetName val="Noname_5"/>
      <sheetName val="Noname_6"/>
      <sheetName val="Noname_7"/>
      <sheetName val="Noname_8"/>
      <sheetName val="Noname_9"/>
      <sheetName val="Noname_10"/>
      <sheetName val="Noname_11"/>
      <sheetName val="Noname_12"/>
      <sheetName val="Noname_13"/>
      <sheetName val="Noname_14"/>
      <sheetName val="Noname_15"/>
      <sheetName val="Noname_16"/>
      <sheetName val="Noname_17"/>
      <sheetName val="Noname_18"/>
      <sheetName val="Noname_19"/>
      <sheetName val="Noname_20"/>
      <sheetName val="Noname_21"/>
      <sheetName val="Noname_22"/>
      <sheetName val="Noname_23"/>
      <sheetName val="1062-X방향_"/>
      <sheetName val="플랜트_설치"/>
      <sheetName val="9_품셈"/>
      <sheetName val="TOWER_10TON6"/>
      <sheetName val="TOWER_12TON6"/>
      <sheetName val="JIB_CRANE,HOIST6"/>
      <sheetName val="JIB_CRANE_HOIST6"/>
      <sheetName val="현장별_손익자료4"/>
      <sheetName val="현장관리비_산출내역3"/>
      <sheetName val="예산_대_실투입(안전제외)2"/>
      <sheetName val="급여_상승현황2"/>
      <sheetName val="3_공종별투자분석(천원)2"/>
      <sheetName val="4_2유효폭의_계산2"/>
      <sheetName val="입찰내역_발주처_양식1"/>
      <sheetName val="201동_산출근거1"/>
      <sheetName val="6PILE__(돌출)1"/>
      <sheetName val="부서_Code1"/>
      <sheetName val="7_PILE__(돌출)1"/>
      <sheetName val="P_M_별1"/>
      <sheetName val="Eq__Mobilization1"/>
      <sheetName val="2000년_공정표1"/>
      <sheetName val="3-1_건축공사(내역서)1"/>
      <sheetName val="Noname_110"/>
      <sheetName val="Noname_24"/>
      <sheetName val="Noname_31"/>
      <sheetName val="Noname_41"/>
      <sheetName val="Noname_51"/>
      <sheetName val="Noname_61"/>
      <sheetName val="Noname_71"/>
      <sheetName val="Noname_81"/>
      <sheetName val="Noname_91"/>
      <sheetName val="Noname_101"/>
      <sheetName val="Noname_111"/>
      <sheetName val="Noname_121"/>
      <sheetName val="Noname_131"/>
      <sheetName val="Noname_141"/>
      <sheetName val="Noname_151"/>
      <sheetName val="Noname_161"/>
      <sheetName val="Noname_171"/>
      <sheetName val="Noname_181"/>
      <sheetName val="Noname_191"/>
      <sheetName val="Noname_201"/>
      <sheetName val="Noname_211"/>
      <sheetName val="Noname_221"/>
      <sheetName val="Noname_231"/>
      <sheetName val="1062-X방향_1"/>
      <sheetName val="플랜트_설치1"/>
      <sheetName val="9_품셈1"/>
      <sheetName val="설산1_나"/>
      <sheetName val="TOWER_10TON7"/>
      <sheetName val="TOWER_12TON7"/>
      <sheetName val="JIB_CRANE,HOIST7"/>
      <sheetName val="JIB_CRANE_HOIST7"/>
      <sheetName val="현장별_손익자료5"/>
      <sheetName val="현장관리비_산출내역4"/>
      <sheetName val="예산_대_실투입(안전제외)3"/>
      <sheetName val="급여_상승현황3"/>
      <sheetName val="3_공종별투자분석(천원)3"/>
      <sheetName val="4_2유효폭의_계산3"/>
      <sheetName val="입찰내역_발주처_양식2"/>
      <sheetName val="201동_산출근거2"/>
      <sheetName val="6PILE__(돌출)2"/>
      <sheetName val="부서_Code2"/>
      <sheetName val="7_PILE__(돌출)2"/>
      <sheetName val="P_M_별2"/>
      <sheetName val="Eq__Mobilization2"/>
      <sheetName val="2000년_공정표2"/>
      <sheetName val="3-1_건축공사(내역서)2"/>
      <sheetName val="Noname_112"/>
      <sheetName val="Noname_25"/>
      <sheetName val="Noname_32"/>
      <sheetName val="Noname_42"/>
      <sheetName val="Noname_52"/>
      <sheetName val="Noname_62"/>
      <sheetName val="Noname_72"/>
      <sheetName val="Noname_82"/>
      <sheetName val="Noname_92"/>
      <sheetName val="Noname_102"/>
      <sheetName val="Noname_113"/>
      <sheetName val="Noname_122"/>
      <sheetName val="Noname_132"/>
      <sheetName val="Noname_142"/>
      <sheetName val="Noname_152"/>
      <sheetName val="Noname_162"/>
      <sheetName val="Noname_172"/>
      <sheetName val="Noname_182"/>
      <sheetName val="Noname_192"/>
      <sheetName val="Noname_202"/>
      <sheetName val="Noname_212"/>
      <sheetName val="Noname_222"/>
      <sheetName val="Noname_232"/>
      <sheetName val="1062-X방향_2"/>
      <sheetName val="플랜트_설치2"/>
      <sheetName val="9_품셈2"/>
      <sheetName val="설산1_나1"/>
      <sheetName val="공사비예산서(토목분)"/>
      <sheetName val="총물량"/>
      <sheetName val="관리,공감"/>
      <sheetName val="4-10"/>
      <sheetName val="개산공사비"/>
      <sheetName val="부안일위"/>
      <sheetName val="횡배수관집현황(2공구)"/>
      <sheetName val="간접비총괄"/>
      <sheetName val="설계명세"/>
      <sheetName val="기준자"/>
      <sheetName val="관리항목"/>
      <sheetName val="조견표"/>
      <sheetName val="Items"/>
      <sheetName val="Results from Nov 98"/>
      <sheetName val="관리"/>
      <sheetName val="manage"/>
      <sheetName val="회사정보"/>
      <sheetName val="결과조달"/>
      <sheetName val="guard(mac)"/>
      <sheetName val="하수급견적대비"/>
      <sheetName val="A.PCS"/>
      <sheetName val="견적 (2)"/>
      <sheetName val="토지"/>
      <sheetName val="기타"/>
      <sheetName val="사업계획(97년)"/>
      <sheetName val="k-103경고문"/>
      <sheetName val="12CGOU"/>
      <sheetName val="가격조사서"/>
      <sheetName val="적용기준"/>
      <sheetName val="마감사양"/>
      <sheetName val="pc가격"/>
      <sheetName val="경비"/>
      <sheetName val="정보"/>
      <sheetName val="Baby일위대가"/>
      <sheetName val="M&amp;A"/>
      <sheetName val="유효성 목록"/>
      <sheetName val="ENE-CAL"/>
      <sheetName val="일위대가(여기까지)"/>
      <sheetName val="집계표(OPTION)"/>
      <sheetName val="내역"/>
      <sheetName val="금융"/>
      <sheetName val="침하계"/>
      <sheetName val="N賃率-職"/>
      <sheetName val="15100"/>
      <sheetName val="수량산출"/>
      <sheetName val="조명시설"/>
      <sheetName val="부하계산서"/>
      <sheetName val="라"/>
      <sheetName val="날개벽수량표"/>
      <sheetName val="CAT_5"/>
      <sheetName val="INFO"/>
      <sheetName val="he so"/>
      <sheetName val="하도급 변경"/>
      <sheetName val="대비표(전체서우)"/>
      <sheetName val="대비표(외주)"/>
      <sheetName val="하도급대비표"/>
      <sheetName val="골조시행"/>
      <sheetName val="Earthwork"/>
      <sheetName val="Processing_NoDelete_NoHide"/>
      <sheetName val="변경내역대비표(2)"/>
      <sheetName val="예산실적전체당월"/>
      <sheetName val="정렬"/>
      <sheetName val="미지급금"/>
      <sheetName val="EQUIP LIST"/>
      <sheetName val="단가조사"/>
      <sheetName val="시설장비"/>
      <sheetName val="List"/>
      <sheetName val="F4-F7"/>
      <sheetName val="Nona_x0000__x0000__x0000__x0000__x0000_"/>
      <sheetName val="제조원가(확인)"/>
      <sheetName val="운반"/>
      <sheetName val="14_장비소요계획"/>
      <sheetName val="득점현황"/>
      <sheetName val="TOWER_10TON8"/>
      <sheetName val="TOWER_12TON8"/>
      <sheetName val="JIB_CRANE,HOIST8"/>
      <sheetName val="JIB_CRANE_HOIST8"/>
      <sheetName val="현장별_손익자료6"/>
      <sheetName val="현장관리비_산출내역5"/>
      <sheetName val="예산_대_실투입(안전제외)4"/>
      <sheetName val="급여_상승현황4"/>
      <sheetName val="3_공종별투자분석(천원)4"/>
      <sheetName val="4_2유효폭의_계산4"/>
      <sheetName val="입찰내역_발주처_양식3"/>
      <sheetName val="201동_산출근거3"/>
      <sheetName val="6PILE__(돌출)3"/>
      <sheetName val="7_PILE__(돌출)3"/>
      <sheetName val="P_M_별3"/>
      <sheetName val="부서_Code3"/>
      <sheetName val="Eq__Mobilization3"/>
      <sheetName val="3-1_건축공사(내역서)3"/>
      <sheetName val="2000년_공정표3"/>
      <sheetName val="Noname_114"/>
      <sheetName val="Noname_26"/>
      <sheetName val="Noname_33"/>
      <sheetName val="Noname_43"/>
      <sheetName val="Noname_53"/>
      <sheetName val="Noname_63"/>
      <sheetName val="Noname_73"/>
      <sheetName val="Noname_83"/>
      <sheetName val="Noname_93"/>
      <sheetName val="Noname_103"/>
      <sheetName val="Noname_115"/>
      <sheetName val="Noname_123"/>
      <sheetName val="Noname_133"/>
      <sheetName val="Noname_143"/>
      <sheetName val="Noname_153"/>
      <sheetName val="Noname_163"/>
      <sheetName val="Noname_173"/>
      <sheetName val="Noname_183"/>
      <sheetName val="Noname_193"/>
      <sheetName val="월간공정"/>
      <sheetName val="주간공정"/>
      <sheetName val="맨홀"/>
      <sheetName val="1"/>
      <sheetName val="GRDBS"/>
      <sheetName val="정산ISSUE(T)"/>
      <sheetName val="추정99"/>
      <sheetName val="SUMMARY"/>
      <sheetName val="Assumptions"/>
      <sheetName val="Scenarios"/>
      <sheetName val="수액원료"/>
      <sheetName val="주재료비"/>
      <sheetName val="Training"/>
      <sheetName val="Facility Information"/>
      <sheetName val="General"/>
      <sheetName val="Instructions"/>
      <sheetName val="People"/>
      <sheetName val="Quality"/>
      <sheetName val="Risk"/>
      <sheetName val="OtherKPI"/>
      <sheetName val="Noname_203"/>
      <sheetName val="Noname_213"/>
      <sheetName val="Noname_223"/>
      <sheetName val="Noname_233"/>
      <sheetName val="1062-X방향_3"/>
      <sheetName val="플랜트_설치3"/>
      <sheetName val="9_품셈3"/>
      <sheetName val="설산1_나2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전선_및_전선관"/>
      <sheetName val="감가상각비등_명세"/>
      <sheetName val="Results_from_Nov_98"/>
      <sheetName val="Sheet9"/>
      <sheetName val="Sheet10"/>
      <sheetName val="Sheet14"/>
      <sheetName val="전기자료"/>
      <sheetName val="Sheet13"/>
      <sheetName val="범례"/>
      <sheetName val="바차트"/>
      <sheetName val="아파트 기성내역서"/>
      <sheetName val="Noname_Ê_x0000_Ԁ"/>
      <sheetName val="Noname_Ê渀Ç"/>
      <sheetName val="TTL"/>
      <sheetName val="ELECTRIC"/>
      <sheetName val="물량표"/>
      <sheetName val="공조기"/>
      <sheetName val="CONCRETE"/>
      <sheetName val="콘크리트타설집계표"/>
      <sheetName val="설계"/>
      <sheetName val="Cash2"/>
      <sheetName val="Z"/>
      <sheetName val="Sheet1 (2)"/>
      <sheetName val="지급자재"/>
      <sheetName val="A"/>
      <sheetName val="CD-실적"/>
      <sheetName val="채권세부"/>
      <sheetName val="FS"/>
      <sheetName val="EQT-ESTN"/>
      <sheetName val="Foglio_Lavoro"/>
      <sheetName val="입찰품의서"/>
      <sheetName val="2공구산출내역"/>
      <sheetName val="Total"/>
      <sheetName val="checklist"/>
      <sheetName val="예정(3)"/>
      <sheetName val="정화조동내역"/>
      <sheetName val="당초"/>
      <sheetName val="수성페인트도장 내역서"/>
      <sheetName val="금액"/>
      <sheetName val="Nonameo_x0000_Ԁ_x0000_"/>
      <sheetName val="직노"/>
      <sheetName val="WELDING POINT 단가"/>
      <sheetName val="PO Header Entry"/>
      <sheetName val="Perhit.Alat"/>
      <sheetName val="Price Summary (1)"/>
      <sheetName val="Price Summary (2)"/>
      <sheetName val="DERIVE"/>
      <sheetName val="gvl"/>
      <sheetName val="사업성분석"/>
      <sheetName val="표지"/>
      <sheetName val="유효성_목록"/>
      <sheetName val="EQUIP_LIST"/>
      <sheetName val="A_PCS"/>
      <sheetName val="견적_(2)"/>
      <sheetName val="하도급_변경"/>
      <sheetName val="입찰내역"/>
      <sheetName val="뜃맟뭁돽띿맟?-BLDG"/>
      <sheetName val="EE-PROP"/>
      <sheetName val="LOB"/>
      <sheetName val="동력"/>
      <sheetName val="변압기"/>
      <sheetName val="인사자료총집계"/>
      <sheetName val="SCHEDULE"/>
      <sheetName val="작성기준"/>
      <sheetName val="건내"/>
      <sheetName val="VS P-Q"/>
      <sheetName val="천안"/>
      <sheetName val="합천내역"/>
      <sheetName val="입상내역"/>
      <sheetName val="Trans"/>
      <sheetName val="Eng_Hrs (HO)"/>
      <sheetName val="안산기계장치"/>
      <sheetName val="방배동내역(리라)"/>
      <sheetName val="경비실"/>
      <sheetName val="Register"/>
      <sheetName val="단면 (2)"/>
      <sheetName val="교각1"/>
      <sheetName val="CODE"/>
      <sheetName val="COPING"/>
      <sheetName val="기초공"/>
      <sheetName val="MOTOR"/>
      <sheetName val="기둥(원형)"/>
      <sheetName val="가설공사비"/>
      <sheetName val="내역서(확장형)_2024적용"/>
      <sheetName val="최적단면"/>
      <sheetName val="본사공가현황"/>
      <sheetName val="95삼성급(본사)"/>
      <sheetName val="실행내역"/>
      <sheetName val="할증 "/>
      <sheetName val="예총"/>
      <sheetName val="산출(설비_공량)"/>
      <sheetName val="설계서"/>
      <sheetName val="수원공사비"/>
      <sheetName val="중로근거"/>
      <sheetName val="공사내역"/>
      <sheetName val="SEX"/>
      <sheetName val="96수표어음"/>
      <sheetName val="Lguide"/>
      <sheetName val="Prior Rent"/>
      <sheetName val="Abv Std Cover"/>
      <sheetName val="Asset Mgmt"/>
      <sheetName val="ASTI Schedule"/>
      <sheetName val="Cover Pg"/>
      <sheetName val="Environ."/>
      <sheetName val="Cust. Credit"/>
      <sheetName val="Condition"/>
      <sheetName val="개인별 품목현황"/>
      <sheetName val="bsd (2)"/>
      <sheetName val="총괄원가"/>
      <sheetName val="Noname_Ê"/>
      <sheetName val="Noname_x0000__x0000_Ɨ_x0000_"/>
      <sheetName val="돈암사업"/>
      <sheetName val="일위_파일"/>
      <sheetName val="Nonameo"/>
      <sheetName val="실행(ALT1)"/>
      <sheetName val="인원"/>
      <sheetName val="(원)기흥상갈"/>
      <sheetName val="L-type"/>
      <sheetName val="30신설일위대가"/>
      <sheetName val="30집계표"/>
      <sheetName val="입력시트"/>
      <sheetName val="98수문일위"/>
      <sheetName val="PROJECT BRIEF"/>
      <sheetName val="EP0618"/>
      <sheetName val="연결관암거"/>
      <sheetName val="공용1(3%)"/>
      <sheetName val="공용2(3%)"/>
      <sheetName val="공용3(1%)"/>
      <sheetName val="공사비집계"/>
      <sheetName val="AN-01"/>
      <sheetName val="FOL - Bar"/>
      <sheetName val="Sch.6"/>
      <sheetName val="From Arup"/>
      <sheetName val="Dunrobin - detail"/>
      <sheetName val="Option"/>
      <sheetName val="石炭性状"/>
      <sheetName val="4차원가계산서"/>
      <sheetName val="BM"/>
      <sheetName val="예산작성기준(전기)"/>
      <sheetName val="식재인부"/>
      <sheetName val="THISWORKSHEET"/>
      <sheetName val="기계경비(시간당)"/>
      <sheetName val="램머"/>
      <sheetName val="Forecast"/>
      <sheetName val="BM DATA SHEET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8.PILE  (돌출)"/>
      <sheetName val="JTLOAD"/>
      <sheetName val="QUOTATION"/>
      <sheetName val="Bin"/>
      <sheetName val="eqpmt"/>
      <sheetName val="BOQ segment2 (PartB)"/>
      <sheetName val="Worksheet"/>
      <sheetName val="RCF CLAIMED"/>
      <sheetName val="영업소실적"/>
      <sheetName val="ﾄﾞﾊﾞｲFUEL GAS追見"/>
      <sheetName val="Inputs"/>
      <sheetName val="BD"/>
      <sheetName val="X17-TOTAL"/>
      <sheetName val="HaulErctionLH-Binga"/>
      <sheetName val="DATE"/>
      <sheetName val="내역(100%)"/>
      <sheetName val="97 사업추정(WEKI)"/>
      <sheetName val="materials"/>
      <sheetName val="일위대가 (Part C,D,E,G,H)"/>
      <sheetName val="Vari by Trade"/>
      <sheetName val="REBAR"/>
      <sheetName val="1999-2000 MONTHLY CASHFLOW"/>
      <sheetName val="table"/>
      <sheetName val="상반기손익차2총괄"/>
      <sheetName val="U_A Input"/>
      <sheetName val="INDENTIFICATION"/>
      <sheetName val="MAT_N048"/>
      <sheetName val="1.설계조건"/>
      <sheetName val="도기류"/>
      <sheetName val="세금자료"/>
      <sheetName val="환율"/>
      <sheetName val="직원동원SCH"/>
      <sheetName val="lookups"/>
      <sheetName val="Others"/>
      <sheetName val="ref"/>
      <sheetName val="sum mdc"/>
      <sheetName val="Source"/>
      <sheetName val="차액보증"/>
      <sheetName val="인원계획"/>
      <sheetName val="VC2 8.98"/>
      <sheetName val="계수시트"/>
      <sheetName val="rates"/>
      <sheetName val="SHL"/>
      <sheetName val="Tension"/>
      <sheetName val="BREAKDOWN(철거설치)"/>
      <sheetName val="性能取り纏め"/>
      <sheetName val="Factor"/>
      <sheetName val="Vari by Vendor"/>
      <sheetName val="Codes,..."/>
      <sheetName val="Cost Calc"/>
      <sheetName val="PH 5"/>
      <sheetName val="Lookup"/>
      <sheetName val="GAE8'97"/>
      <sheetName val="MTO"/>
      <sheetName val="Equipment_Database"/>
      <sheetName val="INNER TANK"/>
      <sheetName val="Material_Database"/>
      <sheetName val="IPE"/>
      <sheetName val="Wts"/>
      <sheetName val="BTRP-230kV.wts"/>
      <sheetName val="중기조종사 단위단가"/>
      <sheetName val="자재단가조사표-수목"/>
      <sheetName val="10현장조직"/>
      <sheetName val="공사비_NDE"/>
      <sheetName val="실행예산-변경분"/>
      <sheetName val="현장관리비"/>
      <sheetName val=" 갑지"/>
      <sheetName val="조명율표"/>
      <sheetName val="환산표"/>
      <sheetName val="slipsumpR"/>
      <sheetName val="LABOR"/>
      <sheetName val="EQUIPT"/>
      <sheetName val="DESBASTE"/>
      <sheetName val="ASCEandUBC"/>
      <sheetName val="schbhn"/>
      <sheetName val="schalt"/>
      <sheetName val="schtng"/>
      <sheetName val="mechanical"/>
      <sheetName val="4-Lane bridge"/>
      <sheetName val="Existing PC Pavement"/>
      <sheetName val="Subgrade"/>
      <sheetName val="소화실적"/>
      <sheetName val="예산"/>
      <sheetName val="단가결정"/>
      <sheetName val="백분율"/>
      <sheetName val="REINF."/>
      <sheetName val="SKETCH"/>
      <sheetName val="LOADS"/>
      <sheetName val="품"/>
      <sheetName val="수정시산표"/>
      <sheetName val="TOWER_10TON9"/>
      <sheetName val="TOWER_12TON9"/>
      <sheetName val="JIB_CRANE,HOIST9"/>
      <sheetName val="JIB_CRANE_HOIST9"/>
      <sheetName val="현장별_손익자료7"/>
      <sheetName val="현장관리비_산출내역6"/>
      <sheetName val="예산_대_실투입(안전제외)5"/>
      <sheetName val="급여_상승현황5"/>
      <sheetName val="3_공종별투자분석(천원)5"/>
      <sheetName val="4_2유효폭의_계산5"/>
      <sheetName val="입찰내역_발주처_양식4"/>
      <sheetName val="6PILE__(돌출)4"/>
      <sheetName val="부서_Code4"/>
      <sheetName val="201동_산출근거4"/>
      <sheetName val="7_PILE__(돌출)4"/>
      <sheetName val="P_M_별4"/>
      <sheetName val="Eq__Mobilization4"/>
      <sheetName val="3-1_건축공사(내역서)4"/>
      <sheetName val="2000년_공정표4"/>
      <sheetName val="Noname_116"/>
      <sheetName val="Noname_27"/>
      <sheetName val="Noname_34"/>
      <sheetName val="Noname_44"/>
      <sheetName val="Noname_54"/>
      <sheetName val="Noname_64"/>
      <sheetName val="Noname_74"/>
      <sheetName val="Noname_84"/>
      <sheetName val="Noname_94"/>
      <sheetName val="Noname_104"/>
      <sheetName val="Noname_117"/>
      <sheetName val="Noname_124"/>
      <sheetName val="Noname_134"/>
      <sheetName val="Noname_144"/>
      <sheetName val="Noname_154"/>
      <sheetName val="Noname_164"/>
      <sheetName val="Noname_174"/>
      <sheetName val="Noname_184"/>
      <sheetName val="Noname_194"/>
      <sheetName val="Noname_204"/>
      <sheetName val="Noname_214"/>
      <sheetName val="Noname_224"/>
      <sheetName val="Noname_234"/>
      <sheetName val="1062-X방향_4"/>
      <sheetName val="플랜트_설치4"/>
      <sheetName val="9_품셈4"/>
      <sheetName val="설산1_나3"/>
      <sheetName val="14_장비소요계획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전선_및_전선관1"/>
      <sheetName val="감가상각비등_명세1"/>
      <sheetName val="Results_from_Nov_981"/>
      <sheetName val="초기화면"/>
      <sheetName val="단중표"/>
      <sheetName val="부대공"/>
      <sheetName val="토공"/>
      <sheetName val="포장공"/>
      <sheetName val="Cashflow Analysis"/>
      <sheetName val="상가지급현황"/>
      <sheetName val="규격표"/>
      <sheetName val="설계명세서"/>
      <sheetName val="토목내역서집계"/>
      <sheetName val="Benchmark by Area"/>
      <sheetName val="평가데이터"/>
      <sheetName val="전체집계표(일반)"/>
      <sheetName val="전체집계표(개산급)"/>
      <sheetName val="전체내역서"/>
      <sheetName val="제잡비(금회)"/>
      <sheetName val="5사남"/>
      <sheetName val="품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>
        <row r="58">
          <cell r="A58" t="str">
            <v>첨     부 :</v>
          </cell>
        </row>
      </sheetData>
      <sheetData sheetId="247"/>
      <sheetData sheetId="248"/>
      <sheetData sheetId="249">
        <row r="58">
          <cell r="A58" t="str">
            <v>첨     부 :</v>
          </cell>
        </row>
      </sheetData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>
        <row r="58">
          <cell r="A58" t="str">
            <v>첨     부 :</v>
          </cell>
        </row>
      </sheetData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>
        <row r="58">
          <cell r="A58" t="str">
            <v>첨     부 :</v>
          </cell>
        </row>
      </sheetData>
      <sheetData sheetId="325">
        <row r="58">
          <cell r="A58" t="str">
            <v>첨     부 :</v>
          </cell>
        </row>
      </sheetData>
      <sheetData sheetId="326">
        <row r="58">
          <cell r="A58" t="str">
            <v>첨     부 :</v>
          </cell>
        </row>
      </sheetData>
      <sheetData sheetId="327">
        <row r="58">
          <cell r="A58" t="str">
            <v>첨     부 :</v>
          </cell>
        </row>
      </sheetData>
      <sheetData sheetId="328">
        <row r="58">
          <cell r="A58" t="str">
            <v>첨     부 :</v>
          </cell>
        </row>
      </sheetData>
      <sheetData sheetId="329">
        <row r="58">
          <cell r="A58" t="str">
            <v>첨     부 :</v>
          </cell>
        </row>
      </sheetData>
      <sheetData sheetId="330">
        <row r="58">
          <cell r="A58" t="str">
            <v>첨     부 :</v>
          </cell>
        </row>
      </sheetData>
      <sheetData sheetId="331">
        <row r="58">
          <cell r="A58" t="str">
            <v>첨     부 :</v>
          </cell>
        </row>
      </sheetData>
      <sheetData sheetId="332">
        <row r="58">
          <cell r="A58" t="str">
            <v>첨     부 :</v>
          </cell>
        </row>
      </sheetData>
      <sheetData sheetId="333">
        <row r="58">
          <cell r="A58" t="str">
            <v>첨     부 :</v>
          </cell>
        </row>
      </sheetData>
      <sheetData sheetId="334">
        <row r="58">
          <cell r="A58" t="str">
            <v>첨     부 :</v>
          </cell>
        </row>
      </sheetData>
      <sheetData sheetId="335">
        <row r="58">
          <cell r="A58" t="str">
            <v>첨     부 :</v>
          </cell>
        </row>
      </sheetData>
      <sheetData sheetId="336">
        <row r="58">
          <cell r="A58" t="str">
            <v>첨     부 :</v>
          </cell>
        </row>
      </sheetData>
      <sheetData sheetId="337">
        <row r="58">
          <cell r="A58" t="str">
            <v>첨     부 :</v>
          </cell>
        </row>
      </sheetData>
      <sheetData sheetId="338">
        <row r="58">
          <cell r="A58" t="str">
            <v>첨     부 :</v>
          </cell>
        </row>
      </sheetData>
      <sheetData sheetId="339">
        <row r="58">
          <cell r="A58" t="str">
            <v>첨     부 :</v>
          </cell>
        </row>
      </sheetData>
      <sheetData sheetId="340">
        <row r="58">
          <cell r="A58" t="str">
            <v>첨     부 :</v>
          </cell>
        </row>
      </sheetData>
      <sheetData sheetId="341">
        <row r="58">
          <cell r="A58" t="str">
            <v>첨     부 :</v>
          </cell>
        </row>
      </sheetData>
      <sheetData sheetId="342">
        <row r="58">
          <cell r="A58" t="str">
            <v>첨     부 :</v>
          </cell>
        </row>
      </sheetData>
      <sheetData sheetId="343">
        <row r="58">
          <cell r="A58" t="str">
            <v>첨     부 :</v>
          </cell>
        </row>
      </sheetData>
      <sheetData sheetId="344">
        <row r="58">
          <cell r="A58" t="str">
            <v>첨     부 :</v>
          </cell>
        </row>
      </sheetData>
      <sheetData sheetId="345">
        <row r="58">
          <cell r="A58" t="str">
            <v>첨     부 :</v>
          </cell>
        </row>
      </sheetData>
      <sheetData sheetId="346">
        <row r="58">
          <cell r="A58" t="str">
            <v>첨     부 :</v>
          </cell>
        </row>
      </sheetData>
      <sheetData sheetId="347">
        <row r="58">
          <cell r="A58" t="str">
            <v>첨     부 :</v>
          </cell>
        </row>
      </sheetData>
      <sheetData sheetId="348">
        <row r="58">
          <cell r="A58" t="str">
            <v>첨     부 :</v>
          </cell>
        </row>
      </sheetData>
      <sheetData sheetId="349">
        <row r="58">
          <cell r="A58" t="str">
            <v>첨     부 :</v>
          </cell>
        </row>
      </sheetData>
      <sheetData sheetId="350">
        <row r="58">
          <cell r="A58" t="str">
            <v>첨     부 :</v>
          </cell>
        </row>
      </sheetData>
      <sheetData sheetId="351">
        <row r="58">
          <cell r="A58" t="str">
            <v>첨     부 :</v>
          </cell>
        </row>
      </sheetData>
      <sheetData sheetId="352">
        <row r="58">
          <cell r="A58" t="str">
            <v>첨     부 :</v>
          </cell>
        </row>
      </sheetData>
      <sheetData sheetId="353">
        <row r="58">
          <cell r="A58" t="str">
            <v>첨     부 :</v>
          </cell>
        </row>
      </sheetData>
      <sheetData sheetId="354">
        <row r="58">
          <cell r="A58" t="str">
            <v>첨     부 :</v>
          </cell>
        </row>
      </sheetData>
      <sheetData sheetId="355">
        <row r="58">
          <cell r="A58" t="str">
            <v>첨     부 :</v>
          </cell>
        </row>
      </sheetData>
      <sheetData sheetId="356">
        <row r="58">
          <cell r="A58" t="str">
            <v>첨     부 :</v>
          </cell>
        </row>
      </sheetData>
      <sheetData sheetId="357">
        <row r="58">
          <cell r="A58" t="str">
            <v>첨     부 :</v>
          </cell>
        </row>
      </sheetData>
      <sheetData sheetId="358">
        <row r="58">
          <cell r="A58" t="str">
            <v>첨     부 :</v>
          </cell>
        </row>
      </sheetData>
      <sheetData sheetId="359">
        <row r="58">
          <cell r="A58" t="str">
            <v>첨     부 :</v>
          </cell>
        </row>
      </sheetData>
      <sheetData sheetId="360">
        <row r="58">
          <cell r="A58" t="str">
            <v>첨     부 :</v>
          </cell>
        </row>
      </sheetData>
      <sheetData sheetId="361">
        <row r="58">
          <cell r="A58" t="str">
            <v>첨     부 :</v>
          </cell>
        </row>
      </sheetData>
      <sheetData sheetId="362">
        <row r="58">
          <cell r="A58" t="str">
            <v>첨     부 :</v>
          </cell>
        </row>
      </sheetData>
      <sheetData sheetId="363">
        <row r="58">
          <cell r="A58" t="str">
            <v>첨     부 :</v>
          </cell>
        </row>
      </sheetData>
      <sheetData sheetId="364">
        <row r="58">
          <cell r="A58" t="str">
            <v>첨     부 :</v>
          </cell>
        </row>
      </sheetData>
      <sheetData sheetId="365">
        <row r="58">
          <cell r="A58" t="str">
            <v>첨     부 :</v>
          </cell>
        </row>
      </sheetData>
      <sheetData sheetId="366">
        <row r="58">
          <cell r="A58" t="str">
            <v>첨     부 :</v>
          </cell>
        </row>
      </sheetData>
      <sheetData sheetId="367">
        <row r="58">
          <cell r="A58" t="str">
            <v>첨     부 :</v>
          </cell>
        </row>
      </sheetData>
      <sheetData sheetId="368">
        <row r="58">
          <cell r="A58" t="str">
            <v>첨     부 :</v>
          </cell>
        </row>
      </sheetData>
      <sheetData sheetId="369">
        <row r="58">
          <cell r="A58" t="str">
            <v>첨     부 :</v>
          </cell>
        </row>
      </sheetData>
      <sheetData sheetId="370">
        <row r="58">
          <cell r="A58" t="str">
            <v>첨     부 :</v>
          </cell>
        </row>
      </sheetData>
      <sheetData sheetId="371">
        <row r="58">
          <cell r="A58" t="str">
            <v>첨     부 :</v>
          </cell>
        </row>
      </sheetData>
      <sheetData sheetId="372">
        <row r="58">
          <cell r="A58" t="str">
            <v>첨     부 :</v>
          </cell>
        </row>
      </sheetData>
      <sheetData sheetId="373">
        <row r="58">
          <cell r="A58" t="str">
            <v>첨     부 :</v>
          </cell>
        </row>
      </sheetData>
      <sheetData sheetId="374">
        <row r="58">
          <cell r="A58" t="str">
            <v>첨     부 :</v>
          </cell>
        </row>
      </sheetData>
      <sheetData sheetId="375">
        <row r="58">
          <cell r="A58" t="str">
            <v>첨     부 :</v>
          </cell>
        </row>
      </sheetData>
      <sheetData sheetId="376">
        <row r="58">
          <cell r="A58" t="str">
            <v>첨     부 :</v>
          </cell>
        </row>
      </sheetData>
      <sheetData sheetId="377">
        <row r="58">
          <cell r="A58" t="str">
            <v>첨     부 :</v>
          </cell>
        </row>
      </sheetData>
      <sheetData sheetId="378">
        <row r="58">
          <cell r="A58" t="str">
            <v>첨     부 :</v>
          </cell>
        </row>
      </sheetData>
      <sheetData sheetId="379">
        <row r="58">
          <cell r="A58" t="str">
            <v>첨     부 :</v>
          </cell>
        </row>
      </sheetData>
      <sheetData sheetId="380">
        <row r="58">
          <cell r="A58" t="str">
            <v>첨     부 :</v>
          </cell>
        </row>
      </sheetData>
      <sheetData sheetId="381">
        <row r="58">
          <cell r="A58" t="str">
            <v>첨     부 :</v>
          </cell>
        </row>
      </sheetData>
      <sheetData sheetId="382">
        <row r="58">
          <cell r="A58" t="str">
            <v>첨     부 :</v>
          </cell>
        </row>
      </sheetData>
      <sheetData sheetId="383">
        <row r="58">
          <cell r="A58" t="str">
            <v>첨     부 :</v>
          </cell>
        </row>
      </sheetData>
      <sheetData sheetId="384">
        <row r="58">
          <cell r="A58" t="str">
            <v>첨     부 :</v>
          </cell>
        </row>
      </sheetData>
      <sheetData sheetId="385">
        <row r="58">
          <cell r="A58" t="str">
            <v>첨     부 :</v>
          </cell>
        </row>
      </sheetData>
      <sheetData sheetId="386">
        <row r="58">
          <cell r="A58" t="str">
            <v>첨     부 :</v>
          </cell>
        </row>
      </sheetData>
      <sheetData sheetId="387">
        <row r="58">
          <cell r="A58" t="str">
            <v>첨     부 :</v>
          </cell>
        </row>
      </sheetData>
      <sheetData sheetId="388">
        <row r="58">
          <cell r="A58" t="str">
            <v>첨     부 :</v>
          </cell>
        </row>
      </sheetData>
      <sheetData sheetId="389">
        <row r="58">
          <cell r="A58" t="str">
            <v>첨     부 :</v>
          </cell>
        </row>
      </sheetData>
      <sheetData sheetId="390">
        <row r="58">
          <cell r="A58" t="str">
            <v>첨     부 :</v>
          </cell>
        </row>
      </sheetData>
      <sheetData sheetId="391">
        <row r="58">
          <cell r="A58" t="str">
            <v>첨     부 :</v>
          </cell>
        </row>
      </sheetData>
      <sheetData sheetId="392">
        <row r="58">
          <cell r="A58" t="str">
            <v>첨     부 :</v>
          </cell>
        </row>
      </sheetData>
      <sheetData sheetId="393">
        <row r="58">
          <cell r="A58" t="str">
            <v>첨     부 :</v>
          </cell>
        </row>
      </sheetData>
      <sheetData sheetId="394">
        <row r="58">
          <cell r="A58" t="str">
            <v>첨     부 :</v>
          </cell>
        </row>
      </sheetData>
      <sheetData sheetId="395">
        <row r="58">
          <cell r="A58" t="str">
            <v>첨     부 :</v>
          </cell>
        </row>
      </sheetData>
      <sheetData sheetId="396">
        <row r="58">
          <cell r="A58" t="str">
            <v>첨     부 :</v>
          </cell>
        </row>
      </sheetData>
      <sheetData sheetId="397">
        <row r="58">
          <cell r="A58" t="str">
            <v>첨     부 :</v>
          </cell>
        </row>
      </sheetData>
      <sheetData sheetId="398">
        <row r="58">
          <cell r="A58" t="str">
            <v>첨     부 :</v>
          </cell>
        </row>
      </sheetData>
      <sheetData sheetId="399">
        <row r="58">
          <cell r="A58" t="str">
            <v>첨     부 :</v>
          </cell>
        </row>
      </sheetData>
      <sheetData sheetId="400">
        <row r="58">
          <cell r="A58" t="str">
            <v>첨     부 :</v>
          </cell>
        </row>
      </sheetData>
      <sheetData sheetId="401">
        <row r="58">
          <cell r="A58" t="str">
            <v>첨     부 :</v>
          </cell>
        </row>
      </sheetData>
      <sheetData sheetId="402">
        <row r="58">
          <cell r="A58" t="str">
            <v>첨     부 :</v>
          </cell>
        </row>
      </sheetData>
      <sheetData sheetId="403">
        <row r="58">
          <cell r="A58" t="str">
            <v>첨     부 :</v>
          </cell>
        </row>
      </sheetData>
      <sheetData sheetId="404">
        <row r="58">
          <cell r="A58" t="str">
            <v>첨     부 :</v>
          </cell>
        </row>
      </sheetData>
      <sheetData sheetId="405">
        <row r="58">
          <cell r="A58" t="str">
            <v>첨     부 :</v>
          </cell>
        </row>
      </sheetData>
      <sheetData sheetId="406">
        <row r="58">
          <cell r="A58" t="str">
            <v>첨     부 :</v>
          </cell>
        </row>
      </sheetData>
      <sheetData sheetId="407"/>
      <sheetData sheetId="408">
        <row r="58">
          <cell r="A58" t="str">
            <v>첨     부 :</v>
          </cell>
        </row>
      </sheetData>
      <sheetData sheetId="409">
        <row r="58">
          <cell r="A58" t="str">
            <v>첨     부 :</v>
          </cell>
        </row>
      </sheetData>
      <sheetData sheetId="410">
        <row r="58">
          <cell r="A58" t="str">
            <v>첨     부 :</v>
          </cell>
        </row>
      </sheetData>
      <sheetData sheetId="411"/>
      <sheetData sheetId="412">
        <row r="58">
          <cell r="A58" t="str">
            <v>첨     부 :</v>
          </cell>
        </row>
      </sheetData>
      <sheetData sheetId="413">
        <row r="58">
          <cell r="A58" t="str">
            <v>첨     부 :</v>
          </cell>
        </row>
      </sheetData>
      <sheetData sheetId="414"/>
      <sheetData sheetId="415">
        <row r="58">
          <cell r="A58" t="str">
            <v>첨     부 :</v>
          </cell>
        </row>
      </sheetData>
      <sheetData sheetId="416">
        <row r="58">
          <cell r="A58" t="str">
            <v>첨     부 :</v>
          </cell>
        </row>
      </sheetData>
      <sheetData sheetId="417"/>
      <sheetData sheetId="418"/>
      <sheetData sheetId="419">
        <row r="58">
          <cell r="A58" t="str">
            <v>첨     부 :</v>
          </cell>
        </row>
      </sheetData>
      <sheetData sheetId="420">
        <row r="58">
          <cell r="A58" t="str">
            <v>첨     부 :</v>
          </cell>
        </row>
      </sheetData>
      <sheetData sheetId="421">
        <row r="58">
          <cell r="A58" t="str">
            <v>첨     부 :</v>
          </cell>
        </row>
      </sheetData>
      <sheetData sheetId="422">
        <row r="58">
          <cell r="A58" t="str">
            <v>첨     부 :</v>
          </cell>
        </row>
      </sheetData>
      <sheetData sheetId="423">
        <row r="58">
          <cell r="A58" t="str">
            <v>첨     부 :</v>
          </cell>
        </row>
      </sheetData>
      <sheetData sheetId="424">
        <row r="58">
          <cell r="A58" t="str">
            <v>첨     부 :</v>
          </cell>
        </row>
      </sheetData>
      <sheetData sheetId="425">
        <row r="58">
          <cell r="A58" t="str">
            <v>첨     부 :</v>
          </cell>
        </row>
      </sheetData>
      <sheetData sheetId="426">
        <row r="58">
          <cell r="A58" t="str">
            <v>첨     부 :</v>
          </cell>
        </row>
      </sheetData>
      <sheetData sheetId="427">
        <row r="58">
          <cell r="A58" t="str">
            <v>첨     부 :</v>
          </cell>
        </row>
      </sheetData>
      <sheetData sheetId="428">
        <row r="58">
          <cell r="A58" t="str">
            <v>첨     부 :</v>
          </cell>
        </row>
      </sheetData>
      <sheetData sheetId="429">
        <row r="58">
          <cell r="A58" t="str">
            <v>첨     부 :</v>
          </cell>
        </row>
      </sheetData>
      <sheetData sheetId="430">
        <row r="58">
          <cell r="A58" t="str">
            <v>첨     부 :</v>
          </cell>
        </row>
      </sheetData>
      <sheetData sheetId="431">
        <row r="58">
          <cell r="A58" t="str">
            <v>첨     부 :</v>
          </cell>
        </row>
      </sheetData>
      <sheetData sheetId="432"/>
      <sheetData sheetId="433">
        <row r="58">
          <cell r="A58" t="str">
            <v>첨     부 :</v>
          </cell>
        </row>
      </sheetData>
      <sheetData sheetId="434">
        <row r="58">
          <cell r="A58" t="str">
            <v>첨     부 :</v>
          </cell>
        </row>
      </sheetData>
      <sheetData sheetId="435">
        <row r="58">
          <cell r="A58" t="str">
            <v>첨     부 :</v>
          </cell>
        </row>
      </sheetData>
      <sheetData sheetId="436"/>
      <sheetData sheetId="437"/>
      <sheetData sheetId="438">
        <row r="58">
          <cell r="A58" t="str">
            <v>첨     부 :</v>
          </cell>
        </row>
      </sheetData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>
        <row r="58">
          <cell r="A58" t="str">
            <v>첨     부 :</v>
          </cell>
        </row>
      </sheetData>
      <sheetData sheetId="514">
        <row r="58">
          <cell r="A58" t="str">
            <v>첨     부 :</v>
          </cell>
        </row>
      </sheetData>
      <sheetData sheetId="515">
        <row r="58">
          <cell r="A58" t="str">
            <v>첨     부 :</v>
          </cell>
        </row>
      </sheetData>
      <sheetData sheetId="516">
        <row r="58">
          <cell r="A58" t="str">
            <v>첨     부 :</v>
          </cell>
        </row>
      </sheetData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 refreshError="1"/>
      <sheetData sheetId="534"/>
      <sheetData sheetId="535"/>
      <sheetData sheetId="536"/>
      <sheetData sheetId="537"/>
      <sheetData sheetId="538"/>
      <sheetData sheetId="539">
        <row r="58">
          <cell r="A58">
            <v>0</v>
          </cell>
        </row>
      </sheetData>
      <sheetData sheetId="540">
        <row r="58">
          <cell r="A58">
            <v>0</v>
          </cell>
        </row>
      </sheetData>
      <sheetData sheetId="541">
        <row r="58">
          <cell r="A58">
            <v>0</v>
          </cell>
        </row>
      </sheetData>
      <sheetData sheetId="542">
        <row r="58">
          <cell r="A58">
            <v>0</v>
          </cell>
        </row>
      </sheetData>
      <sheetData sheetId="543">
        <row r="58">
          <cell r="A58" t="str">
            <v>첨     부 :</v>
          </cell>
        </row>
      </sheetData>
      <sheetData sheetId="544">
        <row r="58">
          <cell r="A58">
            <v>0</v>
          </cell>
        </row>
      </sheetData>
      <sheetData sheetId="545">
        <row r="58">
          <cell r="A58">
            <v>0</v>
          </cell>
        </row>
      </sheetData>
      <sheetData sheetId="546">
        <row r="58">
          <cell r="A58">
            <v>0</v>
          </cell>
        </row>
      </sheetData>
      <sheetData sheetId="547">
        <row r="58">
          <cell r="A58" t="str">
            <v>첨     부 :</v>
          </cell>
        </row>
      </sheetData>
      <sheetData sheetId="548">
        <row r="58">
          <cell r="A58" t="str">
            <v>첨     부 :</v>
          </cell>
        </row>
      </sheetData>
      <sheetData sheetId="549">
        <row r="58">
          <cell r="A58">
            <v>0</v>
          </cell>
        </row>
      </sheetData>
      <sheetData sheetId="550">
        <row r="58">
          <cell r="A58">
            <v>0</v>
          </cell>
        </row>
      </sheetData>
      <sheetData sheetId="551">
        <row r="58">
          <cell r="A58">
            <v>0</v>
          </cell>
        </row>
      </sheetData>
      <sheetData sheetId="552">
        <row r="58">
          <cell r="A58" t="str">
            <v>첨     부 :</v>
          </cell>
        </row>
      </sheetData>
      <sheetData sheetId="553">
        <row r="58">
          <cell r="A58" t="str">
            <v>첨     부 :</v>
          </cell>
        </row>
      </sheetData>
      <sheetData sheetId="554">
        <row r="58">
          <cell r="A58" t="str">
            <v>첨     부 :</v>
          </cell>
        </row>
      </sheetData>
      <sheetData sheetId="555">
        <row r="58">
          <cell r="A58" t="str">
            <v>첨     부 :</v>
          </cell>
        </row>
      </sheetData>
      <sheetData sheetId="556">
        <row r="58">
          <cell r="A58">
            <v>0</v>
          </cell>
        </row>
      </sheetData>
      <sheetData sheetId="557">
        <row r="58">
          <cell r="A58" t="str">
            <v>첨     부 :</v>
          </cell>
        </row>
      </sheetData>
      <sheetData sheetId="558">
        <row r="58">
          <cell r="A58" t="str">
            <v>첨     부 :</v>
          </cell>
        </row>
      </sheetData>
      <sheetData sheetId="559">
        <row r="58">
          <cell r="A58" t="str">
            <v>첨     부 :</v>
          </cell>
        </row>
      </sheetData>
      <sheetData sheetId="560">
        <row r="58">
          <cell r="A58" t="str">
            <v>첨     부 :</v>
          </cell>
        </row>
      </sheetData>
      <sheetData sheetId="561">
        <row r="58">
          <cell r="A58" t="str">
            <v>첨     부 :</v>
          </cell>
        </row>
      </sheetData>
      <sheetData sheetId="562">
        <row r="58">
          <cell r="A58" t="str">
            <v>첨     부 :</v>
          </cell>
        </row>
      </sheetData>
      <sheetData sheetId="563">
        <row r="58">
          <cell r="A58" t="str">
            <v>첨     부 :</v>
          </cell>
        </row>
      </sheetData>
      <sheetData sheetId="564">
        <row r="58">
          <cell r="A58" t="str">
            <v>첨     부 :</v>
          </cell>
        </row>
      </sheetData>
      <sheetData sheetId="565"/>
      <sheetData sheetId="566">
        <row r="58">
          <cell r="A58" t="str">
            <v>첨     부 :</v>
          </cell>
        </row>
      </sheetData>
      <sheetData sheetId="567">
        <row r="58">
          <cell r="A58" t="str">
            <v>첨     부 :</v>
          </cell>
        </row>
      </sheetData>
      <sheetData sheetId="568">
        <row r="58">
          <cell r="A58" t="str">
            <v>첨     부 :</v>
          </cell>
        </row>
      </sheetData>
      <sheetData sheetId="569">
        <row r="58">
          <cell r="A58" t="str">
            <v>첨     부 :</v>
          </cell>
        </row>
      </sheetData>
      <sheetData sheetId="570">
        <row r="58">
          <cell r="A58" t="str">
            <v>첨     부 :</v>
          </cell>
        </row>
      </sheetData>
      <sheetData sheetId="571">
        <row r="58">
          <cell r="A58" t="str">
            <v>첨     부 :</v>
          </cell>
        </row>
      </sheetData>
      <sheetData sheetId="572">
        <row r="58">
          <cell r="A58">
            <v>0</v>
          </cell>
        </row>
      </sheetData>
      <sheetData sheetId="573">
        <row r="58">
          <cell r="A58">
            <v>0</v>
          </cell>
        </row>
      </sheetData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 refreshError="1"/>
      <sheetData sheetId="669"/>
      <sheetData sheetId="670"/>
      <sheetData sheetId="671"/>
      <sheetData sheetId="672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Main Menu"/>
      <sheetName val="ArgData"/>
      <sheetName val="Data"/>
      <sheetName val="Assumptions"/>
      <sheetName val="Cash Flow"/>
      <sheetName val="Debt"/>
      <sheetName val="IRR Matrix"/>
      <sheetName val="Pricing"/>
      <sheetName val="OccData"/>
      <sheetName val="Module.Shortcuts"/>
      <sheetName val="Module.Dialogs"/>
      <sheetName val="Dialog1"/>
      <sheetName val="Dialog2"/>
      <sheetName val="Dialog3"/>
      <sheetName val="Dialog.PSF"/>
      <sheetName val="Dialog.Import"/>
      <sheetName val="Dialog.Print"/>
      <sheetName val="Module2"/>
    </sheetNames>
    <sheetDataSet>
      <sheetData sheetId="0"/>
      <sheetData sheetId="1" refreshError="1"/>
      <sheetData sheetId="2"/>
      <sheetData sheetId="3">
        <row r="3">
          <cell r="B3" t="str">
            <v>INTEL OUT $2.00 STRAIGHTLINE BASIS</v>
          </cell>
        </row>
      </sheetData>
      <sheetData sheetId="4">
        <row r="9">
          <cell r="C9">
            <v>2006</v>
          </cell>
        </row>
        <row r="20">
          <cell r="E20">
            <v>-57461</v>
          </cell>
          <cell r="F20">
            <v>2604482</v>
          </cell>
          <cell r="G20">
            <v>2604393</v>
          </cell>
          <cell r="H20">
            <v>2604302</v>
          </cell>
          <cell r="I20">
            <v>2604208</v>
          </cell>
          <cell r="J20">
            <v>2604112</v>
          </cell>
          <cell r="K20">
            <v>2604012</v>
          </cell>
          <cell r="L20">
            <v>2603910</v>
          </cell>
          <cell r="M20">
            <v>2792900</v>
          </cell>
          <cell r="N20">
            <v>3193650</v>
          </cell>
          <cell r="O20">
            <v>3193539</v>
          </cell>
        </row>
        <row r="27">
          <cell r="E27">
            <v>-73132</v>
          </cell>
          <cell r="F27">
            <v>-1580626</v>
          </cell>
          <cell r="G27">
            <v>2587768</v>
          </cell>
          <cell r="H27">
            <v>2587178</v>
          </cell>
          <cell r="I27">
            <v>2586570</v>
          </cell>
          <cell r="J27">
            <v>2585945</v>
          </cell>
          <cell r="K27">
            <v>2585300</v>
          </cell>
          <cell r="L27">
            <v>2584637</v>
          </cell>
          <cell r="M27">
            <v>-699968</v>
          </cell>
          <cell r="N27">
            <v>3173203</v>
          </cell>
          <cell r="O27">
            <v>3172478</v>
          </cell>
        </row>
      </sheetData>
      <sheetData sheetId="5">
        <row r="4">
          <cell r="C4">
            <v>0</v>
          </cell>
        </row>
      </sheetData>
      <sheetData sheetId="6">
        <row r="7">
          <cell r="H7">
            <v>22850000</v>
          </cell>
        </row>
      </sheetData>
      <sheetData sheetId="7">
        <row r="21">
          <cell r="A21">
            <v>22850000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Sheet1"/>
      <sheetName val="Sheet2"/>
      <sheetName val="Placement"/>
      <sheetName val="Baa3"/>
      <sheetName val="Ba1"/>
      <sheetName val="Benchmarking"/>
      <sheetName val="Sheet3"/>
    </sheetNames>
    <sheetDataSet>
      <sheetData sheetId="0"/>
      <sheetData sheetId="1"/>
      <sheetData sheetId="2"/>
      <sheetData sheetId="3"/>
      <sheetData sheetId="4">
        <row r="2">
          <cell r="B2" t="str">
            <v xml:space="preserve">Acquisition Financing Scenario Analysis – EFR + Perp (Baa3) + Straight Debt </v>
          </cell>
        </row>
        <row r="4">
          <cell r="B4" t="str">
            <v>Key Assumptions</v>
          </cell>
        </row>
        <row r="5">
          <cell r="C5">
            <v>0</v>
          </cell>
        </row>
        <row r="6">
          <cell r="C6">
            <v>0</v>
          </cell>
        </row>
        <row r="7">
          <cell r="C7" t="str">
            <v>Financing Assumptions</v>
          </cell>
        </row>
        <row r="8">
          <cell r="C8" t="str">
            <v>EFR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1">
          <cell r="C11" t="str">
            <v>Issue Size (S$ mm)</v>
          </cell>
          <cell r="D11">
            <v>0</v>
          </cell>
          <cell r="E11">
            <v>0</v>
          </cell>
          <cell r="F11">
            <v>350</v>
          </cell>
        </row>
        <row r="12">
          <cell r="C12" t="str">
            <v>Current Price (S$ / unit)</v>
          </cell>
          <cell r="D12">
            <v>0</v>
          </cell>
          <cell r="E12">
            <v>0</v>
          </cell>
          <cell r="F12">
            <v>0.79</v>
          </cell>
        </row>
        <row r="13">
          <cell r="C13" t="str">
            <v>Adj. Closing Price (S$ / unit)</v>
          </cell>
          <cell r="D13">
            <v>0</v>
          </cell>
          <cell r="E13">
            <v>0</v>
          </cell>
          <cell r="F13">
            <v>0.77964093753456776</v>
          </cell>
        </row>
        <row r="14">
          <cell r="C14" t="str">
            <v>Issue Discount to Adj. Close (%)</v>
          </cell>
          <cell r="D14">
            <v>0</v>
          </cell>
          <cell r="E14">
            <v>0</v>
          </cell>
          <cell r="F14">
            <v>0.06</v>
          </cell>
        </row>
        <row r="15">
          <cell r="C15" t="str">
            <v>Issue Price (S$ / unit)</v>
          </cell>
          <cell r="D15">
            <v>0</v>
          </cell>
          <cell r="E15">
            <v>0</v>
          </cell>
          <cell r="F15">
            <v>0.73286248128249365</v>
          </cell>
        </row>
        <row r="16">
          <cell r="C16" t="str">
            <v>No. of EFR Unit Issued</v>
          </cell>
          <cell r="D16">
            <v>0</v>
          </cell>
          <cell r="E16">
            <v>0</v>
          </cell>
          <cell r="F16">
            <v>477.57936712424885</v>
          </cell>
        </row>
        <row r="17">
          <cell r="C17" t="str">
            <v>Transaction Fee (%)</v>
          </cell>
          <cell r="D17">
            <v>0</v>
          </cell>
          <cell r="E17">
            <v>0</v>
          </cell>
          <cell r="F17">
            <v>0.02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C21" t="str">
            <v>Perpetual Bond (Baa3)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4">
          <cell r="C24" t="str">
            <v>Issue Size (S$ mm)</v>
          </cell>
          <cell r="D24">
            <v>0</v>
          </cell>
          <cell r="E24">
            <v>0</v>
          </cell>
          <cell r="F24">
            <v>600</v>
          </cell>
        </row>
        <row r="25">
          <cell r="C25" t="str">
            <v>Offering Yield (%)</v>
          </cell>
          <cell r="D25">
            <v>0</v>
          </cell>
          <cell r="E25">
            <v>0</v>
          </cell>
          <cell r="F25">
            <v>5.7500000000000002E-2</v>
          </cell>
        </row>
        <row r="26">
          <cell r="C26" t="str">
            <v>Warrant Subsidy (%)</v>
          </cell>
          <cell r="D26">
            <v>0</v>
          </cell>
          <cell r="E26">
            <v>0</v>
          </cell>
          <cell r="F26">
            <v>5.0000000000000001E-3</v>
          </cell>
        </row>
        <row r="27">
          <cell r="C27" t="str">
            <v>Net Offering Yield  (%)</v>
          </cell>
          <cell r="D27">
            <v>0</v>
          </cell>
          <cell r="E27">
            <v>0</v>
          </cell>
          <cell r="F27">
            <v>5.2500000000000005E-2</v>
          </cell>
        </row>
        <row r="28">
          <cell r="C28" t="str">
            <v>Warrant Strike Price Premium (%)</v>
          </cell>
          <cell r="D28">
            <v>0</v>
          </cell>
          <cell r="E28">
            <v>0</v>
          </cell>
          <cell r="F28">
            <v>0.2</v>
          </cell>
        </row>
        <row r="29">
          <cell r="C29" t="str">
            <v>Perpetual Bond Conversion Prem (%)</v>
          </cell>
          <cell r="D29">
            <v>0</v>
          </cell>
          <cell r="E29">
            <v>0</v>
          </cell>
          <cell r="F29">
            <v>0.2</v>
          </cell>
        </row>
        <row r="30">
          <cell r="C30" t="str">
            <v>Transaction Fee (%)</v>
          </cell>
          <cell r="D30">
            <v>0</v>
          </cell>
          <cell r="E30">
            <v>0</v>
          </cell>
          <cell r="F30">
            <v>0.02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C34" t="str">
            <v>Debt Financing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7">
          <cell r="C37" t="str">
            <v>Issue Size (S$ mm)</v>
          </cell>
          <cell r="D37">
            <v>0</v>
          </cell>
          <cell r="E37">
            <v>0</v>
          </cell>
          <cell r="F37">
            <v>574.74747474747471</v>
          </cell>
        </row>
        <row r="38">
          <cell r="C38" t="str">
            <v>Cost of Debt (%)</v>
          </cell>
          <cell r="D38">
            <v>0</v>
          </cell>
          <cell r="E38">
            <v>0</v>
          </cell>
          <cell r="F38">
            <v>2.1680000000000001E-2</v>
          </cell>
        </row>
        <row r="39">
          <cell r="C39" t="str">
            <v>Transaction Fee (%)</v>
          </cell>
          <cell r="D39">
            <v>0</v>
          </cell>
          <cell r="E39">
            <v>0</v>
          </cell>
          <cell r="F39">
            <v>0.01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C43" t="str">
            <v>DDM Assumptions</v>
          </cell>
          <cell r="E43" t="str">
            <v>Pre-Acq</v>
          </cell>
          <cell r="F43" t="str">
            <v>Post-Acq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</row>
        <row r="46">
          <cell r="C46" t="str">
            <v>Cost of Equity</v>
          </cell>
          <cell r="D46">
            <v>0</v>
          </cell>
          <cell r="E46">
            <v>7.4500000000000011E-2</v>
          </cell>
          <cell r="F46">
            <v>7.5892075992380181E-2</v>
          </cell>
        </row>
        <row r="47">
          <cell r="C47" t="str">
            <v>Risk Free Rate(1)</v>
          </cell>
          <cell r="D47">
            <v>0</v>
          </cell>
          <cell r="E47">
            <v>3.1E-2</v>
          </cell>
          <cell r="F47">
            <v>2.8239865532620777E-2</v>
          </cell>
        </row>
        <row r="48">
          <cell r="C48" t="str">
            <v>Equity Risk Premium</v>
          </cell>
          <cell r="D48">
            <v>0</v>
          </cell>
          <cell r="E48">
            <v>0.05</v>
          </cell>
          <cell r="F48">
            <v>0.05</v>
          </cell>
        </row>
        <row r="49">
          <cell r="C49" t="str">
            <v>Equity Beta</v>
          </cell>
          <cell r="D49">
            <v>0</v>
          </cell>
          <cell r="E49">
            <v>0.75</v>
          </cell>
          <cell r="F49">
            <v>0.83304420919518796</v>
          </cell>
        </row>
        <row r="50">
          <cell r="C50" t="str">
            <v>Liquidity Premium</v>
          </cell>
          <cell r="D50">
            <v>0</v>
          </cell>
          <cell r="E50">
            <v>6.0000000000000001E-3</v>
          </cell>
          <cell r="F50">
            <v>6.0000000000000001E-3</v>
          </cell>
        </row>
        <row r="51">
          <cell r="C51" t="str">
            <v>Terminal Growth Rate</v>
          </cell>
          <cell r="D51">
            <v>0</v>
          </cell>
          <cell r="E51">
            <v>0.01</v>
          </cell>
          <cell r="F51">
            <v>0.01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</row>
        <row r="55">
          <cell r="C55" t="str">
            <v>Asset Level Assumptions</v>
          </cell>
          <cell r="E55">
            <v>0</v>
          </cell>
          <cell r="F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</row>
        <row r="58">
          <cell r="C58" t="str">
            <v>Initial NPI yield</v>
          </cell>
          <cell r="D58">
            <v>0</v>
          </cell>
          <cell r="E58">
            <v>0</v>
          </cell>
          <cell r="F58">
            <v>4.5999999999999999E-2</v>
          </cell>
        </row>
        <row r="59">
          <cell r="C59" t="str">
            <v>NPI growth</v>
          </cell>
          <cell r="D59">
            <v>0</v>
          </cell>
          <cell r="E59">
            <v>0</v>
          </cell>
          <cell r="F59">
            <v>0.03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</row>
        <row r="64">
          <cell r="I64" t="str">
            <v>DDM Citi Research Case: No Acquisition</v>
          </cell>
          <cell r="J64">
            <v>0</v>
          </cell>
        </row>
        <row r="65">
          <cell r="I65">
            <v>0</v>
          </cell>
          <cell r="J65">
            <v>0</v>
          </cell>
        </row>
        <row r="67">
          <cell r="J67" t="str">
            <v>(S$ mm) (Based on 31 Dec YE)</v>
          </cell>
          <cell r="L67" t="str">
            <v>2014E</v>
          </cell>
          <cell r="M67" t="str">
            <v>2015E</v>
          </cell>
          <cell r="N67" t="str">
            <v>2016E</v>
          </cell>
          <cell r="O67" t="str">
            <v>2017E</v>
          </cell>
          <cell r="P67" t="str">
            <v>2018E</v>
          </cell>
        </row>
        <row r="68"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70">
          <cell r="J70" t="str">
            <v>Total NPI (incl. Income Support)</v>
          </cell>
          <cell r="K70">
            <v>0</v>
          </cell>
          <cell r="L70">
            <v>64.700292389898706</v>
          </cell>
          <cell r="M70">
            <v>65.43249161007995</v>
          </cell>
          <cell r="N70">
            <v>65.830012721180168</v>
          </cell>
          <cell r="O70">
            <v>66.22822313463746</v>
          </cell>
          <cell r="P70">
            <v>66.213350115084822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J73" t="str">
            <v>Net Income</v>
          </cell>
          <cell r="K73">
            <v>0</v>
          </cell>
          <cell r="L73">
            <v>275.873173667424</v>
          </cell>
          <cell r="M73">
            <v>30.184895159996437</v>
          </cell>
          <cell r="N73">
            <v>30.725744727655119</v>
          </cell>
          <cell r="O73">
            <v>31.15097122686749</v>
          </cell>
          <cell r="P73">
            <v>31.261969414133581</v>
          </cell>
        </row>
        <row r="74"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J76" t="str">
            <v>Distributions Adjustments</v>
          </cell>
          <cell r="K76">
            <v>0</v>
          </cell>
          <cell r="L76">
            <v>-228.10359499999993</v>
          </cell>
          <cell r="M76">
            <v>18.457312270038223</v>
          </cell>
          <cell r="N76">
            <v>18.432237715749991</v>
          </cell>
          <cell r="O76">
            <v>18.405049304405644</v>
          </cell>
          <cell r="P76">
            <v>18.341780700951237</v>
          </cell>
        </row>
        <row r="77">
          <cell r="J77" t="str">
            <v>Distributions to Unitholders</v>
          </cell>
          <cell r="K77">
            <v>0</v>
          </cell>
          <cell r="L77">
            <v>47.769578667424071</v>
          </cell>
          <cell r="M77">
            <v>48.642207430034659</v>
          </cell>
          <cell r="N77">
            <v>49.15798244340511</v>
          </cell>
          <cell r="O77">
            <v>49.556020531273134</v>
          </cell>
          <cell r="P77">
            <v>49.603750115084821</v>
          </cell>
        </row>
        <row r="78">
          <cell r="J78" t="str">
            <v>Average Units O/S (mm)</v>
          </cell>
          <cell r="K78">
            <v>0</v>
          </cell>
          <cell r="L78">
            <v>871.74042358052748</v>
          </cell>
          <cell r="M78">
            <v>877.3861974139536</v>
          </cell>
          <cell r="N78">
            <v>882.87271740675919</v>
          </cell>
          <cell r="O78">
            <v>888.32921952650361</v>
          </cell>
          <cell r="P78">
            <v>893.64586474978273</v>
          </cell>
        </row>
        <row r="79"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J81" t="str">
            <v>DPU (S$)</v>
          </cell>
          <cell r="K81">
            <v>0</v>
          </cell>
          <cell r="L81">
            <v>5.4797939128735755E-2</v>
          </cell>
          <cell r="M81">
            <v>5.5439904996687689E-2</v>
          </cell>
          <cell r="N81">
            <v>5.5679580390473125E-2</v>
          </cell>
          <cell r="O81">
            <v>5.5785647305046926E-2</v>
          </cell>
          <cell r="P81">
            <v>5.5507166845083174E-2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I84">
            <v>0</v>
          </cell>
          <cell r="J84" t="str">
            <v>NPV</v>
          </cell>
          <cell r="K84">
            <v>0</v>
          </cell>
          <cell r="L84">
            <v>0.86176151756789332</v>
          </cell>
        </row>
        <row r="85"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8">
          <cell r="I88" t="str">
            <v>DDM PF Acquisition - Equity + Pref + Straight Debt</v>
          </cell>
        </row>
        <row r="89">
          <cell r="I89">
            <v>0</v>
          </cell>
        </row>
        <row r="91">
          <cell r="J91" t="str">
            <v>(S$ mm) (Based on 31 Dec YE)</v>
          </cell>
          <cell r="L91" t="str">
            <v>2014E</v>
          </cell>
          <cell r="M91" t="str">
            <v>2015E</v>
          </cell>
          <cell r="N91" t="str">
            <v>2016E</v>
          </cell>
          <cell r="O91" t="str">
            <v>2017E</v>
          </cell>
          <cell r="P91" t="str">
            <v>2018E</v>
          </cell>
        </row>
        <row r="92"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4">
          <cell r="J94" t="str">
            <v>NPI from Existing Properties</v>
          </cell>
          <cell r="K94">
            <v>0</v>
          </cell>
          <cell r="L94">
            <v>64.700292389898706</v>
          </cell>
          <cell r="M94">
            <v>65.43249161007995</v>
          </cell>
          <cell r="N94">
            <v>65.830012721180168</v>
          </cell>
          <cell r="O94">
            <v>66.22822313463746</v>
          </cell>
          <cell r="P94">
            <v>66.213350115084822</v>
          </cell>
        </row>
        <row r="95">
          <cell r="J95" t="str">
            <v>NPI from One Raffles Place</v>
          </cell>
          <cell r="K95">
            <v>0</v>
          </cell>
          <cell r="L95">
            <v>69</v>
          </cell>
          <cell r="M95">
            <v>71.070000000000007</v>
          </cell>
          <cell r="N95">
            <v>73.202100000000016</v>
          </cell>
          <cell r="O95">
            <v>75.398163000000025</v>
          </cell>
          <cell r="P95">
            <v>77.660107890000035</v>
          </cell>
        </row>
        <row r="96"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J98" t="str">
            <v>Total NPI (incl. Income Support)</v>
          </cell>
          <cell r="K98">
            <v>0</v>
          </cell>
          <cell r="L98">
            <v>133.70029238989872</v>
          </cell>
          <cell r="M98">
            <v>136.50249161007997</v>
          </cell>
          <cell r="N98">
            <v>139.03211272118017</v>
          </cell>
          <cell r="O98">
            <v>141.62638613463747</v>
          </cell>
          <cell r="P98">
            <v>143.87345800508484</v>
          </cell>
        </row>
        <row r="99"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J101" t="str">
            <v>Net Income</v>
          </cell>
          <cell r="K101">
            <v>0</v>
          </cell>
          <cell r="L101">
            <v>326.28271263099623</v>
          </cell>
          <cell r="M101">
            <v>82.087363242485353</v>
          </cell>
          <cell r="N101">
            <v>84.728846600476714</v>
          </cell>
          <cell r="O101">
            <v>87.366417716050066</v>
          </cell>
          <cell r="P101">
            <v>89.714440939424549</v>
          </cell>
        </row>
        <row r="102"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J104" t="str">
            <v>Distributions Adjustments</v>
          </cell>
          <cell r="K104">
            <v>0</v>
          </cell>
          <cell r="L104">
            <v>-221.97365921609739</v>
          </cell>
          <cell r="M104">
            <v>25.164318935024099</v>
          </cell>
          <cell r="N104">
            <v>25.17071059040315</v>
          </cell>
          <cell r="O104">
            <v>25.127240562697843</v>
          </cell>
          <cell r="P104">
            <v>25.088891813135067</v>
          </cell>
        </row>
        <row r="105">
          <cell r="J105" t="str">
            <v>Distributions to Unitholders</v>
          </cell>
          <cell r="K105">
            <v>0</v>
          </cell>
          <cell r="L105">
            <v>72.809053414898841</v>
          </cell>
          <cell r="M105">
            <v>107.25168217750945</v>
          </cell>
          <cell r="N105">
            <v>109.89955719087986</v>
          </cell>
          <cell r="O105">
            <v>112.49365827874792</v>
          </cell>
          <cell r="P105">
            <v>114.80333275255961</v>
          </cell>
        </row>
        <row r="106">
          <cell r="J106" t="str">
            <v>Average Units O/S (mm)</v>
          </cell>
          <cell r="K106">
            <v>0</v>
          </cell>
          <cell r="L106">
            <v>1365.3889450720981</v>
          </cell>
          <cell r="M106">
            <v>1377.8410472375549</v>
          </cell>
          <cell r="N106">
            <v>1390.4204198324035</v>
          </cell>
          <cell r="O106">
            <v>1402.9231153090225</v>
          </cell>
          <cell r="P106">
            <v>1415.3376649702273</v>
          </cell>
        </row>
        <row r="107"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J109" t="str">
            <v>DPU (S$ cents)</v>
          </cell>
          <cell r="K109">
            <v>0</v>
          </cell>
          <cell r="L109">
            <v>5.332477143430675E-2</v>
          </cell>
          <cell r="M109">
            <v>5.4978534954655787E-2</v>
          </cell>
          <cell r="N109">
            <v>5.6385504752821364E-2</v>
          </cell>
          <cell r="O109">
            <v>5.7732071982367621E-2</v>
          </cell>
          <cell r="P109">
            <v>5.8857567924832953E-2</v>
          </cell>
        </row>
        <row r="111"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I112">
            <v>0</v>
          </cell>
          <cell r="J112" t="str">
            <v>NPV</v>
          </cell>
          <cell r="K112">
            <v>0</v>
          </cell>
          <cell r="L112">
            <v>0.89646380047544183</v>
          </cell>
        </row>
        <row r="113">
          <cell r="I113">
            <v>0</v>
          </cell>
          <cell r="J113">
            <v>0</v>
          </cell>
          <cell r="K113">
            <v>0</v>
          </cell>
          <cell r="L113">
            <v>0</v>
          </cell>
        </row>
        <row r="114"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6">
          <cell r="J116" t="str">
            <v>Debt</v>
          </cell>
          <cell r="L116">
            <v>1250.4160000000002</v>
          </cell>
          <cell r="M116">
            <v>0.35038718018020881</v>
          </cell>
        </row>
        <row r="117">
          <cell r="J117" t="str">
            <v>Hybrid</v>
          </cell>
          <cell r="L117">
            <v>600</v>
          </cell>
          <cell r="M117">
            <v>0.16812989285815699</v>
          </cell>
        </row>
        <row r="118">
          <cell r="J118" t="str">
            <v>Equity</v>
          </cell>
          <cell r="L118">
            <v>1718.2533769928868</v>
          </cell>
          <cell r="M118">
            <v>0.48148292696163419</v>
          </cell>
        </row>
        <row r="119">
          <cell r="J119">
            <v>0</v>
          </cell>
          <cell r="K119">
            <v>0</v>
          </cell>
          <cell r="L119">
            <v>3568.669376992887</v>
          </cell>
          <cell r="M119">
            <v>1</v>
          </cell>
        </row>
        <row r="122">
          <cell r="S122">
            <v>0</v>
          </cell>
          <cell r="T122">
            <v>0</v>
          </cell>
          <cell r="U122">
            <v>0</v>
          </cell>
        </row>
        <row r="124">
          <cell r="S124" t="str">
            <v>DDM Accretion</v>
          </cell>
          <cell r="T124">
            <v>0</v>
          </cell>
          <cell r="U124">
            <v>4.0269009697122549E-2</v>
          </cell>
        </row>
        <row r="125">
          <cell r="S125" t="str">
            <v>DDM Accretion (if hybrid converted)</v>
          </cell>
          <cell r="T125">
            <v>0</v>
          </cell>
          <cell r="U125">
            <v>-1.7449741668902341E-3</v>
          </cell>
        </row>
        <row r="126">
          <cell r="S126" t="str">
            <v>2014E DPU Accretion / (Dilution)</v>
          </cell>
          <cell r="T126">
            <v>0</v>
          </cell>
          <cell r="U126">
            <v>-2.6883633177666066E-2</v>
          </cell>
        </row>
        <row r="127">
          <cell r="S127" t="str">
            <v>2015E DPU Accretion / (Dilution)</v>
          </cell>
          <cell r="T127">
            <v>0</v>
          </cell>
          <cell r="U127">
            <v>-8.3219847158733096E-3</v>
          </cell>
        </row>
        <row r="128">
          <cell r="S128" t="str">
            <v>PF Aggregate Leverage(2)</v>
          </cell>
          <cell r="T128">
            <v>0</v>
          </cell>
          <cell r="U128">
            <v>0.35003083665184526</v>
          </cell>
        </row>
        <row r="129">
          <cell r="S129">
            <v>0</v>
          </cell>
          <cell r="T129">
            <v>0</v>
          </cell>
          <cell r="U129">
            <v>0</v>
          </cell>
        </row>
      </sheetData>
      <sheetData sheetId="5">
        <row r="2">
          <cell r="B2" t="str">
            <v xml:space="preserve">Acquisition Financing Scenario Analysis – EFR + Perp (Ba1) + Straight Debt </v>
          </cell>
        </row>
        <row r="4">
          <cell r="B4" t="str">
            <v>Key Assumptions</v>
          </cell>
        </row>
        <row r="5">
          <cell r="C5">
            <v>0</v>
          </cell>
        </row>
        <row r="6">
          <cell r="C6">
            <v>0</v>
          </cell>
        </row>
        <row r="7">
          <cell r="C7" t="str">
            <v>Financing Assumptions</v>
          </cell>
        </row>
        <row r="8">
          <cell r="C8" t="str">
            <v>EFR</v>
          </cell>
        </row>
        <row r="9"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1">
          <cell r="C11" t="str">
            <v>Issue Size (S$ mm)</v>
          </cell>
          <cell r="D11">
            <v>0</v>
          </cell>
          <cell r="E11">
            <v>0</v>
          </cell>
          <cell r="F11">
            <v>350</v>
          </cell>
        </row>
        <row r="12">
          <cell r="C12" t="str">
            <v>Current Price (S$ / unit)</v>
          </cell>
          <cell r="D12">
            <v>0</v>
          </cell>
          <cell r="E12">
            <v>0</v>
          </cell>
          <cell r="F12">
            <v>0.79</v>
          </cell>
        </row>
        <row r="13">
          <cell r="C13" t="str">
            <v>Adj. Closing Price (S$ / unit)</v>
          </cell>
          <cell r="D13">
            <v>0</v>
          </cell>
          <cell r="E13">
            <v>0</v>
          </cell>
          <cell r="F13">
            <v>0.77964093753456776</v>
          </cell>
        </row>
        <row r="14">
          <cell r="C14" t="str">
            <v>Issue Discount to Adj. Close (%)</v>
          </cell>
          <cell r="D14">
            <v>0</v>
          </cell>
          <cell r="E14">
            <v>0</v>
          </cell>
          <cell r="F14">
            <v>0.06</v>
          </cell>
        </row>
        <row r="15">
          <cell r="C15" t="str">
            <v>Issue Price (S$ / unit)</v>
          </cell>
          <cell r="D15">
            <v>0</v>
          </cell>
          <cell r="E15">
            <v>0</v>
          </cell>
          <cell r="F15">
            <v>0.73286248128249365</v>
          </cell>
        </row>
        <row r="16">
          <cell r="C16" t="str">
            <v>No. of EFR Unit Issued</v>
          </cell>
          <cell r="D16">
            <v>0</v>
          </cell>
          <cell r="E16">
            <v>0</v>
          </cell>
          <cell r="F16">
            <v>477.57936712424885</v>
          </cell>
        </row>
        <row r="17">
          <cell r="C17" t="str">
            <v>Transaction Fee (%)</v>
          </cell>
          <cell r="D17">
            <v>0</v>
          </cell>
          <cell r="E17">
            <v>0</v>
          </cell>
          <cell r="F17">
            <v>0.02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C21" t="str">
            <v>Perpetual Bond (Ba1)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4">
          <cell r="C24" t="str">
            <v>Issue Size (S$ mm)</v>
          </cell>
          <cell r="D24">
            <v>0</v>
          </cell>
          <cell r="E24">
            <v>0</v>
          </cell>
          <cell r="F24">
            <v>600</v>
          </cell>
        </row>
        <row r="25">
          <cell r="C25" t="str">
            <v>Offering Yield (%)</v>
          </cell>
          <cell r="D25">
            <v>0</v>
          </cell>
          <cell r="E25">
            <v>0</v>
          </cell>
          <cell r="F25">
            <v>5.7500000000000002E-2</v>
          </cell>
        </row>
        <row r="26">
          <cell r="C26" t="str">
            <v>Warrant Subsidy (%)</v>
          </cell>
          <cell r="D26">
            <v>0</v>
          </cell>
          <cell r="E26">
            <v>0</v>
          </cell>
          <cell r="F26">
            <v>5.0000000000000001E-3</v>
          </cell>
        </row>
        <row r="27">
          <cell r="C27" t="str">
            <v>Net Offering Yield  (%)</v>
          </cell>
          <cell r="D27">
            <v>0</v>
          </cell>
          <cell r="E27">
            <v>0</v>
          </cell>
          <cell r="F27">
            <v>5.2500000000000005E-2</v>
          </cell>
        </row>
        <row r="28">
          <cell r="C28" t="str">
            <v>Warrant Strike Price Premium (%)</v>
          </cell>
          <cell r="D28">
            <v>0</v>
          </cell>
          <cell r="E28">
            <v>0</v>
          </cell>
          <cell r="F28">
            <v>0.2</v>
          </cell>
        </row>
        <row r="29">
          <cell r="C29" t="str">
            <v>Perpetual Bond Conversion Prem (%)</v>
          </cell>
          <cell r="D29">
            <v>0</v>
          </cell>
          <cell r="E29">
            <v>0</v>
          </cell>
          <cell r="F29">
            <v>0.2</v>
          </cell>
        </row>
        <row r="30">
          <cell r="C30" t="str">
            <v>Transaction Fee (%)</v>
          </cell>
          <cell r="D30">
            <v>0</v>
          </cell>
          <cell r="E30">
            <v>0</v>
          </cell>
          <cell r="F30">
            <v>0.02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C34" t="str">
            <v>Debt Financing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7">
          <cell r="C37" t="str">
            <v>Issue Size (S$ mm)</v>
          </cell>
          <cell r="D37">
            <v>0</v>
          </cell>
          <cell r="E37">
            <v>0</v>
          </cell>
          <cell r="F37">
            <v>574.74747474747471</v>
          </cell>
        </row>
        <row r="38">
          <cell r="C38" t="str">
            <v>Cost of Debt (%)</v>
          </cell>
          <cell r="D38">
            <v>0</v>
          </cell>
          <cell r="E38">
            <v>0</v>
          </cell>
          <cell r="F38">
            <v>2.1680000000000001E-2</v>
          </cell>
        </row>
        <row r="39">
          <cell r="C39" t="str">
            <v>Transaction Fee (%)</v>
          </cell>
          <cell r="D39">
            <v>0</v>
          </cell>
          <cell r="E39">
            <v>0</v>
          </cell>
          <cell r="F39">
            <v>0.01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C43" t="str">
            <v>DDM Assumptions</v>
          </cell>
          <cell r="E43" t="str">
            <v>Pre-Acq</v>
          </cell>
          <cell r="F43" t="str">
            <v>Post-Acq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</row>
        <row r="46">
          <cell r="C46" t="str">
            <v>Cost of Equity</v>
          </cell>
          <cell r="D46">
            <v>0</v>
          </cell>
          <cell r="E46">
            <v>7.4500000000000011E-2</v>
          </cell>
          <cell r="F46">
            <v>7.5892075992380181E-2</v>
          </cell>
        </row>
        <row r="47">
          <cell r="C47" t="str">
            <v>Risk Free Rate(1)</v>
          </cell>
          <cell r="D47">
            <v>0</v>
          </cell>
          <cell r="E47">
            <v>3.1E-2</v>
          </cell>
          <cell r="F47">
            <v>2.8239865532620777E-2</v>
          </cell>
        </row>
        <row r="48">
          <cell r="C48" t="str">
            <v>Equity Risk Premium</v>
          </cell>
          <cell r="D48">
            <v>0</v>
          </cell>
          <cell r="E48">
            <v>0.05</v>
          </cell>
          <cell r="F48">
            <v>0.05</v>
          </cell>
        </row>
        <row r="49">
          <cell r="C49" t="str">
            <v>Equity Beta</v>
          </cell>
          <cell r="D49">
            <v>0</v>
          </cell>
          <cell r="E49">
            <v>0.75</v>
          </cell>
          <cell r="F49">
            <v>0.83304420919518796</v>
          </cell>
        </row>
        <row r="50">
          <cell r="C50" t="str">
            <v>Liquidity Premium</v>
          </cell>
          <cell r="D50">
            <v>0</v>
          </cell>
          <cell r="E50">
            <v>6.0000000000000001E-3</v>
          </cell>
          <cell r="F50">
            <v>6.0000000000000001E-3</v>
          </cell>
        </row>
        <row r="51">
          <cell r="C51" t="str">
            <v>Terminal Growth Rate</v>
          </cell>
          <cell r="D51">
            <v>0</v>
          </cell>
          <cell r="E51">
            <v>0.01</v>
          </cell>
          <cell r="F51">
            <v>0.01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</row>
        <row r="55">
          <cell r="C55" t="str">
            <v>Asset Level Assumptions</v>
          </cell>
          <cell r="E55">
            <v>0</v>
          </cell>
          <cell r="F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</row>
        <row r="58">
          <cell r="C58" t="str">
            <v>Initial NPI yield</v>
          </cell>
          <cell r="D58">
            <v>0</v>
          </cell>
          <cell r="E58">
            <v>0</v>
          </cell>
          <cell r="F58">
            <v>4.5999999999999999E-2</v>
          </cell>
        </row>
        <row r="59">
          <cell r="C59" t="str">
            <v>NPI growth</v>
          </cell>
          <cell r="D59">
            <v>0</v>
          </cell>
          <cell r="E59">
            <v>0</v>
          </cell>
          <cell r="F59">
            <v>0.03</v>
          </cell>
        </row>
        <row r="60">
          <cell r="C60">
            <v>0</v>
          </cell>
          <cell r="D60">
            <v>0</v>
          </cell>
          <cell r="E60">
            <v>0</v>
          </cell>
          <cell r="F60">
            <v>0</v>
          </cell>
        </row>
        <row r="64">
          <cell r="I64" t="str">
            <v>DDM Citi Research Case: No Acquisition</v>
          </cell>
          <cell r="J64">
            <v>0</v>
          </cell>
        </row>
        <row r="65">
          <cell r="I65">
            <v>0</v>
          </cell>
          <cell r="J65">
            <v>0</v>
          </cell>
        </row>
        <row r="67">
          <cell r="J67" t="str">
            <v>(S$ mm) (Based on 31 Dec YE)</v>
          </cell>
          <cell r="L67" t="str">
            <v>2014E</v>
          </cell>
          <cell r="M67" t="str">
            <v>2015E</v>
          </cell>
          <cell r="N67" t="str">
            <v>2016E</v>
          </cell>
          <cell r="O67" t="str">
            <v>2017E</v>
          </cell>
          <cell r="P67" t="str">
            <v>2018E</v>
          </cell>
        </row>
        <row r="68"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70">
          <cell r="J70" t="str">
            <v>Total NPI (incl. Income Support)</v>
          </cell>
          <cell r="K70">
            <v>0</v>
          </cell>
          <cell r="L70">
            <v>64.700292389898706</v>
          </cell>
          <cell r="M70">
            <v>65.43249161007995</v>
          </cell>
          <cell r="N70">
            <v>65.830012721180168</v>
          </cell>
          <cell r="O70">
            <v>66.22822313463746</v>
          </cell>
          <cell r="P70">
            <v>66.213350115084822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J73" t="str">
            <v>Net Income</v>
          </cell>
          <cell r="K73">
            <v>0</v>
          </cell>
          <cell r="L73">
            <v>275.873173667424</v>
          </cell>
          <cell r="M73">
            <v>30.184895159996437</v>
          </cell>
          <cell r="N73">
            <v>30.725744727655119</v>
          </cell>
          <cell r="O73">
            <v>31.15097122686749</v>
          </cell>
          <cell r="P73">
            <v>31.261969414133581</v>
          </cell>
        </row>
        <row r="74"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J76" t="str">
            <v>Distributions Adjustments</v>
          </cell>
          <cell r="K76">
            <v>0</v>
          </cell>
          <cell r="L76">
            <v>-228.10359499999993</v>
          </cell>
          <cell r="M76">
            <v>18.457312270038223</v>
          </cell>
          <cell r="N76">
            <v>18.432237715749991</v>
          </cell>
          <cell r="O76">
            <v>18.405049304405644</v>
          </cell>
          <cell r="P76">
            <v>18.341780700951237</v>
          </cell>
        </row>
        <row r="77">
          <cell r="J77" t="str">
            <v>Distributions to Unitholders</v>
          </cell>
          <cell r="K77">
            <v>0</v>
          </cell>
          <cell r="L77">
            <v>47.769578667424071</v>
          </cell>
          <cell r="M77">
            <v>48.642207430034659</v>
          </cell>
          <cell r="N77">
            <v>49.15798244340511</v>
          </cell>
          <cell r="O77">
            <v>49.556020531273134</v>
          </cell>
          <cell r="P77">
            <v>49.603750115084821</v>
          </cell>
        </row>
        <row r="78">
          <cell r="J78" t="str">
            <v>Average Units O/S (mm)</v>
          </cell>
          <cell r="K78">
            <v>0</v>
          </cell>
          <cell r="L78">
            <v>871.74042358052748</v>
          </cell>
          <cell r="M78">
            <v>877.3861974139536</v>
          </cell>
          <cell r="N78">
            <v>882.87271740675919</v>
          </cell>
          <cell r="O78">
            <v>888.32921952650361</v>
          </cell>
          <cell r="P78">
            <v>893.64586474978273</v>
          </cell>
        </row>
        <row r="79"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J81" t="str">
            <v>DPU (S$)</v>
          </cell>
          <cell r="K81">
            <v>0</v>
          </cell>
          <cell r="L81">
            <v>5.4797939128735755E-2</v>
          </cell>
          <cell r="M81">
            <v>5.5439904996687689E-2</v>
          </cell>
          <cell r="N81">
            <v>5.5679580390473125E-2</v>
          </cell>
          <cell r="O81">
            <v>5.5785647305046926E-2</v>
          </cell>
          <cell r="P81">
            <v>5.5507166845083174E-2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I84">
            <v>0</v>
          </cell>
          <cell r="J84" t="str">
            <v>NPV</v>
          </cell>
          <cell r="K84">
            <v>0</v>
          </cell>
          <cell r="L84">
            <v>0.86176151756789332</v>
          </cell>
        </row>
        <row r="85"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8">
          <cell r="I88" t="str">
            <v>DDM PF Acquisition - Equity + Pref + Straight Debt</v>
          </cell>
        </row>
        <row r="89">
          <cell r="I89">
            <v>0</v>
          </cell>
        </row>
        <row r="91">
          <cell r="J91" t="str">
            <v>(S$ mm) (Based on 31 Dec YE)</v>
          </cell>
          <cell r="L91" t="str">
            <v>2014E</v>
          </cell>
          <cell r="M91" t="str">
            <v>2015E</v>
          </cell>
          <cell r="N91" t="str">
            <v>2016E</v>
          </cell>
          <cell r="O91" t="str">
            <v>2017E</v>
          </cell>
          <cell r="P91" t="str">
            <v>2018E</v>
          </cell>
        </row>
        <row r="92"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4">
          <cell r="J94" t="str">
            <v>NPI from Existing Properties</v>
          </cell>
          <cell r="K94">
            <v>0</v>
          </cell>
          <cell r="L94">
            <v>64.700292389898706</v>
          </cell>
          <cell r="M94">
            <v>65.43249161007995</v>
          </cell>
          <cell r="N94">
            <v>65.830012721180168</v>
          </cell>
          <cell r="O94">
            <v>66.22822313463746</v>
          </cell>
          <cell r="P94">
            <v>66.213350115084822</v>
          </cell>
        </row>
        <row r="95">
          <cell r="J95" t="str">
            <v>NPI from One Raffles Place</v>
          </cell>
          <cell r="K95">
            <v>0</v>
          </cell>
          <cell r="L95">
            <v>69</v>
          </cell>
          <cell r="M95">
            <v>71.070000000000007</v>
          </cell>
          <cell r="N95">
            <v>73.202100000000016</v>
          </cell>
          <cell r="O95">
            <v>75.398163000000025</v>
          </cell>
          <cell r="P95">
            <v>77.660107890000035</v>
          </cell>
        </row>
        <row r="96"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J98" t="str">
            <v>Total NPI (incl. Income Support)</v>
          </cell>
          <cell r="K98">
            <v>0</v>
          </cell>
          <cell r="L98">
            <v>133.70029238989872</v>
          </cell>
          <cell r="M98">
            <v>136.50249161007997</v>
          </cell>
          <cell r="N98">
            <v>139.03211272118017</v>
          </cell>
          <cell r="O98">
            <v>141.62638613463747</v>
          </cell>
          <cell r="P98">
            <v>143.87345800508484</v>
          </cell>
        </row>
        <row r="99"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J101" t="str">
            <v>Net Income</v>
          </cell>
          <cell r="K101">
            <v>0</v>
          </cell>
          <cell r="L101">
            <v>326.28271263099623</v>
          </cell>
          <cell r="M101">
            <v>82.087363242485353</v>
          </cell>
          <cell r="N101">
            <v>84.728846600476714</v>
          </cell>
          <cell r="O101">
            <v>87.366417716050066</v>
          </cell>
          <cell r="P101">
            <v>89.714440939424549</v>
          </cell>
        </row>
        <row r="102"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J104" t="str">
            <v>Distributions Adjustments</v>
          </cell>
          <cell r="K104">
            <v>0</v>
          </cell>
          <cell r="L104">
            <v>-221.97365921609739</v>
          </cell>
          <cell r="M104">
            <v>25.164318935024099</v>
          </cell>
          <cell r="N104">
            <v>25.17071059040315</v>
          </cell>
          <cell r="O104">
            <v>25.127240562697843</v>
          </cell>
          <cell r="P104">
            <v>25.088891813135067</v>
          </cell>
        </row>
        <row r="105">
          <cell r="J105" t="str">
            <v>Distributions to Unitholders</v>
          </cell>
          <cell r="K105">
            <v>0</v>
          </cell>
          <cell r="L105">
            <v>72.809053414898841</v>
          </cell>
          <cell r="M105">
            <v>107.25168217750945</v>
          </cell>
          <cell r="N105">
            <v>109.89955719087986</v>
          </cell>
          <cell r="O105">
            <v>112.49365827874792</v>
          </cell>
          <cell r="P105">
            <v>114.80333275255961</v>
          </cell>
        </row>
        <row r="106">
          <cell r="J106" t="str">
            <v>Average Units O/S (mm)</v>
          </cell>
          <cell r="K106">
            <v>0</v>
          </cell>
          <cell r="L106">
            <v>1365.3889450720981</v>
          </cell>
          <cell r="M106">
            <v>1377.8410472375549</v>
          </cell>
          <cell r="N106">
            <v>1390.4204198324035</v>
          </cell>
          <cell r="O106">
            <v>1402.9231153090225</v>
          </cell>
          <cell r="P106">
            <v>1415.3376649702273</v>
          </cell>
        </row>
        <row r="107"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J109" t="str">
            <v>DPU (S$ cents)</v>
          </cell>
          <cell r="K109">
            <v>0</v>
          </cell>
          <cell r="L109">
            <v>5.332477143430675E-2</v>
          </cell>
          <cell r="M109">
            <v>5.4978534954655787E-2</v>
          </cell>
          <cell r="N109">
            <v>5.6385504752821364E-2</v>
          </cell>
          <cell r="O109">
            <v>5.7732071982367621E-2</v>
          </cell>
          <cell r="P109">
            <v>5.8857567924832953E-2</v>
          </cell>
        </row>
        <row r="111"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I112">
            <v>0</v>
          </cell>
          <cell r="J112" t="str">
            <v>NPV</v>
          </cell>
          <cell r="K112">
            <v>0</v>
          </cell>
          <cell r="L112">
            <v>0.89646380047544183</v>
          </cell>
        </row>
        <row r="113">
          <cell r="I113">
            <v>0</v>
          </cell>
          <cell r="J113">
            <v>0</v>
          </cell>
          <cell r="K113">
            <v>0</v>
          </cell>
          <cell r="L113">
            <v>0</v>
          </cell>
        </row>
        <row r="114"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6">
          <cell r="J116" t="str">
            <v>Debt</v>
          </cell>
          <cell r="L116">
            <v>1250.4160000000002</v>
          </cell>
          <cell r="M116">
            <v>0.35038718018020881</v>
          </cell>
        </row>
        <row r="117">
          <cell r="J117" t="str">
            <v>Hybrid</v>
          </cell>
          <cell r="L117">
            <v>600</v>
          </cell>
          <cell r="M117">
            <v>0.16812989285815699</v>
          </cell>
        </row>
        <row r="118">
          <cell r="J118" t="str">
            <v>Equity</v>
          </cell>
          <cell r="L118">
            <v>1718.2533769928868</v>
          </cell>
          <cell r="M118">
            <v>0.48148292696163419</v>
          </cell>
        </row>
        <row r="119">
          <cell r="J119">
            <v>0</v>
          </cell>
          <cell r="K119">
            <v>0</v>
          </cell>
          <cell r="L119">
            <v>3568.669376992887</v>
          </cell>
          <cell r="M119">
            <v>1</v>
          </cell>
        </row>
        <row r="122">
          <cell r="S122">
            <v>0</v>
          </cell>
          <cell r="T122">
            <v>0</v>
          </cell>
          <cell r="U122">
            <v>0</v>
          </cell>
        </row>
        <row r="124">
          <cell r="S124" t="str">
            <v>DDM Accretion</v>
          </cell>
          <cell r="T124">
            <v>0</v>
          </cell>
          <cell r="U124">
            <v>4.0269009697122549E-2</v>
          </cell>
        </row>
        <row r="125">
          <cell r="S125" t="str">
            <v>DDM Accretion (if hybrid converted)</v>
          </cell>
          <cell r="T125">
            <v>0</v>
          </cell>
          <cell r="U125">
            <v>-7.0003546321204535E-3</v>
          </cell>
        </row>
        <row r="126">
          <cell r="S126" t="str">
            <v>2014E DPU Accretion / (Dilution)</v>
          </cell>
          <cell r="T126">
            <v>0</v>
          </cell>
          <cell r="U126">
            <v>-2.6883633177666066E-2</v>
          </cell>
        </row>
        <row r="127">
          <cell r="S127" t="str">
            <v>2015E DPU Accretion / (Dilution)</v>
          </cell>
          <cell r="T127">
            <v>0</v>
          </cell>
          <cell r="U127">
            <v>-8.3219847158733096E-3</v>
          </cell>
        </row>
        <row r="128">
          <cell r="S128" t="str">
            <v>PF Aggregate Leverage(2)</v>
          </cell>
          <cell r="T128">
            <v>0</v>
          </cell>
          <cell r="U128">
            <v>0.35003083665184526</v>
          </cell>
        </row>
        <row r="129">
          <cell r="S129">
            <v>0</v>
          </cell>
          <cell r="T129">
            <v>0</v>
          </cell>
          <cell r="U129">
            <v>0</v>
          </cell>
        </row>
      </sheetData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LOG"/>
    </sheetNames>
    <sheetDataSet>
      <sheetData sheetId="0">
        <row r="4">
          <cell r="AE4">
            <v>10</v>
          </cell>
          <cell r="AF4">
            <v>20</v>
          </cell>
          <cell r="AG4">
            <v>30</v>
          </cell>
          <cell r="AH4">
            <v>40</v>
          </cell>
          <cell r="AI4">
            <v>50</v>
          </cell>
          <cell r="AJ4">
            <v>60</v>
          </cell>
          <cell r="AK4">
            <v>70</v>
          </cell>
          <cell r="AL4">
            <v>80</v>
          </cell>
          <cell r="AM4">
            <v>90</v>
          </cell>
          <cell r="AN4">
            <v>100</v>
          </cell>
        </row>
      </sheetData>
      <sheetData sheetId="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목표세부명세"/>
      <sheetName val="시멘트"/>
      <sheetName val="base"/>
      <sheetName val="입찰안"/>
      <sheetName val="현금흐름"/>
      <sheetName val="업체FIX"/>
      <sheetName val="손익"/>
      <sheetName val="점수계산1-2"/>
      <sheetName val="공통가설"/>
      <sheetName val="이자율"/>
      <sheetName val="분양금입금계획"/>
      <sheetName val="투입"/>
      <sheetName val="수입"/>
      <sheetName val="A-4"/>
      <sheetName val="공사비집계"/>
      <sheetName val="45,46"/>
      <sheetName val="SKETCH"/>
      <sheetName val="REINF."/>
      <sheetName val="LOADS"/>
      <sheetName val="CHECK1"/>
      <sheetName val="손익계산서"/>
      <sheetName val="설계내역서"/>
      <sheetName val="인건비"/>
      <sheetName val="교각1"/>
      <sheetName val="Sheet5"/>
      <sheetName val="공문"/>
      <sheetName val="인사자료총집계"/>
      <sheetName val="내역서"/>
      <sheetName val="Intro2"/>
      <sheetName val="Id"/>
      <sheetName val="재무가정"/>
      <sheetName val="수정시산표"/>
      <sheetName val="인원계획-미화"/>
      <sheetName val="노무비"/>
      <sheetName val="전체"/>
      <sheetName val="폼관조직"/>
      <sheetName val="#REF"/>
      <sheetName val="현장관리비"/>
      <sheetName val="월별수입"/>
      <sheetName val="차수"/>
      <sheetName val="화의-현금흐름"/>
      <sheetName val="담보"/>
      <sheetName val="1유리"/>
      <sheetName val="호프"/>
      <sheetName val="예적금"/>
      <sheetName val="월별손익"/>
      <sheetName val="추가예산"/>
      <sheetName val="020114"/>
      <sheetName val="0111월"/>
      <sheetName val="건축내역"/>
      <sheetName val="지급자재"/>
      <sheetName val="ABUT수량-A1"/>
      <sheetName val="대손검토"/>
      <sheetName val="차액보증"/>
      <sheetName val="Sheet1 (2)"/>
      <sheetName val="SUMMARY"/>
      <sheetName val="PAINT"/>
      <sheetName val="FURNITURE-01"/>
      <sheetName val="내역"/>
      <sheetName val="매출"/>
      <sheetName val="국내총괄"/>
      <sheetName val="특판제외"/>
      <sheetName val="건축공사실행"/>
      <sheetName val="건축원가"/>
      <sheetName val="5사남"/>
      <sheetName val="IMPEADENCE MAP 취수장"/>
      <sheetName val="토목주소"/>
      <sheetName val="프랜트면허"/>
      <sheetName val="I一般比"/>
      <sheetName val="Customer Databas"/>
      <sheetName val="일반"/>
      <sheetName val="실행철강하도"/>
      <sheetName val="입찰보고"/>
      <sheetName val="시산표"/>
      <sheetName val="별제권_정리담보권"/>
      <sheetName val="적용환율"/>
      <sheetName val="확인서"/>
      <sheetName val="별제권_정리담보권1"/>
      <sheetName val="회사정보"/>
      <sheetName val="계수원본(99.2.28)"/>
      <sheetName val="대차대조표"/>
      <sheetName val="Scenario"/>
      <sheetName val="Ⅱ1-0타"/>
      <sheetName val="인근점포"/>
      <sheetName val="SO416"/>
      <sheetName val="최종"/>
      <sheetName val="choose"/>
      <sheetName val="fs"/>
      <sheetName val="원본"/>
      <sheetName val="공정코드"/>
      <sheetName val="9GNG운반"/>
      <sheetName val="지하시설물작성"/>
      <sheetName val="기준및분포(OT)"/>
      <sheetName val="면적"/>
      <sheetName val="982월원안"/>
      <sheetName val="차선도색현황"/>
      <sheetName val="1공구산출내역서"/>
      <sheetName val="견적공통"/>
      <sheetName val="현금및현금등가물1"/>
      <sheetName val="상가지급현황"/>
      <sheetName val="음료실행"/>
      <sheetName val="갑지(추정)"/>
      <sheetName val="ITEM"/>
      <sheetName val="A (Calcs)"/>
      <sheetName val="B (Controls)"/>
      <sheetName val="Set-Up"/>
      <sheetName val="Multi-Iteration"/>
      <sheetName val="편입조서"/>
      <sheetName val="잡비"/>
      <sheetName val="BSD (2)"/>
      <sheetName val="날1"/>
      <sheetName val="INPUT"/>
      <sheetName val="낙찰표"/>
      <sheetName val="건축집계"/>
      <sheetName val="EACT10"/>
      <sheetName val="일위대가"/>
      <sheetName val="부대공Ⅱ"/>
      <sheetName val="2.주요계수총괄"/>
      <sheetName val="횡배수관토공수량"/>
      <sheetName val="원가"/>
      <sheetName val="단가대비표"/>
      <sheetName val="당진1,2호기전선관설치및접지4차공사내역서-을지"/>
      <sheetName val="XZLC004_PART2"/>
      <sheetName val="XZLC003_PART1"/>
      <sheetName val="본사공가현황"/>
      <sheetName val="공사내역"/>
      <sheetName val="토공99-5=2"/>
      <sheetName val="대비"/>
      <sheetName val="제출 (2)"/>
      <sheetName val="1-최종안"/>
      <sheetName val="사업분석-분양가결정"/>
      <sheetName val="지장물"/>
      <sheetName val="Sheet6"/>
      <sheetName val="차량운반구"/>
      <sheetName val="Dept Upload"/>
      <sheetName val="93상각비"/>
      <sheetName val="출자한도"/>
      <sheetName val="Sheet3"/>
      <sheetName val="6동"/>
      <sheetName val="기본DATA"/>
      <sheetName val="갑지1"/>
      <sheetName val="조건 (A)"/>
      <sheetName val="빙장비사양"/>
      <sheetName val="장비사양"/>
      <sheetName val="주관사업"/>
      <sheetName val="표지_(3)"/>
      <sheetName val="표지_(2)"/>
      <sheetName val="자재업체(egy)_"/>
      <sheetName val="노임이_(2)"/>
      <sheetName val="01"/>
      <sheetName val="수목표준대가"/>
      <sheetName val="D1300 자삽"/>
      <sheetName val="목차"/>
      <sheetName val="결산감사"/>
      <sheetName val="선수금(29)"/>
      <sheetName val="Config"/>
      <sheetName val="95년12월말"/>
      <sheetName val="A"/>
      <sheetName val="현장관리비 산출내역"/>
      <sheetName val="ETC"/>
      <sheetName val="구성비"/>
      <sheetName val="표준대차대조표(갑)"/>
      <sheetName val="증감대비"/>
      <sheetName val="집계표"/>
      <sheetName val="개요"/>
      <sheetName val="간접경상비"/>
      <sheetName val="1.설계조건"/>
      <sheetName val="물량표(신)"/>
      <sheetName val="b_balju"/>
      <sheetName val="b_balju (2)"/>
      <sheetName val="b_gunmul"/>
      <sheetName val="물량표"/>
      <sheetName val="명단"/>
      <sheetName val="선급비용"/>
      <sheetName val="실행기초"/>
      <sheetName val="자바라1"/>
      <sheetName val="은행"/>
      <sheetName val="노동부"/>
      <sheetName val="SG"/>
      <sheetName val="5.1"/>
      <sheetName val="소요자재"/>
      <sheetName val="노무산출서"/>
      <sheetName val="예산대비"/>
      <sheetName val="물건조서"/>
      <sheetName val="실농조서"/>
      <sheetName val="날개벽수량표"/>
      <sheetName val="Index"/>
      <sheetName val="설비원가"/>
      <sheetName val="총괄"/>
      <sheetName val="시설이용권명세서"/>
      <sheetName val="산출근거"/>
      <sheetName val="토목"/>
      <sheetName val="조건표"/>
      <sheetName val="플랜트 설치"/>
      <sheetName val="일위대가표"/>
      <sheetName val="1.취수장"/>
      <sheetName val="실행내역서 "/>
      <sheetName val="갑지"/>
      <sheetName val="ABAD"/>
      <sheetName val="A1기성"/>
      <sheetName val="BGT"/>
      <sheetName val="CHAVOSH"/>
      <sheetName val="ZAR SAZ"/>
      <sheetName val="EXPENSE"/>
      <sheetName val="C_d"/>
      <sheetName val="원가계산서"/>
      <sheetName val="REINF_"/>
      <sheetName val="Customer_Databas"/>
      <sheetName val="2_주요계수총괄"/>
      <sheetName val="Sheet1_(2)"/>
      <sheetName val="IMPEADENCE_MAP_취수장"/>
      <sheetName val="BSD_(2)"/>
      <sheetName val="계수원본(99_2_28)"/>
      <sheetName val="A_(Calcs)"/>
      <sheetName val="B_(Controls)"/>
      <sheetName val="조건_(A)"/>
      <sheetName val="제출_(2)"/>
      <sheetName val="D1300_자삽"/>
      <sheetName val="1_설계조건"/>
      <sheetName val="Dept_Upload"/>
      <sheetName val="영동(D)"/>
      <sheetName val="Sheet1"/>
      <sheetName val="2월가격"/>
      <sheetName val="안산기계장치"/>
      <sheetName val="증감분석"/>
      <sheetName val="입출재고현황 (2)"/>
      <sheetName val="일위대가-1"/>
      <sheetName val="95년간접비"/>
      <sheetName val="발생집계"/>
      <sheetName val="b_balju_(2)"/>
      <sheetName val="Ctrl"/>
      <sheetName val="Book1"/>
      <sheetName val="대치판정"/>
      <sheetName val="NAIL단가산출"/>
      <sheetName val="해외출자현황(원본틀)"/>
      <sheetName val="영업보증금"/>
      <sheetName val="체신주조서"/>
      <sheetName val="총체"/>
      <sheetName val="제출내역 (2)"/>
      <sheetName val="woo(mac)"/>
      <sheetName val="Sheet4"/>
      <sheetName val="ASP포장"/>
      <sheetName val="퇴직금(울산천상)"/>
      <sheetName val="포장공"/>
      <sheetName val="배수공"/>
      <sheetName val="토공"/>
      <sheetName val="주식"/>
      <sheetName val="6PILE  (돌출)"/>
      <sheetName val="출입자명단"/>
      <sheetName val="NPV"/>
      <sheetName val="업무분장"/>
      <sheetName val="inter"/>
      <sheetName val="1_취수장"/>
      <sheetName val="실행내역서_"/>
      <sheetName val="현장관리비_산출내역"/>
      <sheetName val="제출내역_(2)"/>
      <sheetName val="CAT_5"/>
      <sheetName val="Control"/>
      <sheetName val="000000"/>
      <sheetName val="현장별 계약 상세비교현황"/>
      <sheetName val="득점현황"/>
      <sheetName val="DATE"/>
      <sheetName val="완성차 미수금"/>
      <sheetName val="산근"/>
      <sheetName val="표지_(3)1"/>
      <sheetName val="표지_(2)1"/>
      <sheetName val="자재업체(egy)_1"/>
      <sheetName val="노임이_(2)1"/>
      <sheetName val="REINF_1"/>
      <sheetName val="Sheet1_(2)1"/>
      <sheetName val="IMPEADENCE_MAP_취수장1"/>
      <sheetName val="Customer_Databas1"/>
      <sheetName val="계수원본(99_2_28)1"/>
      <sheetName val="ZAR_SAZ"/>
      <sheetName val="5_1"/>
      <sheetName val="2_주요계수총괄1"/>
      <sheetName val="b_balju_(2)1"/>
      <sheetName val="Apt내역"/>
      <sheetName val="대운산출"/>
      <sheetName val="각사별공사비분개 "/>
      <sheetName val="CTEMCOST"/>
      <sheetName val="약품설비"/>
      <sheetName val="별표집계"/>
      <sheetName val="예가표"/>
      <sheetName val="토지조서(원본)"/>
      <sheetName val="05월 공정외주"/>
      <sheetName val="1월말"/>
      <sheetName val="수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esErrNameDelete"/>
      <sheetName val="Summary"/>
      <sheetName val="노임이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"/>
      <sheetName val="노무비"/>
      <sheetName val="인원계획-미화"/>
      <sheetName val="시멘트"/>
      <sheetName val="Cash Flow"/>
      <sheetName val="Source"/>
      <sheetName val="내역서"/>
      <sheetName val="목표세부명세"/>
      <sheetName val="Leasing Management"/>
      <sheetName val="Initial Input Variable"/>
      <sheetName val="Utilities"/>
      <sheetName val="マスタ"/>
      <sheetName val="概算報告書"/>
      <sheetName val="限定査定"/>
      <sheetName val="1年間"/>
      <sheetName val="3年間"/>
      <sheetName val="5年間"/>
      <sheetName val="収支"/>
      <sheetName val="収支 (2)"/>
      <sheetName val="#REF"/>
      <sheetName val="外周区 "/>
      <sheetName val="建物"/>
      <sheetName val="機械設備"/>
      <sheetName val="什器備品"/>
      <sheetName val="構築物"/>
      <sheetName val="38月別取引先別"/>
      <sheetName val="ML_LS Promote"/>
      <sheetName val="CodeTable"/>
      <sheetName val="A３新収益"/>
      <sheetName val="ドロップダウン用収入科目リスト（非表示）"/>
      <sheetName val="预算201307-201406（Office）"/>
      <sheetName val="预算201307-201406（商业）"/>
      <sheetName val="リスト"/>
      <sheetName val="予算"/>
      <sheetName val="Master List and Strats"/>
      <sheetName val="gl"/>
      <sheetName val="BPR"/>
      <sheetName val="※大項目・小項目分類"/>
      <sheetName val="①建替え（自己建設）（前提条件）"/>
      <sheetName val="(参考）対象不動産 "/>
      <sheetName val="P&amp;L"/>
      <sheetName val="宴会会議"/>
      <sheetName val="宴会会議 (FB　BREAK)"/>
      <sheetName val="2019.1  2.3"/>
      <sheetName val="2019.2 3.3"/>
      <sheetName val="2019.3 4.1"/>
      <sheetName val="2019.4  4.30"/>
      <sheetName val="2019.5  6.3"/>
      <sheetName val="2019.6 7.1"/>
      <sheetName val="2019.7  8.5"/>
      <sheetName val="2019. 8  9.2"/>
      <sheetName val="2019.9 10.7"/>
      <sheetName val="2019.10  11.10"/>
      <sheetName val="2019.11月_1202"/>
      <sheetName val="2019.12月_0101"/>
      <sheetName val="oSummary"/>
      <sheetName val="dAssmp"/>
      <sheetName val="ＭＦ"/>
      <sheetName val="CF"/>
      <sheetName val="Summary &amp; Assumptions"/>
      <sheetName val="Scenarios"/>
      <sheetName val="Approved Renov Payment Schedule"/>
      <sheetName val="Base Info"/>
      <sheetName val="Cover"/>
      <sheetName val="Total 3 properties"/>
      <sheetName val="Start"/>
      <sheetName val="LS01"/>
      <sheetName val="LS02"/>
      <sheetName val="LS03"/>
      <sheetName val="NA"/>
      <sheetName val="End"/>
      <sheetName val="JMOP TMK"/>
      <sheetName val="DSCR - α &amp; β"/>
      <sheetName val="Int."/>
      <sheetName val="Opex"/>
      <sheetName val="信託リザーブ一覧"/>
      <sheetName val="Other expense"/>
      <sheetName val="Release price"/>
      <sheetName val="C-tax Refund"/>
      <sheetName val="Exit value"/>
      <sheetName val="Trust Fee"/>
      <sheetName val="AM fee"/>
      <sheetName val="Monthly Assumed RR"/>
      <sheetName val="RR Summary"/>
      <sheetName val="LS01-Onarimon"/>
      <sheetName val="LS02-Akihabara"/>
      <sheetName val="LS03-Higashi-Nihonbashi"/>
      <sheetName val="Simulation_Refund of C-tax"/>
      <sheetName val="Dep"/>
      <sheetName val="Input"/>
      <sheetName val="II-8科目一覧表"/>
      <sheetName val="写真台帳"/>
      <sheetName val="Leasing_Management"/>
      <sheetName val="外周区_"/>
      <sheetName val="収支_(2)"/>
      <sheetName val="Cash_Flow"/>
      <sheetName val="ML_LS_Promote"/>
      <sheetName val="コード表"/>
      <sheetName val="SALESUMM "/>
      <sheetName val="37含み経"/>
      <sheetName val="コード一覧（件名、グループ取引先ほか）"/>
      <sheetName val="【マスタ】物件コード"/>
      <sheetName val="Assumptions "/>
      <sheetName val="Ref"/>
      <sheetName val="Performance Trend "/>
      <sheetName val="Tenant List"/>
      <sheetName val="Tenant List (Other Rev)"/>
      <sheetName val="評価書"/>
      <sheetName val="異動明細表"/>
      <sheetName val="条件選択"/>
      <sheetName val="祝日マスタ"/>
      <sheetName val="インウッド（底地）"/>
      <sheetName val="底地概算"/>
      <sheetName val="ＭＬ賃料検討"/>
      <sheetName val="売上（PMRより）"/>
      <sheetName val="ｼﾅﾘｵ"/>
      <sheetName val="借地一覧"/>
      <sheetName val="物件確定"/>
      <sheetName val="2年度期首"/>
      <sheetName val="2年度以降"/>
      <sheetName val="税（建物 ）①"/>
      <sheetName val="税（建物）②"/>
      <sheetName val="資本的支出①全体"/>
      <sheetName val="資本的支出②全体"/>
      <sheetName val="資本的支出①修繕"/>
      <sheetName val="資本的支出②修繕"/>
      <sheetName val="資本的支出①更新"/>
      <sheetName val="資本的支出②更新"/>
      <sheetName val="DCｼｰﾄ"/>
      <sheetName val="賃料査定"/>
      <sheetName val="経年減点表"/>
      <sheetName val="税（建物 駐車場）①"/>
      <sheetName val="税（建物 駐車場）②"/>
      <sheetName val="税（建物 倉庫）①"/>
      <sheetName val="税（建物 倉庫）② "/>
      <sheetName val="概念図ｻﾝﾌﾟﾙ"/>
      <sheetName val="概念図ｻﾝﾌﾟﾙ (2)"/>
      <sheetName val="売上"/>
      <sheetName val="収支実績(福津)"/>
      <sheetName val="売上実績報告(時系列)"/>
      <sheetName val="①実績報告"/>
      <sheetName val="②全体概要・③トピックス・④入退去テナント"/>
      <sheetName val="評価の推移"/>
      <sheetName val="●表題"/>
      <sheetName val="⑩ﾚﾝﾄﾛｰﾙ"/>
      <sheetName val="⑫※調査時は不要※積算価格"/>
      <sheetName val="⑭DC総収益"/>
      <sheetName val="⑮DC総費用"/>
      <sheetName val="⑲想定条件"/>
      <sheetName val="⑳DCF"/>
      <sheetName val="㉑初年度月次"/>
      <sheetName val="①ｻｲﾝ部"/>
      <sheetName val="②表題部"/>
      <sheetName val="③§1.対象不動産の確認"/>
      <sheetName val="一般的要因"/>
      <sheetName val="⑤§2.地域分析(郊外型) "/>
      <sheetName val="⑥§2.個別分析(土地)①号地"/>
      <sheetName val="⑦§2.個別分析(土地)②号地 "/>
      <sheetName val="⑧§2.個別分析(土地) (借地概要) (2)"/>
      <sheetName val="⑨§2.個別分析(建物)"/>
      <sheetName val="⑪§3.鑑定評価手法等の指摘"/>
      <sheetName val="⑬§5.収益還元法（ＤＣ）"/>
      <sheetName val="⑯市場賃料①"/>
      <sheetName val="⑰市場賃料②"/>
      <sheetName val="⑱§5.収益還元法の適用(DCF)"/>
      <sheetName val="㉒§5.収益還元法の適用(決定)"/>
      <sheetName val="㉓※調査時は不要※§6.試算価格の調整及び鑑定評価額の決定"/>
      <sheetName val="㉔&lt;別紙-1&gt;還元利回り等の決定"/>
      <sheetName val="㉕CR査定表"/>
      <sheetName val="㉖DR査定表"/>
      <sheetName val="㉗&lt;別紙-3&gt;ERシート"/>
      <sheetName val="㉘＜別紙-4＞土地明細"/>
      <sheetName val="Col"/>
      <sheetName val="Collateral"/>
      <sheetName val="総勘定科目マスタリスト（商業）"/>
      <sheetName val="工事進捗管理リスト 2019"/>
      <sheetName val="MENU"/>
      <sheetName val="Replacement"/>
      <sheetName val="Rent Roll"/>
      <sheetName val="Leasing_Management1"/>
      <sheetName val="外周区_1"/>
      <sheetName val="収支_(2)1"/>
      <sheetName val="Cash_Flow1"/>
      <sheetName val="ML_LS_Promote1"/>
      <sheetName val="Master_List_and_Strats"/>
      <sheetName val="宴会会議_(FB　BREAK)"/>
      <sheetName val="2019_1__2_3"/>
      <sheetName val="2019_2_3_3"/>
      <sheetName val="2019_3_4_1"/>
      <sheetName val="2019_4__4_30"/>
      <sheetName val="2019_5__6_3"/>
      <sheetName val="2019_6_7_1"/>
      <sheetName val="2019_7__8_5"/>
      <sheetName val="2019__8__9_2"/>
      <sheetName val="2019_9_10_7"/>
      <sheetName val="2019_10__11_10"/>
      <sheetName val="2019_11月_1202"/>
      <sheetName val="2019_12月_0101"/>
      <sheetName val="Approved_Renov_Payment_Schedule"/>
      <sheetName val="Base_Info"/>
      <sheetName val="Prices"/>
      <sheetName val="Unadjusted"/>
      <sheetName val="6 営業報告書(護佐丸S) "/>
      <sheetName val="入力1　競合ホテルリスト"/>
      <sheetName val="Wedding"/>
      <sheetName val="部門別売上"/>
      <sheetName val="(参考）対象不動産_"/>
      <sheetName val="Total_3_properties"/>
      <sheetName val="JMOP_TMK"/>
      <sheetName val="DSCR_-_α_&amp;_β"/>
      <sheetName val="Int_"/>
      <sheetName val="Other_expense"/>
      <sheetName val="Release_price"/>
      <sheetName val="C-tax_Refund"/>
      <sheetName val="Exit_value"/>
      <sheetName val="Trust_Fee"/>
      <sheetName val="AM_fee"/>
      <sheetName val="Monthly_Assumed_RR"/>
      <sheetName val="RR_Summary"/>
      <sheetName val="Simulation_Refund_of_C-tax"/>
      <sheetName val="SALESUMM_"/>
      <sheetName val="税（建物_）①"/>
      <sheetName val="税（建物_駐車場）①"/>
      <sheetName val="税（建物_駐車場）②"/>
      <sheetName val="税（建物_倉庫）①"/>
      <sheetName val="税（建物_倉庫）②_"/>
      <sheetName val="概念図ｻﾝﾌﾟﾙ_(2)"/>
      <sheetName val="③§1_対象不動産の確認"/>
      <sheetName val="⑤§2_地域分析(郊外型)_"/>
      <sheetName val="⑥§2_個別分析(土地)①号地"/>
      <sheetName val="⑦§2_個別分析(土地)②号地_"/>
      <sheetName val="⑧§2_個別分析(土地)_(借地概要)_(2)"/>
      <sheetName val="⑨§2_個別分析(建物)"/>
      <sheetName val="⑪§3_鑑定評価手法等の指摘"/>
      <sheetName val="⑬§5_収益還元法（ＤＣ）"/>
      <sheetName val="⑱§5_収益還元法の適用(DCF)"/>
      <sheetName val="㉒§5_収益還元法の適用(決定)"/>
      <sheetName val="㉓※調査時は不要※§6_試算価格の調整及び鑑定評価額の決定"/>
      <sheetName val="Summary_&amp;_Assumptions"/>
      <sheetName val="Initial_Input_Variable"/>
      <sheetName val="6_営業報告書(護佐丸S)_"/>
      <sheetName val="Assumptions_"/>
      <sheetName val="Performance_Trend_"/>
      <sheetName val="Tenant_List"/>
      <sheetName val="Tenant_List_(Other_Rev)"/>
      <sheetName val="Aｸﾗｽ空室率DB"/>
      <sheetName val="손익"/>
      <sheetName val="Ppty 1 - Analysis-1"/>
      <sheetName val="Ppty 1 - Analysis-2"/>
      <sheetName val="지역개발"/>
      <sheetName val="TB"/>
      <sheetName val="COA-Listing"/>
      <sheetName val="Country"/>
      <sheetName val="AcctCntr"/>
      <sheetName val="IP Cost Cat"/>
      <sheetName val="Acct Period"/>
      <sheetName val="FXR"/>
      <sheetName val="TB - Import"/>
      <sheetName val="KB TB"/>
      <sheetName val="worksheet"/>
      <sheetName val="CoA"/>
      <sheetName val="01-TB"/>
      <sheetName val="00 - Menu"/>
      <sheetName val="00 - Contents"/>
      <sheetName val="02-TB Mthly"/>
      <sheetName val="02A-TB Movements"/>
      <sheetName val="03-FS"/>
      <sheetName val="03A-Exp By GLNo"/>
      <sheetName val="04 - Equity (GK)"/>
      <sheetName val="04 - Equity"/>
      <sheetName val="05 - IP Cost"/>
      <sheetName val="05 - IP Movements"/>
      <sheetName val="06-Investments"/>
      <sheetName val="07-Cashbook"/>
      <sheetName val="05 - IP Summary"/>
      <sheetName val="07 - Notes - Assets"/>
      <sheetName val="08 - Notes - Liabilities"/>
      <sheetName val="09-GL Listing"/>
      <sheetName val="10-FRX"/>
      <sheetName val="99 - Checkout"/>
      <sheetName val="20-COA"/>
      <sheetName val="CBRE COA_121021"/>
      <sheetName val="20-COA Treeview"/>
      <sheetName val="→Notes"/>
      <sheetName val="6.Balance sheet"/>
      <sheetName val="6.Balance sheet(Yadi)"/>
      <sheetName val="7.Income Statement"/>
      <sheetName val="7.Income Statement (Yadi)"/>
      <sheetName val="8.Income Statement"/>
      <sheetName val="8.Income Statement (Yadi)"/>
      <sheetName val="10.CBRE affiliate"/>
      <sheetName val="TB(IFRS)"/>
      <sheetName val="TB(JGAAP)"/>
      <sheetName val="Previous Mth TB(IFRS)"/>
      <sheetName val="202112BS(JGAAP)"/>
      <sheetName val="202112IS(JGAAP)"/>
      <sheetName val="202112BS(IFRS)"/>
      <sheetName val="202112IS(IFRS)"/>
      <sheetName val="Previous Mth TB(JGAAP)"/>
      <sheetName val="Schedule"/>
      <sheetName val="Other non-current assets"/>
      <sheetName val="Accounts Payable old"/>
      <sheetName val="Accounts Payable"/>
      <sheetName val="Accounts Payable (2)"/>
      <sheetName val="Regional Tax"/>
      <sheetName val="DM fee summary"/>
      <sheetName val="Accounts Interest"/>
      <sheetName val="A52"/>
      <sheetName val="지급어음(일별)"/>
      <sheetName val="录入界面"/>
      <sheetName val="주식"/>
      <sheetName val="5.1"/>
      <sheetName val="T2.2 Black-Scholes Call Option"/>
      <sheetName val="sch9-jpn"/>
      <sheetName val="sch3-rm"/>
      <sheetName val="Sheet2"/>
      <sheetName val="Base Case"/>
      <sheetName val="A6"/>
      <sheetName val="T1 (H)"/>
      <sheetName val="T2 (H)"/>
      <sheetName val="T3 (H)"/>
      <sheetName val="Leasing_Management2"/>
      <sheetName val="収支_(2)2"/>
      <sheetName val="ML_LS_Promote2"/>
      <sheetName val="外周区_2"/>
      <sheetName val="Cash_Flow2"/>
      <sheetName val="Master_List_and_Strats1"/>
      <sheetName val="(参考）対象不動産_1"/>
      <sheetName val="Total_3_properties1"/>
      <sheetName val="JMOP_TMK1"/>
      <sheetName val="DSCR_-_α_&amp;_β1"/>
      <sheetName val="Int_1"/>
      <sheetName val="Other_expense1"/>
      <sheetName val="Release_price1"/>
      <sheetName val="C-tax_Refund1"/>
      <sheetName val="Exit_value1"/>
      <sheetName val="Trust_Fee1"/>
      <sheetName val="AM_fee1"/>
      <sheetName val="Monthly_Assumed_RR1"/>
      <sheetName val="RR_Summary1"/>
      <sheetName val="Simulation_Refund_of_C-tax1"/>
      <sheetName val="Approved_Renov_Payment_Schedul1"/>
      <sheetName val="宴会会議_(FB　BREAK)1"/>
      <sheetName val="2019_1__2_31"/>
      <sheetName val="2019_2_3_31"/>
      <sheetName val="2019_3_4_11"/>
      <sheetName val="2019_4__4_301"/>
      <sheetName val="2019_5__6_31"/>
      <sheetName val="2019_6_7_11"/>
      <sheetName val="2019_7__8_51"/>
      <sheetName val="2019__8__9_21"/>
      <sheetName val="2019_9_10_71"/>
      <sheetName val="2019_10__11_101"/>
      <sheetName val="2019_11月_12021"/>
      <sheetName val="2019_12月_01011"/>
      <sheetName val="SALESUMM_1"/>
      <sheetName val="税（建物_）①1"/>
      <sheetName val="税（建物_駐車場）①1"/>
      <sheetName val="税（建物_駐車場）②1"/>
      <sheetName val="税（建物_倉庫）①1"/>
      <sheetName val="税（建物_倉庫）②_1"/>
      <sheetName val="概念図ｻﾝﾌﾟﾙ_(2)1"/>
      <sheetName val="③§1_対象不動産の確認1"/>
      <sheetName val="⑤§2_地域分析(郊外型)_1"/>
      <sheetName val="⑥§2_個別分析(土地)①号地1"/>
      <sheetName val="⑦§2_個別分析(土地)②号地_1"/>
      <sheetName val="⑧§2_個別分析(土地)_(借地概要)_(2)1"/>
      <sheetName val="⑨§2_個別分析(建物)1"/>
      <sheetName val="⑪§3_鑑定評価手法等の指摘1"/>
      <sheetName val="⑬§5_収益還元法（ＤＣ）1"/>
      <sheetName val="⑱§5_収益還元法の適用(DCF)1"/>
      <sheetName val="㉒§5_収益還元法の適用(決定)1"/>
      <sheetName val="㉓※調査時は不要※§6_試算価格の調整及び鑑定評価額の決定1"/>
      <sheetName val="Summary_&amp;_Assumptions1"/>
      <sheetName val="Base_Info1"/>
      <sheetName val="Initial_Input_Variable1"/>
      <sheetName val="工事進捗管理リスト_2019"/>
      <sheetName val="Assumptions_1"/>
      <sheetName val="Performance_Trend_1"/>
      <sheetName val="Tenant_List1"/>
      <sheetName val="Tenant_List_(Other_Rev)1"/>
      <sheetName val="6_営業報告書(護佐丸S)_1"/>
      <sheetName val="Rent_Roll"/>
      <sheetName val="BiGWerte"/>
    </sheetNames>
    <sheetDataSet>
      <sheetData sheetId="0">
        <row r="75">
          <cell r="G75">
            <v>0</v>
          </cell>
        </row>
      </sheetData>
      <sheetData sheetId="1" refreshError="1">
        <row r="75">
          <cell r="G75">
            <v>0</v>
          </cell>
        </row>
        <row r="76">
          <cell r="G76">
            <v>1</v>
          </cell>
        </row>
        <row r="77">
          <cell r="G77">
            <v>2</v>
          </cell>
        </row>
        <row r="78">
          <cell r="G78">
            <v>3</v>
          </cell>
        </row>
        <row r="79">
          <cell r="G79">
            <v>4</v>
          </cell>
        </row>
        <row r="80">
          <cell r="G80">
            <v>5</v>
          </cell>
        </row>
        <row r="81">
          <cell r="G81">
            <v>6</v>
          </cell>
        </row>
        <row r="82">
          <cell r="G82">
            <v>7</v>
          </cell>
        </row>
        <row r="83">
          <cell r="G83">
            <v>8</v>
          </cell>
        </row>
        <row r="84">
          <cell r="G84">
            <v>9</v>
          </cell>
        </row>
        <row r="85">
          <cell r="G85">
            <v>10</v>
          </cell>
        </row>
        <row r="86">
          <cell r="G86">
            <v>11</v>
          </cell>
        </row>
        <row r="87">
          <cell r="B87" t="str">
            <v>１月</v>
          </cell>
          <cell r="G87">
            <v>12</v>
          </cell>
        </row>
        <row r="88">
          <cell r="B88" t="str">
            <v>２月</v>
          </cell>
          <cell r="G88">
            <v>13</v>
          </cell>
        </row>
        <row r="89">
          <cell r="B89" t="str">
            <v>３月</v>
          </cell>
          <cell r="G89">
            <v>14</v>
          </cell>
        </row>
        <row r="90">
          <cell r="B90" t="str">
            <v>４月</v>
          </cell>
          <cell r="G90">
            <v>15</v>
          </cell>
        </row>
        <row r="91">
          <cell r="B91" t="str">
            <v>５月</v>
          </cell>
          <cell r="G91">
            <v>16</v>
          </cell>
        </row>
        <row r="92">
          <cell r="B92" t="str">
            <v>６月</v>
          </cell>
          <cell r="G92">
            <v>17</v>
          </cell>
        </row>
        <row r="93">
          <cell r="B93" t="str">
            <v>７月</v>
          </cell>
          <cell r="G93">
            <v>18</v>
          </cell>
        </row>
        <row r="94">
          <cell r="B94" t="str">
            <v>８月</v>
          </cell>
          <cell r="G94">
            <v>19</v>
          </cell>
        </row>
        <row r="95">
          <cell r="B95" t="str">
            <v>９月</v>
          </cell>
          <cell r="G95">
            <v>20</v>
          </cell>
        </row>
        <row r="96">
          <cell r="B96" t="str">
            <v>10月</v>
          </cell>
          <cell r="G96">
            <v>21</v>
          </cell>
        </row>
        <row r="97">
          <cell r="B97" t="str">
            <v>11月</v>
          </cell>
          <cell r="G97">
            <v>22</v>
          </cell>
        </row>
        <row r="98">
          <cell r="B98" t="str">
            <v>12月</v>
          </cell>
          <cell r="G98">
            <v>23</v>
          </cell>
        </row>
        <row r="585">
          <cell r="K585" t="e">
            <v>#REF!</v>
          </cell>
        </row>
        <row r="586">
          <cell r="K586" t="e">
            <v>#REF!</v>
          </cell>
        </row>
        <row r="715">
          <cell r="B715" t="str">
            <v>Ｈ８／１</v>
          </cell>
          <cell r="D715">
            <v>6720</v>
          </cell>
          <cell r="E715">
            <v>2368</v>
          </cell>
        </row>
        <row r="716">
          <cell r="B716" t="str">
            <v>Ｈ８／２</v>
          </cell>
          <cell r="D716">
            <v>6800</v>
          </cell>
          <cell r="E716">
            <v>2200.4639999999999</v>
          </cell>
        </row>
        <row r="717">
          <cell r="B717" t="str">
            <v>Ｈ８／３</v>
          </cell>
          <cell r="D717">
            <v>6880</v>
          </cell>
          <cell r="E717">
            <v>2512.96</v>
          </cell>
        </row>
        <row r="718">
          <cell r="B718" t="str">
            <v>Ｈ８／４</v>
          </cell>
          <cell r="D718">
            <v>7320</v>
          </cell>
          <cell r="E718">
            <v>2334.3040000000001</v>
          </cell>
        </row>
        <row r="719">
          <cell r="B719" t="str">
            <v>Ｈ８／５</v>
          </cell>
          <cell r="D719">
            <v>7760</v>
          </cell>
          <cell r="E719">
            <v>2604.2559999999999</v>
          </cell>
        </row>
        <row r="720">
          <cell r="B720" t="str">
            <v>Ｈ８／６</v>
          </cell>
          <cell r="D720">
            <v>8000</v>
          </cell>
          <cell r="E720">
            <v>2601.44</v>
          </cell>
        </row>
        <row r="721">
          <cell r="B721" t="str">
            <v>Ｈ８／７</v>
          </cell>
          <cell r="D721">
            <v>8160</v>
          </cell>
          <cell r="E721">
            <v>2986.56</v>
          </cell>
        </row>
        <row r="722">
          <cell r="B722" t="str">
            <v>Ｈ８／８</v>
          </cell>
          <cell r="D722">
            <v>8240</v>
          </cell>
          <cell r="E722">
            <v>2973.28</v>
          </cell>
        </row>
        <row r="723">
          <cell r="B723" t="str">
            <v>Ｈ８／９</v>
          </cell>
          <cell r="D723">
            <v>8000</v>
          </cell>
          <cell r="E723">
            <v>2642.08</v>
          </cell>
        </row>
        <row r="724">
          <cell r="B724" t="str">
            <v>Ｈ８／10</v>
          </cell>
          <cell r="D724">
            <v>7760</v>
          </cell>
          <cell r="E724">
            <v>2514.08</v>
          </cell>
        </row>
        <row r="725">
          <cell r="B725" t="str">
            <v>Ｈ８／11</v>
          </cell>
          <cell r="D725">
            <v>7040</v>
          </cell>
          <cell r="E725">
            <v>2366.7199999999998</v>
          </cell>
        </row>
        <row r="726">
          <cell r="B726" t="str">
            <v>Ｈ８／12</v>
          </cell>
          <cell r="D726">
            <v>7200</v>
          </cell>
          <cell r="E726">
            <v>2574.4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>
        <row r="75">
          <cell r="G75">
            <v>0.58086960655643072</v>
          </cell>
        </row>
      </sheetData>
      <sheetData sheetId="44"/>
      <sheetData sheetId="45">
        <row r="75">
          <cell r="G75">
            <v>0.58086960655643072</v>
          </cell>
        </row>
      </sheetData>
      <sheetData sheetId="46"/>
      <sheetData sheetId="47">
        <row r="75">
          <cell r="G75">
            <v>0.58086960655643072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>
        <row r="75">
          <cell r="G75">
            <v>0.58086960655643072</v>
          </cell>
        </row>
      </sheetData>
      <sheetData sheetId="68"/>
      <sheetData sheetId="69"/>
      <sheetData sheetId="70"/>
      <sheetData sheetId="71"/>
      <sheetData sheetId="72"/>
      <sheetData sheetId="73">
        <row r="75">
          <cell r="G75">
            <v>0.58086960655643072</v>
          </cell>
        </row>
      </sheetData>
      <sheetData sheetId="74"/>
      <sheetData sheetId="75"/>
      <sheetData sheetId="76"/>
      <sheetData sheetId="77"/>
      <sheetData sheetId="78"/>
      <sheetData sheetId="79">
        <row r="75">
          <cell r="G75">
            <v>0.58086960655643072</v>
          </cell>
        </row>
      </sheetData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>
        <row r="75">
          <cell r="G75">
            <v>0.58086960655643072</v>
          </cell>
        </row>
      </sheetData>
      <sheetData sheetId="107">
        <row r="75">
          <cell r="G75" t="str">
            <v>00000118-002</v>
          </cell>
        </row>
      </sheetData>
      <sheetData sheetId="108" refreshError="1"/>
      <sheetData sheetId="109" refreshError="1"/>
      <sheetData sheetId="110" refreshError="1"/>
      <sheetData sheetId="111" refreshError="1"/>
      <sheetData sheetId="112">
        <row r="75">
          <cell r="G75" t="str">
            <v>00000118-002</v>
          </cell>
        </row>
      </sheetData>
      <sheetData sheetId="113"/>
      <sheetData sheetId="114">
        <row r="75">
          <cell r="G75" t="str">
            <v>00000118-002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>
        <row r="75">
          <cell r="G75">
            <v>0.58086960655643072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cenario Summary"/>
      <sheetName val="Initial Input Variable"/>
      <sheetName val="Rent Roll at present"/>
      <sheetName val="Rent roll"/>
      <sheetName val="Rent Projection"/>
      <sheetName val="Cash Flow Month"/>
      <sheetName val="Cash Flow Year"/>
      <sheetName val="노무비"/>
      <sheetName val="지급어음(일별)"/>
      <sheetName val="Samsung Heavy Industry Bldg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EST1"/>
      <sheetName val="Sheet1"/>
      <sheetName val="단가표"/>
      <sheetName val="직노"/>
      <sheetName val="Sheet5"/>
      <sheetName val="GAEYO"/>
      <sheetName val="공사개요"/>
      <sheetName val="입찰안"/>
      <sheetName val="부속동"/>
      <sheetName val="Customer Databas"/>
      <sheetName val="EACT10"/>
      <sheetName val="재료집계"/>
      <sheetName val="소비자가"/>
      <sheetName val="기계내역"/>
      <sheetName val="시화점실행"/>
      <sheetName val="교통대책내역"/>
      <sheetName val="간선계산"/>
      <sheetName val="b_gunmul"/>
      <sheetName val="b_balju (2)"/>
      <sheetName val="포장복구집계"/>
      <sheetName val="공사수행방안"/>
      <sheetName val="교각1"/>
      <sheetName val="수주실적0709"/>
      <sheetName val="ETC"/>
      <sheetName val="점수계산1-2"/>
      <sheetName val="전선"/>
      <sheetName val="Summary Sheets"/>
      <sheetName val="수로교총재료집계"/>
      <sheetName val="남양시작동자105노65기1.3화1.2"/>
      <sheetName val="갑지1"/>
      <sheetName val="2F 회의실견적(5_14 일대)"/>
      <sheetName val="FURNITURE-01"/>
      <sheetName val="XXXXXX"/>
      <sheetName val="VXXXXX"/>
      <sheetName val="2월1주차"/>
      <sheetName val="공통가설"/>
      <sheetName val="인원계획-미화"/>
      <sheetName val="Initial Input Variable"/>
      <sheetName val="노무비"/>
      <sheetName val="조건표"/>
      <sheetName val="업무절차서"/>
      <sheetName val="근로자명부"/>
      <sheetName val="증빙SCAN"/>
      <sheetName val="근로계약서"/>
      <sheetName val="실행예산서"/>
      <sheetName val="작업지시서"/>
      <sheetName val="PIPE"/>
      <sheetName val="FLANGE"/>
      <sheetName val="VALVE"/>
      <sheetName val="도급"/>
      <sheetName val="단면 (2)"/>
      <sheetName val="경비"/>
      <sheetName val="일위대가표"/>
      <sheetName val="MEMBER"/>
      <sheetName val="일위대가"/>
      <sheetName val="을지"/>
      <sheetName val="광혁기성"/>
      <sheetName val="공통부대비"/>
      <sheetName val="LEGEND"/>
      <sheetName val="연수동"/>
      <sheetName val="ilch"/>
      <sheetName val="차액보증"/>
      <sheetName val="DONGIA"/>
      <sheetName val="CHITIET"/>
      <sheetName val="BSD (2)"/>
      <sheetName val="예산서"/>
      <sheetName val="말뚝물량"/>
      <sheetName val="_x000d__x000a__x000d__x000a__x0000__x0003_"/>
      <sheetName val="내역1"/>
      <sheetName val="#REF"/>
      <sheetName val="2. Summary-cash"/>
      <sheetName val="조직"/>
      <sheetName val="개요"/>
      <sheetName val="ITEM"/>
      <sheetName val="JUCK"/>
      <sheetName val="quotation"/>
      <sheetName val="9-1차이내역"/>
      <sheetName val="Customer_Databas"/>
      <sheetName val="b_balju_(2)"/>
      <sheetName val="Summary_Sheets"/>
      <sheetName val="남양시작동자105노65기1_3화1_2"/>
      <sheetName val="2F_회의실견적(5_14_일대)"/>
      <sheetName val="단면_(2)"/>
      <sheetName val="BSD_(2)"/>
      <sheetName val="_x000a__x000a_"/>
      <sheetName val="수입"/>
      <sheetName val="_x000a__x000a__x000a__x000a__x0000__x0003_"/>
      <sheetName val="AILC004"/>
      <sheetName val="열린교실"/>
      <sheetName val="INMD1198"/>
      <sheetName val="2.Summary-cash"/>
      <sheetName val="표지"/>
      <sheetName val="내역"/>
      <sheetName val="총괄표"/>
      <sheetName val="FB25JN"/>
      <sheetName val="선급비용"/>
      <sheetName val="정부노임단가"/>
      <sheetName val="TABLE"/>
      <sheetName val="2.주요계수총괄"/>
      <sheetName val="점별(추정)"/>
      <sheetName val="준검 내역서"/>
      <sheetName val="단가"/>
      <sheetName val="Cash Flow"/>
      <sheetName val="Source"/>
      <sheetName val="asd"/>
      <sheetName val="일반전기"/>
      <sheetName val="내역서"/>
      <sheetName val="전차선로 물량표"/>
      <sheetName val="산출내역서집계표"/>
      <sheetName val="マスタ"/>
      <sheetName val="Variable"/>
      <sheetName val="Customer_Databas1"/>
      <sheetName val="b_balju_(2)1"/>
      <sheetName val="Summary_Sheets1"/>
      <sheetName val="남양시작동자105노65기1_3화1_21"/>
      <sheetName val="2F_회의실견적(5_14_일대)1"/>
      <sheetName val="단면_(2)1"/>
      <sheetName val="BSD_(2)1"/>
      <sheetName val="_x000a__x000a__x000a__x000a_"/>
      <sheetName val="예가표"/>
      <sheetName val="SULKEA"/>
      <sheetName val="잔수량(작성)"/>
      <sheetName val="2000년1차"/>
      <sheetName val="청천내"/>
      <sheetName val="기계경비(시간당)"/>
      <sheetName val="램머"/>
      <sheetName val="Sheet6"/>
      <sheetName val="매입세"/>
      <sheetName val="DATA"/>
      <sheetName val="진주방향"/>
      <sheetName val="인사자료총집계"/>
      <sheetName val="sort"/>
      <sheetName val="EKOG10건축"/>
      <sheetName val="DESIGN"/>
      <sheetName val="Macro1"/>
      <sheetName val="노임"/>
      <sheetName val="손익분석"/>
      <sheetName val="구의동공내역서"/>
      <sheetName val="품셈TABLE"/>
      <sheetName val="품셈표"/>
      <sheetName val="1.설계조건"/>
      <sheetName val="자재단가비교표"/>
      <sheetName val="_x000d__x000a__x000d__x000a_"/>
      <sheetName val="노임이"/>
      <sheetName val="교각계산"/>
      <sheetName val="일위대가목록"/>
      <sheetName val="단가대비표"/>
      <sheetName val="Total"/>
      <sheetName val="매출"/>
      <sheetName val="산정기준"/>
      <sheetName val="판관"/>
      <sheetName val="B767"/>
      <sheetName val="guard(mac)"/>
      <sheetName val="일위대가목차"/>
      <sheetName val="단가 및 재료비"/>
      <sheetName val="실행내역서"/>
      <sheetName val="슬래브(유곡)"/>
      <sheetName val="전압강하계산"/>
      <sheetName val="법면"/>
      <sheetName val="부대공"/>
      <sheetName val="구조물공"/>
      <sheetName val="포장공"/>
      <sheetName val="토공"/>
      <sheetName val="배수공1"/>
      <sheetName val="중기일위대가"/>
      <sheetName val="AS복구"/>
      <sheetName val="중기터파기"/>
      <sheetName val="변수값"/>
      <sheetName val="중기상차"/>
      <sheetName val="BID"/>
      <sheetName val="총투입계"/>
      <sheetName val="주요항목별"/>
      <sheetName val="blocktime"/>
      <sheetName val="외주업체발주서(태라)"/>
      <sheetName val="대비표(현설)"/>
      <sheetName val="견적서"/>
      <sheetName val="암거공"/>
      <sheetName val="賃料等一覧"/>
      <sheetName val="전력"/>
      <sheetName val="토목주소"/>
      <sheetName val="프랜트면허"/>
      <sheetName val="음료실행"/>
      <sheetName val="참조자료"/>
      <sheetName val="Sheet3"/>
      <sheetName val="S&amp;R"/>
      <sheetName val="Sheet2"/>
      <sheetName val="재무가정"/>
      <sheetName val="2공구산출내역"/>
      <sheetName val="BDGTCE"/>
      <sheetName val="Interest"/>
      <sheetName val="Balance"/>
      <sheetName val="DETBIL"/>
      <sheetName val="Comm Comparison"/>
      <sheetName val="Comm Rpt Income"/>
      <sheetName val="Comm Rpt Recoveries"/>
      <sheetName val="Comm Rpt Tenant Cap Ex"/>
      <sheetName val="Assumptions"/>
      <sheetName val="20관리비율"/>
      <sheetName val="갑지(추정)"/>
      <sheetName val="예정(3)"/>
      <sheetName val="월별수입"/>
      <sheetName val="1ST"/>
      <sheetName val="기초견적가"/>
      <sheetName val="APT"/>
      <sheetName val="실행"/>
      <sheetName val="SAKUB"/>
      <sheetName val="을"/>
      <sheetName val="Rent Roll"/>
      <sheetName val="BP Summary"/>
      <sheetName val="SUMMARY"/>
      <sheetName val="PAINT"/>
      <sheetName val="내역서2안"/>
      <sheetName val="_x005f_x000d__x005f_x000a__x005f_x000d__x005f_x000a__x0"/>
      <sheetName val="_x005f_x000a__x005f_x000a_"/>
      <sheetName val="_x005f_x000a__x005f_x000a__x005f_x000a__x005f_x000a__x0"/>
      <sheetName val="_x005f_x000a__x005f_x000a__x005f_x000a__x005f_x000a_"/>
      <sheetName val="_x000d___x000d__"/>
      <sheetName val="__"/>
      <sheetName val="____"/>
      <sheetName val="_x005f_x000d___x005f_x000d___x005f_x0000__x005f_x0003_"/>
      <sheetName val="_____x005f_x0000__x005f_x0003_"/>
      <sheetName val="_x005f_x000d___x005f_x000d__"/>
      <sheetName val="_x005f_x005f_x005f_x000d__x005f_x005f_x005f_x000a__x005"/>
      <sheetName val="_x005f_x005f_x005f_x000a__x005f_x005f_x005f_x000a_"/>
      <sheetName val="_x005f_x005f_x005f_x000a__x005f_x005f_x005f_x000a__x005"/>
      <sheetName val="합천내역"/>
      <sheetName val="1층"/>
      <sheetName val="B2BERP"/>
      <sheetName val="CodeTable"/>
      <sheetName val="계산내역(설비)"/>
      <sheetName val="경산"/>
      <sheetName val="암거날개벽재료집계"/>
      <sheetName val="AV시스템"/>
      <sheetName val="공사비예산서(토목분)"/>
      <sheetName val="8.현장관리비"/>
      <sheetName val="TOT"/>
      <sheetName val="현장지지물물량"/>
      <sheetName val=" 견적서"/>
      <sheetName val="계화배수(3대)"/>
      <sheetName val="의왕실행"/>
      <sheetName val="21301동"/>
      <sheetName val="기존단가 (2)"/>
      <sheetName val="Mc"/>
      <sheetName val="    "/>
      <sheetName val="  "/>
      <sheetName val="전차선로_물량표"/>
      <sheetName val="IMPEADENCE MAP 취수장"/>
      <sheetName val="견적을지"/>
      <sheetName val="갑지"/>
      <sheetName val="Y-WORK"/>
      <sheetName val="FOB발"/>
      <sheetName val="잡철물"/>
      <sheetName val="CONCRETE"/>
      <sheetName val="4 LINE"/>
      <sheetName val="7 th"/>
      <sheetName val="견적대비표"/>
      <sheetName val="EJ"/>
      <sheetName val="주관사업"/>
      <sheetName val="wall"/>
      <sheetName val="BASE"/>
      <sheetName val="Sheet4"/>
      <sheetName val="원본"/>
      <sheetName val="CATV"/>
      <sheetName val="내역서(갑지)"/>
      <sheetName val="_x000d_ _x000d_ _x0000__x0003_"/>
      <sheetName val="    _x0000__x0003_"/>
      <sheetName val="_x000d_ _x000d_ "/>
      <sheetName val="Customer_Databas2"/>
      <sheetName val="b_balju_(2)2"/>
      <sheetName val="Summary_Sheets2"/>
      <sheetName val="남양시작동자105노65기1_3화1_22"/>
      <sheetName val="2F_회의실견적(5_14_일대)2"/>
      <sheetName val="단면_(2)2"/>
      <sheetName val="BSD_(2)2"/>
      <sheetName val="단가_및_재료비"/>
      <sheetName val="1_설계조건"/>
      <sheetName val="2__Summary-cash"/>
      <sheetName val="2_주요계수총괄"/>
      <sheetName val="2_Summary-cash"/>
      <sheetName val="Initial_Input_Variable"/>
      <sheetName val="_견적서"/>
      <sheetName val="_x000a___x000a__"/>
      <sheetName val="준검_내역서"/>
      <sheetName val="약품공급2"/>
      <sheetName val="약품설비"/>
      <sheetName val="토적계산서"/>
      <sheetName val="Front"/>
      <sheetName val="_x000d__x000a__x000d__x000a__x0"/>
      <sheetName val="_x000a__x000a__x000a__x000a__x0"/>
      <sheetName val="_x000d___x000d___x0000__x0003_"/>
      <sheetName val="_____x0000__x0003_"/>
      <sheetName val="_x005f_x000d__x005f_x000a__x005"/>
      <sheetName val="_x005f_x000a__x005f_x000a__x005"/>
      <sheetName val=" _ _"/>
      <sheetName val="_x000d___x000d___x0"/>
      <sheetName val="_____x0"/>
      <sheetName val="금액내역서"/>
      <sheetName val="입력"/>
      <sheetName val="집계"/>
      <sheetName val="97년추정손익계산서"/>
      <sheetName val="_x000a___x000a___x0000__x0003_"/>
      <sheetName val="_x000a___x000a___x0"/>
      <sheetName val="DANGA"/>
      <sheetName val="A-4"/>
      <sheetName val="일위_파일"/>
      <sheetName val="01"/>
      <sheetName val="2000전체분"/>
      <sheetName val="총누계"/>
      <sheetName val="전기혼잡제경비(45)"/>
      <sheetName val="D16"/>
      <sheetName val="D25"/>
      <sheetName val="D22"/>
      <sheetName val="원가계산"/>
      <sheetName val="잡비"/>
      <sheetName val="P.M 별"/>
      <sheetName val="(갑지)"/>
      <sheetName val="견적율"/>
      <sheetName val="수량산출"/>
      <sheetName val="INPUT"/>
      <sheetName val="3BL공동구 수량"/>
      <sheetName val="1.동력공사"/>
      <sheetName val="항목(1)"/>
      <sheetName val="BOOK4"/>
      <sheetName val="TEST1.XLS"/>
      <sheetName val="자판실행"/>
      <sheetName val="8."/>
      <sheetName val="10."/>
      <sheetName val="5."/>
      <sheetName val="11"/>
      <sheetName val="12."/>
      <sheetName val="14."/>
      <sheetName val="9."/>
      <sheetName val="13"/>
      <sheetName val="7."/>
      <sheetName val="광주운남을"/>
      <sheetName val="사업자등록번호"/>
      <sheetName val="berlin"/>
      <sheetName val="FS"/>
      <sheetName val="변수"/>
      <sheetName val="dV&amp;Cl"/>
      <sheetName val="CAP"/>
      <sheetName val="R"/>
      <sheetName val="Customer_Databas3"/>
      <sheetName val="b_balju_(2)3"/>
      <sheetName val="Summary_Sheets3"/>
      <sheetName val="남양시작동자105노65기1_3화1_23"/>
      <sheetName val="2F_회의실견적(5_14_일대)3"/>
      <sheetName val="단면_(2)3"/>
      <sheetName val="BSD_(2)3"/>
      <sheetName val="1_설계조건1"/>
      <sheetName val="전차선로_물량표1"/>
      <sheetName val="단가_및_재료비1"/>
      <sheetName val="2__Summary-cash1"/>
      <sheetName val="2_주요계수총괄1"/>
      <sheetName val="2_Summary-cash1"/>
      <sheetName val="Initial_Input_Variable1"/>
      <sheetName val="준검_내역서1"/>
      <sheetName val="_견적서1"/>
      <sheetName val="오산갈곳"/>
      <sheetName val="단가산출"/>
      <sheetName val="일위대가(가설)"/>
      <sheetName val="Cover(IF)"/>
      <sheetName val="Prelim"/>
      <sheetName val="Arch"/>
      <sheetName val="Mechanical"/>
      <sheetName val="Electrical"/>
      <sheetName val="견적 조건"/>
      <sheetName val="실행갑지"/>
      <sheetName val="실행을지"/>
      <sheetName val="현설일정표"/>
      <sheetName val="Cover sheet"/>
      <sheetName val="System furniture"/>
      <sheetName val="Cabinet&amp;CPU Holder"/>
      <sheetName val="Chair"/>
      <sheetName val="Steelcase Fur"/>
      <sheetName val="Steelcase Chair"/>
      <sheetName val="Stelecase Fur - Cabinet"/>
      <sheetName val="N賃率-職"/>
      <sheetName val="WORK"/>
      <sheetName val="데이타"/>
      <sheetName val="평가데이터"/>
      <sheetName val="부대내역"/>
      <sheetName val="물량산출근거"/>
      <sheetName val="1차 내역서"/>
      <sheetName val="지시단가"/>
      <sheetName val="우석문틀"/>
      <sheetName val="터파기및재료"/>
      <sheetName val="원가서"/>
      <sheetName val="투자효율분석"/>
      <sheetName val="카니발(자105노60)"/>
      <sheetName val="요율"/>
      <sheetName val="공정표"/>
      <sheetName val="자재집계표"/>
      <sheetName val="수량산출1"/>
      <sheetName val="자재단가표"/>
      <sheetName val="esc"/>
      <sheetName val="토공총괄집계"/>
      <sheetName val="시설물일위"/>
      <sheetName val="Rückstände-rent arrears"/>
      <sheetName val="Cash_Flow"/>
      <sheetName val="8_현장관리비"/>
      <sheetName val="Comm_Comparison"/>
      <sheetName val="Comm_Rpt_Income"/>
      <sheetName val="Comm_Rpt_Recoveries"/>
      <sheetName val="Comm_Rpt_Tenant_Cap_Ex"/>
      <sheetName val="현장"/>
      <sheetName val="    _x0"/>
      <sheetName val="_x000d__x000a__x005"/>
      <sheetName val="_x000a__x000a__x005"/>
      <sheetName val=" _ __x0"/>
      <sheetName val="CODE"/>
      <sheetName val="C"/>
      <sheetName val="실행(ALT1)"/>
      <sheetName val="전기실-1"/>
      <sheetName val="토공99-5=2"/>
      <sheetName val="금액집계"/>
      <sheetName val="인테리어세부내역"/>
      <sheetName val="간접비계산"/>
      <sheetName val="Sheet15"/>
      <sheetName val="전라자금"/>
      <sheetName val="unit 4"/>
      <sheetName val="기계내역서"/>
      <sheetName val="Notes "/>
      <sheetName val="GENERAL"/>
      <sheetName val="BillTemplate"/>
      <sheetName val="관음목장(제출용)자105인97.5"/>
      <sheetName val="Summery"/>
      <sheetName val="Financials"/>
      <sheetName val="Control Page"/>
      <sheetName val="대차대조"/>
      <sheetName val="A-Property"/>
      <sheetName val="A-UW1"/>
      <sheetName val="A-General"/>
      <sheetName val="EPro"/>
      <sheetName val="Parameters"/>
      <sheetName val="낙찰표"/>
      <sheetName val="입찰내역 발주처 양식"/>
      <sheetName val="설계예산2"/>
      <sheetName val="노임단가"/>
      <sheetName val="Curves"/>
      <sheetName val="Note"/>
      <sheetName val="Heads"/>
      <sheetName val="Tables"/>
      <sheetName val="Page 2"/>
      <sheetName val="Dbase"/>
      <sheetName val="계화배수"/>
      <sheetName val="단양 00 아파트-세부내역"/>
      <sheetName val="c_balju"/>
      <sheetName val="하조서"/>
      <sheetName val="물량"/>
      <sheetName val="MATRLDATA"/>
      <sheetName val="측구집계"/>
      <sheetName val="CTEMCOST"/>
      <sheetName val="단위수량"/>
      <sheetName val="배명(단가)"/>
      <sheetName val="실행철강하도"/>
      <sheetName val="S1B PH2_3차기성내역서_130606-최종.xlsx"/>
      <sheetName val="CAT_5"/>
      <sheetName val="건설"/>
      <sheetName val="EQUIP-H"/>
      <sheetName val="토목"/>
      <sheetName val="골조시행"/>
      <sheetName val="네고율"/>
      <sheetName val="전기공사"/>
      <sheetName val=" K1 노후 UPS 교체 공사 시행건_2라인 5-1라인."/>
      <sheetName val="Average PL Rates"/>
      <sheetName val="Customer_Databas4"/>
      <sheetName val="b_balju_(2)4"/>
      <sheetName val="Summary_Sheets4"/>
      <sheetName val="남양시작동자105노65기1_3화1_24"/>
      <sheetName val="2F_회의실견적(5_14_일대)4"/>
      <sheetName val="단면_(2)4"/>
      <sheetName val="BSD_(2)4"/>
      <sheetName val="단가_및_재료비2"/>
      <sheetName val="전차선로_물량표2"/>
      <sheetName val="1_설계조건2"/>
      <sheetName val="2__Summary-cash2"/>
      <sheetName val="2_주요계수총괄2"/>
      <sheetName val="2_Summary-cash2"/>
      <sheetName val="Initial_Input_Variable2"/>
      <sheetName val="____1"/>
      <sheetName val="__1"/>
      <sheetName val="_x000a__x000a__x0"/>
      <sheetName val="____2"/>
      <sheetName val="준검_내역서2"/>
      <sheetName val="_견적서2"/>
      <sheetName val="기존단가_(2)"/>
      <sheetName val="IMPEADENCE_MAP_취수장"/>
      <sheetName val="4_LINE"/>
      <sheetName val="7_th"/>
      <sheetName val="P_M_별"/>
      <sheetName val="3BL공동구_수량"/>
      <sheetName val="1_동력공사"/>
      <sheetName val="TEST1_XLS"/>
      <sheetName val="_x000a___x000a__1"/>
      <sheetName val="견적_조건"/>
      <sheetName val="Cover_sheet"/>
      <sheetName val="System_furniture"/>
      <sheetName val="Cabinet&amp;CPU_Holder"/>
      <sheetName val="Steelcase_Fur"/>
      <sheetName val="Steelcase_Chair"/>
      <sheetName val="Stelecase_Fur_-_Cabinet"/>
      <sheetName val="1차_내역서"/>
      <sheetName val="설치공사2"/>
      <sheetName val="_x000d_ _x000d_ _x0"/>
      <sheetName val=" _ __x0000__x0003_"/>
      <sheetName val="_x000d_ _x005"/>
      <sheetName val="  _x005"/>
      <sheetName val=""/>
      <sheetName val="특별교실"/>
      <sheetName val="Personnel"/>
      <sheetName val="I一般比"/>
      <sheetName val="ex"/>
      <sheetName val="투찰표 (-0.831%)"/>
      <sheetName val="삼호추정"/>
      <sheetName val="투찰표"/>
      <sheetName val="결과"/>
      <sheetName val="설계"/>
      <sheetName val="공내역"/>
      <sheetName val="부대원가"/>
      <sheetName val="토1"/>
      <sheetName val="토2"/>
      <sheetName val="철2"/>
      <sheetName val="강교"/>
      <sheetName val="협력(철콘자재)"/>
      <sheetName val="투찰"/>
      <sheetName val="하도급"/>
      <sheetName val="철1"/>
      <sheetName val="구룡-대보(2공)투찰2"/>
      <sheetName val="적현로"/>
      <sheetName val="일위대가내역"/>
      <sheetName val="단가조사"/>
      <sheetName val="_____x01"/>
      <sheetName val="_x000a__x005"/>
      <sheetName val="_____x02"/>
      <sheetName val="8_"/>
      <sheetName val="10_"/>
      <sheetName val="5_"/>
      <sheetName val="12_"/>
      <sheetName val="14_"/>
      <sheetName val="9_"/>
      <sheetName val="7_"/>
      <sheetName val="Notes_"/>
      <sheetName val="unit_4"/>
      <sheetName val="Page_2"/>
      <sheetName val="단양_00_아파트-세부내역"/>
      <sheetName val="S1B_PH2_3차기성내역서_130606-최종_xlsx"/>
      <sheetName val="_K1_노후_UPS_교체_공사_시행건_2라인_5-1라인_"/>
      <sheetName val="입찰내역_발주처_양식"/>
      <sheetName val="_x000a_ _x000a_ _x0000__x0003_"/>
      <sheetName val="BASIC (2)"/>
      <sheetName val="spec"/>
      <sheetName val="program"/>
      <sheetName val="studbolt no."/>
      <sheetName val="studbolt size"/>
      <sheetName val="item sort no"/>
      <sheetName val="장비부하"/>
      <sheetName val="물량산출"/>
      <sheetName val="BREAKDOWN"/>
      <sheetName val="6호기"/>
      <sheetName val="시설일위"/>
      <sheetName val="식재수량표"/>
      <sheetName val="식재일위"/>
      <sheetName val="일반부표"/>
      <sheetName val="유림골조"/>
      <sheetName val="일반관리비"/>
      <sheetName val="표지 (2)"/>
      <sheetName val="조명율표"/>
      <sheetName val="차도조도계산"/>
      <sheetName val="시멘트"/>
      <sheetName val="인제내역"/>
      <sheetName val="소일위대가코드표"/>
      <sheetName val="수목데이타_"/>
      <sheetName val="수목표준대가"/>
      <sheetName val="통장출금액"/>
      <sheetName val="대비표(토공1안)"/>
      <sheetName val="b_balju"/>
      <sheetName val="포장공사"/>
      <sheetName val="대비내역"/>
      <sheetName val="현황CODE"/>
      <sheetName val="NEWDRAW"/>
      <sheetName val="손익현황"/>
      <sheetName val="여흥"/>
      <sheetName val="중갑지"/>
      <sheetName val="공구원가계산"/>
      <sheetName val="부대공Ⅱ"/>
      <sheetName val="P_M_별1"/>
      <sheetName val="3BL공동구_수량1"/>
      <sheetName val="1_동력공사1"/>
      <sheetName val="토적계산"/>
      <sheetName val="sh1"/>
      <sheetName val="설계내역서"/>
      <sheetName val="공문"/>
      <sheetName val="업무일지 및 금액정산"/>
      <sheetName val="투자정리"/>
      <sheetName val="작성불가-지결베이스"/>
      <sheetName val="호환성 보고서"/>
      <sheetName val="S0"/>
      <sheetName val="에너지동"/>
      <sheetName val="CC16-내역서"/>
      <sheetName val="실행간접비용"/>
      <sheetName val="DATE"/>
      <sheetName val="일위"/>
      <sheetName val="직재"/>
      <sheetName val="재집"/>
      <sheetName val="부안일위"/>
      <sheetName val="TEL"/>
      <sheetName val="품목별"/>
      <sheetName val="데이터 입력장"/>
      <sheetName val="와동25-3(변경)"/>
      <sheetName val="X17-TOTAL"/>
      <sheetName val="전기"/>
      <sheetName val="손익차9월2"/>
      <sheetName val="간접비"/>
      <sheetName val="간접1"/>
      <sheetName val="카렌스센터계량기설치공사"/>
      <sheetName val="사급자재"/>
      <sheetName val="HP1AMLIST"/>
      <sheetName val="신청서"/>
      <sheetName val="설계명세서"/>
      <sheetName val="일위(PN)"/>
      <sheetName val="AHU집계"/>
      <sheetName val="공조기휀"/>
      <sheetName val="공조기"/>
      <sheetName val="영업.일1"/>
      <sheetName val="EQT-ESTN"/>
      <sheetName val="견"/>
      <sheetName val="전계가"/>
      <sheetName val="copy"/>
      <sheetName val="서식"/>
      <sheetName val="COST"/>
      <sheetName val="지수"/>
      <sheetName val="화재 탐지 설비"/>
      <sheetName val="2.대외공문"/>
      <sheetName val="총괄"/>
      <sheetName val="식재인부"/>
      <sheetName val="빙장비사양"/>
      <sheetName val="장비사양"/>
      <sheetName val="관람석제출"/>
      <sheetName val="마산월령동골조물량변경"/>
      <sheetName val="예산명세서"/>
      <sheetName val="자료입력"/>
      <sheetName val="Cover"/>
      <sheetName val="36신설수량"/>
      <sheetName val="gtrinh"/>
      <sheetName val="  _x0"/>
      <sheetName val=" _ _1"/>
      <sheetName val=" _x005"/>
      <sheetName val="기초단가"/>
      <sheetName val="Estimate-L"/>
      <sheetName val="Estimate-M"/>
      <sheetName val="_x000a_ _x000a_ "/>
      <sheetName val="_x000a_ _x000a_ _x0"/>
      <sheetName val="_x000a_ _x005"/>
      <sheetName val="CAPVC"/>
      <sheetName val="견적비교표 AstraZeneca"/>
      <sheetName val="견적비교표 Genoplan"/>
      <sheetName val="실행내역서 "/>
      <sheetName val="SP-B1"/>
      <sheetName val="_x005f_x000d__x000a__x005f_x000d__x000a__x005f_x0000__x005f_x0003_"/>
      <sheetName val="_x000a__x000a__x000a__x000a__x005f_x0000__x005f_x0003_"/>
      <sheetName val="실행(표지,갑,을)"/>
      <sheetName val="_x005f_x005f_x005f_x000d__x005f_x000a__x005f_x005f_x000"/>
      <sheetName val="버스운행안내"/>
      <sheetName val="예방접종계획"/>
      <sheetName val="근태계획서"/>
      <sheetName val="기안"/>
      <sheetName val="개산공사비"/>
      <sheetName val="성신"/>
      <sheetName val="현장관리비"/>
      <sheetName val="실행내역"/>
      <sheetName val="대구"/>
      <sheetName val="구미"/>
      <sheetName val="System_furni_x0000__x0000_Ԁ_x0000_"/>
      <sheetName val="M-EQPT-Z"/>
      <sheetName val="횡배수관토공수량"/>
      <sheetName val="투찰표 (-0׃⼫_x0000__x0000_ﹰ_x0000_"/>
      <sheetName val="투찰표 (-0_x0010__x0000_쯐ڋ׃⾈"/>
      <sheetName val="건축내역서"/>
      <sheetName val="LBD "/>
      <sheetName val="Forecloser"/>
      <sheetName val="Price Level"/>
      <sheetName val="Location"/>
      <sheetName val="Comment"/>
      <sheetName val="Physical"/>
      <sheetName val="Area"/>
      <sheetName val="정렬"/>
      <sheetName val="System_furni"/>
      <sheetName val="_x005f_x000d__x000a__x000"/>
      <sheetName val="판매46"/>
      <sheetName val="ITEM입력"/>
      <sheetName val="분석가정"/>
      <sheetName val="기초1"/>
      <sheetName val="기초"/>
      <sheetName val="\\강동호\강동호\MSOFFICE\EXCEL\EXAMPL"/>
      <sheetName val="단가표 "/>
      <sheetName val="System_furn_x0000__x0000_Ԁ_x0000_뀀"/>
      <sheetName val="System_furn_x0000__x0000_Ԁ_x0000_"/>
      <sheetName val="System_furn_x0000__x0000_Ԁ_x0000_ꀀ"/>
      <sheetName val="System_furn_x0000__x0000_Ԁ_x0000_　"/>
      <sheetName val="EQUIPMENT -2"/>
      <sheetName val="수정시산표"/>
      <sheetName val="습식공내역"/>
      <sheetName val="갑지.을부"/>
      <sheetName val="내역기준"/>
      <sheetName val=" _x000a_ _x000a__x0000__x0003_"/>
      <sheetName val=" _x000a_ _x000a_"/>
      <sheetName val=" _x000a_ _x000a__x0"/>
      <sheetName val=" _x000a__x005"/>
      <sheetName val="A"/>
      <sheetName val="토공(우물통,기타) "/>
      <sheetName val="C1ㅇ"/>
      <sheetName val="날개벽수량표"/>
      <sheetName val="공정코드"/>
      <sheetName val="공용정보"/>
      <sheetName val="_x005f_x000d__x005f_x000a__x005f_x000d__x005f_x000a_"/>
      <sheetName val="_x005f_x005f_x005f_x005f_x005f_x005f_x005f_x000d__x005f"/>
      <sheetName val="워크오더갑지"/>
      <sheetName val="WO갑지"/>
      <sheetName val="견적갑지"/>
      <sheetName val="적용단가자료"/>
      <sheetName val="CABLE 산출서"/>
      <sheetName val="TRAY 산출서"/>
      <sheetName val="일위대가 TRAY Hanger"/>
      <sheetName val="동해title"/>
      <sheetName val="예비품"/>
      <sheetName val="신표지1"/>
      <sheetName val="__________MSOFFICE_EXCEL_EXAM_2"/>
      <sheetName val="_x000d__x000a__x000d__x000a_?_x0003_"/>
      <sheetName val="_x000a__x000a__x000a__x000a_?_x0003_"/>
      <sheetName val="정보"/>
      <sheetName val="8-1차이내역"/>
      <sheetName val="10-3월별수입"/>
      <sheetName val="FND3"/>
      <sheetName val="UG1"/>
      <sheetName val="TRENCH"/>
      <sheetName val="_x000d_ _x000"/>
      <sheetName val="투찰표 (-0׃⼫"/>
      <sheetName val="[TEST1.XLS][TEST1.XLS][TEST1.XL"/>
      <sheetName val="갑지(인테리어)"/>
      <sheetName val="인테리어 내역서"/>
      <sheetName val="OA,이동가구"/>
      <sheetName val="OPTION"/>
      <sheetName val="투찰표 (-0_x0010_"/>
      <sheetName val="System_furn"/>
      <sheetName val="소업1교"/>
      <sheetName val="사용자정의"/>
      <sheetName val="토공(완충)"/>
      <sheetName val="제품표준규격"/>
      <sheetName val="FAB별"/>
      <sheetName val="부영5블럭-1"/>
      <sheetName val="KSD3631"/>
      <sheetName val="KSM3514"/>
      <sheetName val="Identity"/>
      <sheetName val=" new Codes used"/>
      <sheetName val="[TEST1.XLS]__________MSOFFICE_2"/>
      <sheetName val="T1"/>
      <sheetName val="System_furn¬_x0000_Ԁ_x0000_瀀"/>
      <sheetName val="__________MSOFFICE_EXCEL_EXAM_3"/>
      <sheetName val="_x000d_ _x000d_ _뫰જ"/>
      <sheetName val="_x000d_ _x000d_ __x0010__x0000_"/>
      <sheetName val="원가계산서"/>
      <sheetName val="견적내역서"/>
      <sheetName val="투찰표 (-0_x0000__x0000__x0005__x0000_碠㩗"/>
      <sheetName val="설산1.나"/>
      <sheetName val="본사S"/>
      <sheetName val="투찰표 (-0._xda30_朖U"/>
      <sheetName val="투찰표 (-0."/>
      <sheetName val="투찰표 (-0._xda30_朖U_x0000_ꉊ"/>
      <sheetName val="투찰표 (-0._x0000__x0000_ﾈɚ萹"/>
      <sheetName val="금호"/>
      <sheetName val="2002하반기노임기준"/>
      <sheetName val="본체"/>
      <sheetName val="실행보고"/>
      <sheetName val="__________MSOFFICE_EXCEL_EXAM_4"/>
      <sheetName val="System_furni¬_x0000__x0000__x0000_"/>
      <sheetName val="__________MSOFFICE_EXCEL_EXAM_5"/>
      <sheetName val="Customer_Databas5"/>
      <sheetName val="b_balju_(2)5"/>
      <sheetName val="Summary_Sheets5"/>
      <sheetName val="남양시작동자105노65기1_3화1_25"/>
      <sheetName val="2F_회의실견적(5_14_일대)5"/>
      <sheetName val="단면_(2)5"/>
      <sheetName val="BSD_(2)5"/>
      <sheetName val="1_설계조건3"/>
      <sheetName val="전차선로_물량표3"/>
      <sheetName val="단가_및_재료비3"/>
      <sheetName val="2__Summary-cash3"/>
      <sheetName val="2_주요계수총괄3"/>
      <sheetName val="2_Summary-cash3"/>
      <sheetName val="Initial_Input_Variable3"/>
      <sheetName val="준검_내역서3"/>
      <sheetName val="_견적서3"/>
      <sheetName val="____3"/>
      <sheetName val="__2"/>
      <sheetName val="8_현장관리비1"/>
      <sheetName val="P_M_별2"/>
      <sheetName val="3BL공동구_수량2"/>
      <sheetName val="1_동력공사2"/>
      <sheetName val="TEST1_XLS1"/>
      <sheetName val="Cash_Flow1"/>
      <sheetName val="기존단가_(2)1"/>
      <sheetName val="IMPEADENCE_MAP_취수장1"/>
      <sheetName val="4_LINE1"/>
      <sheetName val="7_th1"/>
      <sheetName val="____4"/>
      <sheetName val="견적_조건1"/>
      <sheetName val="1차_내역서1"/>
      <sheetName val="_____x03"/>
      <sheetName val="_____x04"/>
      <sheetName val="Cover_sheet1"/>
      <sheetName val="System_furniture1"/>
      <sheetName val="Cabinet&amp;CPU_Holder1"/>
      <sheetName val="Steelcase_Fur1"/>
      <sheetName val="Steelcase_Chair1"/>
      <sheetName val="Stelecase_Fur_-_Cabinet1"/>
      <sheetName val="Notes_1"/>
      <sheetName val="8_1"/>
      <sheetName val="10_1"/>
      <sheetName val="5_1"/>
      <sheetName val="12_1"/>
      <sheetName val="14_1"/>
      <sheetName val="9_1"/>
      <sheetName val="7_1"/>
      <sheetName val="unit_41"/>
      <sheetName val="입찰내역_발주처_양식1"/>
      <sheetName val="Page_21"/>
      <sheetName val="단양_00_아파트-세부내역1"/>
      <sheetName val="S1B_PH2_3차기성내역서_130606-최종_xlsx1"/>
      <sheetName val="_K1_노후_UPS_교체_공사_시행건_2라인_5-1라인1"/>
      <sheetName val="Average_PL_Rates"/>
      <sheetName val="투찰표_(-0_831%)"/>
      <sheetName val="관음목장(제출용)자105인97_5"/>
      <sheetName val="BASIC_(2)"/>
      <sheetName val="_x000a___x000a___x01"/>
      <sheetName val="_x000a___x005"/>
      <sheetName val="___x005"/>
      <sheetName val="studbolt_no_"/>
      <sheetName val="studbolt_size"/>
      <sheetName val="item_sort_no"/>
      <sheetName val="표지_(2)"/>
      <sheetName val="업무일지_및_금액정산"/>
      <sheetName val="호환성_보고서"/>
      <sheetName val="영업_일1"/>
      <sheetName val="화재_탐지_설비"/>
      <sheetName val="2_대외공문"/>
      <sheetName val="Rent_Roll"/>
      <sheetName val="BP_Summary"/>
      <sheetName val="___x0"/>
      <sheetName val="Comm_Comparison1"/>
      <sheetName val="Comm_Rpt_Income1"/>
      <sheetName val="Comm_Rpt_Recoveries1"/>
      <sheetName val="Comm_Rpt_Tenant_Cap_Ex1"/>
      <sheetName val="데이터_입력장"/>
      <sheetName val="____11"/>
      <sheetName val="__x005"/>
      <sheetName val="실행내역서_"/>
      <sheetName val="_x000a___x000a__2"/>
      <sheetName val="견적비교표_AstraZeneca"/>
      <sheetName val="견적비교표_Genoplan"/>
      <sheetName val="투찰표_(-0׃⼫ﹰ"/>
      <sheetName val="투찰표_(-0쯐ڋ׃⾈"/>
      <sheetName val="갑지_을부"/>
      <sheetName val="LBD_"/>
      <sheetName val="EQUIPMENT_-2"/>
      <sheetName val="Rückstände-rent_arrears"/>
      <sheetName val="Control_Page"/>
      <sheetName val="_x000a__x000a_?"/>
      <sheetName val="_x000a__x000a__x000a__x000a_?"/>
      <sheetName val="토공(우물통,기타)_"/>
      <sheetName val="_x000a___x000"/>
      <sheetName val="투찰표_(-0׃⼫"/>
      <sheetName val="3.공통공사대비"/>
      <sheetName val="전차선로_물Ꮘ춦砀"/>
      <sheetName val="_x005f_x005f_x005f_x000d___x005f_x005f_x005f_x000d___x0"/>
      <sheetName val="_____x005f_x005f_x005f_x0000__x005f_x005f_x005f_x0003_"/>
      <sheetName val="_x005f_x005f_x005f_x000d___x005f_x005f_x005f_x000d__"/>
      <sheetName val="_x005f_x005f_x005f_x005f_x005f_x005f_x005f_x000a__x005f"/>
      <sheetName val="_x005f_x000d_ _x005f_x000d_ _x005f_x0000__x005f_x0003_"/>
      <sheetName val="    _x005f_x0000__x005f_x0003_"/>
      <sheetName val="_x005f_x000d_ _x005f_x000d_ "/>
      <sheetName val="_x005f_x000d___x005f_x000d___x0"/>
      <sheetName val="_x005f_x000a___x005f_x000a__"/>
      <sheetName val="_x005f_x000a___x005f_x000a___x005f_x0000__x005f_x0003_"/>
      <sheetName val="_x005f_x000a___x005f_x000a___x0"/>
      <sheetName val="S1B PH2_3차기성내역서_1306_x0000__x0000_Ԁ_x0000_⩂㦑_x0002__x0000__x0000_"/>
      <sheetName val="건축원가"/>
      <sheetName val="소요자재"/>
      <sheetName val="정산내역서"/>
      <sheetName val="현금흐름"/>
      <sheetName val="__________MSOFFICE_EXCEL_EXAM_6"/>
      <sheetName val="__________MSOFFICE_EXCEL_EXAM_7"/>
      <sheetName val="__________MSOFFICE_EXCEL_EXAM_8"/>
      <sheetName val="변경내역서"/>
      <sheetName val="정산단가설명자료"/>
      <sheetName val="적용단가설명자료"/>
      <sheetName val="업체견적갑지"/>
      <sheetName val="업체견적을지"/>
      <sheetName val="단가산정"/>
      <sheetName val="첨부서류(도면)"/>
      <sheetName val="첨부서류(사진)"/>
      <sheetName val="Non-Statistical Sampling Master"/>
      <sheetName val="Consolidated P&amp;L"/>
      <sheetName val="OFFICE EQUIPMENT"/>
      <sheetName val="Non-Statistical_Sampling_Master"/>
      <sheetName val="Consolidated_P&amp;L"/>
      <sheetName val="pivot"/>
      <sheetName val="工완성공사율"/>
      <sheetName val="CASHFLOW"/>
      <sheetName val="__________MSOFFICE_EXCEL_EXAM_9"/>
      <sheetName val="__________MSOFFICE_EXCEL_EXA_10"/>
      <sheetName val="__________MSOFFICE_EXCEL_EXA_11"/>
      <sheetName val="XZLC004_PART2"/>
      <sheetName val="Piping Design Data"/>
      <sheetName val="출력X"/>
      <sheetName val="예총"/>
      <sheetName val="집계표"/>
      <sheetName val="품종_품명"/>
      <sheetName val="표준건축비"/>
      <sheetName val="变更15"/>
      <sheetName val="평3"/>
      <sheetName val="TN IO_LIST"/>
      <sheetName val="Borrower"/>
      <sheetName val="능률"/>
      <sheetName val="__________MSOFFICE_EXCEL_EXA_12"/>
      <sheetName val="__________MSOFFICE_EXCEL_EXA_13"/>
      <sheetName val="__________MSOFFICE_EXCEL_EXA_14"/>
      <sheetName val="__________MSOFFICE_EXCEL_EXA_15"/>
      <sheetName val="__________MSOFFICE_EXCEL_EXA_16"/>
      <sheetName val="__________MSOFFICE_EXCEL_EXA_17"/>
      <sheetName val="__________MSOFFICE_EXCEL_EXA_18"/>
      <sheetName val="__________MSOFFICE_EXCEL_EXA_19"/>
      <sheetName val="WEON"/>
      <sheetName val="TOWER 12TON"/>
      <sheetName val="TOWER 10TON"/>
      <sheetName val="__________MSOFFICE_EXCEL_EXA_20"/>
      <sheetName val="__________MSOFFICE_EXCEL_EXA_21"/>
      <sheetName val="__________MSOFFICE_EXCEL_EXA_22"/>
      <sheetName val="__________MSOFFICE_EXCEL_EXA_23"/>
      <sheetName val="__________MSOFFICE_EXCEL_EXA_24"/>
      <sheetName val="__________MSOFFICE_EXCEL_EXA_25"/>
      <sheetName val="금액"/>
      <sheetName val="2_Summar刀_x0010__x0000__x0000__x0000__x0000__x0000_"/>
      <sheetName val="2_Summar_x0000__x0000__x0001__x0000__x0000__x0000_"/>
      <sheetName val="System_furn¬"/>
      <sheetName val="투찰표 (-0"/>
      <sheetName val="S1B PH2_3차기성내역서_1306"/>
      <sheetName val="물량표"/>
      <sheetName val="Cover_௛᠁否렉"/>
      <sheetName val="08년1월"/>
      <sheetName val="08년10월"/>
      <sheetName val="08년11월"/>
      <sheetName val="08년12월"/>
      <sheetName val="09년1월 "/>
      <sheetName val="09년2월"/>
      <sheetName val="09년3월"/>
      <sheetName val="09년4월"/>
      <sheetName val="09월5월"/>
      <sheetName val="09년6월"/>
      <sheetName val="09년7월"/>
      <sheetName val="08년2월"/>
      <sheetName val="09년8월"/>
      <sheetName val="09년9월"/>
      <sheetName val="09년10월"/>
      <sheetName val="09년11월"/>
      <sheetName val="09년12월"/>
      <sheetName val="10년01월"/>
      <sheetName val="10년02월"/>
      <sheetName val="10년03월"/>
      <sheetName val="08년3월"/>
      <sheetName val="08년4월"/>
      <sheetName val="08년5월"/>
      <sheetName val="08년6월"/>
      <sheetName val="08년7월"/>
      <sheetName val="08년8월"/>
      <sheetName val="08년9월"/>
      <sheetName val="성형자재"/>
      <sheetName val="98수문일위"/>
      <sheetName val="_x000d___x005"/>
      <sheetName val="System_furniٗ䠳砀_xd884_"/>
      <sheetName val="System_furni謴䀀ⷥ"/>
      <sheetName val="System_furni謴ꀀ࣊"/>
      <sheetName val="System_furni謴䀀ꡈ"/>
      <sheetName val="BOM"/>
      <sheetName val="자재 집계표"/>
      <sheetName val="8_현장관ÿ_x0000_"/>
      <sheetName val="조명시설"/>
      <sheetName val="합산자재"/>
      <sheetName val="수불카드"/>
      <sheetName val="집계표 "/>
      <sheetName val="전차선로_물È_x0000_Ԁ"/>
      <sheetName val="_x005f_x005f_x005f_x000d__x005f"/>
      <sheetName val="_x005f_x005f_x005f_x000a__x005f"/>
      <sheetName val="__________MSOFFICE_EXCEL_EXA_26"/>
      <sheetName val="sheets"/>
      <sheetName val="간이연락"/>
      <sheetName val="Assumptio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 refreshError="1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/>
      <sheetData sheetId="703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/>
      <sheetData sheetId="738" refreshError="1"/>
      <sheetData sheetId="739"/>
      <sheetData sheetId="740"/>
      <sheetData sheetId="74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 refreshError="1"/>
      <sheetData sheetId="760" refreshError="1"/>
      <sheetData sheetId="761"/>
      <sheetData sheetId="762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 refreshError="1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 refreshError="1"/>
      <sheetData sheetId="902" refreshError="1"/>
      <sheetData sheetId="903" refreshError="1"/>
      <sheetData sheetId="904"/>
      <sheetData sheetId="905"/>
      <sheetData sheetId="906" refreshError="1"/>
      <sheetData sheetId="907" refreshError="1"/>
      <sheetData sheetId="908" refreshError="1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/>
      <sheetData sheetId="936"/>
      <sheetData sheetId="937"/>
      <sheetData sheetId="938"/>
      <sheetData sheetId="939"/>
      <sheetData sheetId="940"/>
      <sheetData sheetId="941" refreshError="1"/>
      <sheetData sheetId="942" refreshError="1"/>
      <sheetData sheetId="943" refreshError="1"/>
      <sheetData sheetId="944" refreshError="1"/>
      <sheetData sheetId="945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 refreshError="1"/>
      <sheetData sheetId="995" refreshError="1"/>
      <sheetData sheetId="996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heet3 (2)"/>
      <sheetName val="Sheet3 _2_"/>
      <sheetName val="유통망계획"/>
      <sheetName val="CV"/>
      <sheetName val="ES(Kor)"/>
      <sheetName val="Calculation (2)"/>
      <sheetName val="JCF"/>
      <sheetName val="Multiple output"/>
      <sheetName val="sheet6"/>
      <sheetName val="DEPRE"/>
      <sheetName val="TIll_Q_sal"/>
      <sheetName val="tiller"/>
      <sheetName val="analysis"/>
      <sheetName val="Set"/>
      <sheetName val="BBEuros"/>
      <sheetName val="QoQ Forecast"/>
      <sheetName val="Income Statements"/>
      <sheetName val="InvoiceList"/>
      <sheetName val="Income &amp; Occupancy Customer"/>
      <sheetName val="ABP inputs"/>
      <sheetName val="Synergy Sales Budget"/>
      <sheetName val="Project Budget Worksheet"/>
      <sheetName val="F1a-Pile"/>
      <sheetName val="Builtup Area"/>
      <sheetName val="INDIGINEOUS ITEMS "/>
      <sheetName val="fco"/>
      <sheetName val="Headings"/>
      <sheetName val="RCC,Ret. Wall"/>
      <sheetName val="BOQ T4B"/>
      <sheetName val="Summary"/>
      <sheetName val="노무비"/>
      <sheetName val="Formulas"/>
      <sheetName val="Material "/>
      <sheetName val="Labour &amp; Plant"/>
      <sheetName val="GBW"/>
      <sheetName val="Design"/>
      <sheetName val="BOQ"/>
      <sheetName val=" B3"/>
      <sheetName val=" B1"/>
      <sheetName val="CFForecast detail"/>
      <sheetName val="Site Dev BOQ"/>
      <sheetName val="Lead"/>
      <sheetName val="Main-Material"/>
      <sheetName val="Sheet1"/>
      <sheetName val="beam-reinft-IIInd floor"/>
      <sheetName val="download"/>
      <sheetName val="170810-lease tax"/>
      <sheetName val="Sheet3_(2)"/>
      <sheetName val="Sheet3__2_"/>
      <sheetName val="Break up Sheet"/>
      <sheetName val="Global Assm."/>
      <sheetName val="Approved MTD Proj #'s"/>
      <sheetName val="Aladdin Macro1"/>
      <sheetName val="BalSht"/>
      <sheetName val="Acc_10.5"/>
      <sheetName val="MN T.B."/>
      <sheetName val="Vind-BtB"/>
      <sheetName val="Load Details-220kV"/>
      <sheetName val="Assumptions"/>
      <sheetName val="Occ"/>
      <sheetName val="Demand"/>
      <sheetName val="Inputs"/>
      <sheetName val="Ref"/>
      <sheetName val="q-details"/>
      <sheetName val="LBO"/>
      <sheetName val="Block A - BOQ"/>
      <sheetName val="Rollup Summary"/>
      <sheetName val="Sheet2"/>
      <sheetName val="Portfolio Summary"/>
      <sheetName val="Depreciation"/>
      <sheetName val="CapitalOutlay"/>
      <sheetName val="Assum"/>
      <sheetName val="strand"/>
      <sheetName val="ABP_inputs"/>
      <sheetName val="Synergy_Sales_Budget"/>
      <sheetName val="Project_Budget_Worksheet"/>
      <sheetName val="QoQ_Forecast"/>
      <sheetName val="Income_Statements"/>
      <sheetName val="Income_&amp;_Occupancy_Customer"/>
      <sheetName val="RCC,Ret__Wall"/>
      <sheetName val="Calculation_(2)"/>
      <sheetName val="Multiple_output"/>
      <sheetName val="Builtup_Area"/>
      <sheetName val="BOQ_T4B"/>
      <sheetName val="INDIGINEOUS_ITEMS_"/>
      <sheetName val="Material_"/>
      <sheetName val="Labour_&amp;_Plant"/>
      <sheetName val="Approved_MTD_Proj_#'s"/>
      <sheetName val="_B3"/>
      <sheetName val="_B1"/>
      <sheetName val="beam-reinft-IIInd_floor"/>
      <sheetName val="Aladdin_Macro1"/>
      <sheetName val="Acc_10_5"/>
      <sheetName val="Global_Assm_"/>
      <sheetName val="MN_T_B_"/>
      <sheetName val="CFForecast_detail"/>
      <sheetName val="Site_Dev_BOQ"/>
      <sheetName val="Break_up_Sheet"/>
      <sheetName val="Load_Details-220kV"/>
      <sheetName val="Block_A_-_BOQ"/>
      <sheetName val="Sheet3_(2)1"/>
      <sheetName val="ABP_inputs1"/>
      <sheetName val="Synergy_Sales_Budget1"/>
      <sheetName val="Project_Budget_Worksheet1"/>
      <sheetName val="QoQ_Forecast1"/>
      <sheetName val="Income_Statements1"/>
      <sheetName val="Sheet3__2_1"/>
      <sheetName val="Income_&amp;_Occupancy_Customer1"/>
      <sheetName val="RCC,Ret__Wall1"/>
      <sheetName val="Calculation_(2)1"/>
      <sheetName val="Multiple_output1"/>
      <sheetName val="Builtup_Area1"/>
      <sheetName val="BOQ_T4B1"/>
      <sheetName val="INDIGINEOUS_ITEMS_1"/>
      <sheetName val="Material_1"/>
      <sheetName val="Labour_&amp;_Plant1"/>
      <sheetName val="Approved_MTD_Proj_#'s1"/>
      <sheetName val="_B31"/>
      <sheetName val="_B11"/>
      <sheetName val="beam-reinft-IIInd_floor1"/>
      <sheetName val="Aladdin_Macro11"/>
      <sheetName val="Acc_10_51"/>
      <sheetName val="Global_Assm_1"/>
      <sheetName val="MN_T_B_1"/>
      <sheetName val="CFForecast_detail1"/>
      <sheetName val="Site_Dev_BOQ1"/>
      <sheetName val="Break_up_Sheet1"/>
      <sheetName val="Load_Details-220kV1"/>
      <sheetName val="Block_A_-_BOQ1"/>
      <sheetName val="Sheet3_(2)2"/>
      <sheetName val="ABP_inputs2"/>
      <sheetName val="Synergy_Sales_Budget2"/>
      <sheetName val="Project_Budget_Worksheet2"/>
      <sheetName val="QoQ_Forecast2"/>
      <sheetName val="Income_Statements2"/>
      <sheetName val="Sheet3__2_2"/>
      <sheetName val="Income_&amp;_Occupancy_Customer2"/>
      <sheetName val="RCC,Ret__Wall2"/>
      <sheetName val="Calculation_(2)2"/>
      <sheetName val="Multiple_output2"/>
      <sheetName val="Builtup_Area2"/>
      <sheetName val="BOQ_T4B2"/>
      <sheetName val="INDIGINEOUS_ITEMS_2"/>
      <sheetName val="Material_2"/>
      <sheetName val="Labour_&amp;_Plant2"/>
      <sheetName val="Approved_MTD_Proj_#'s2"/>
      <sheetName val="_B32"/>
      <sheetName val="_B12"/>
      <sheetName val="beam-reinft-IIInd_floor2"/>
      <sheetName val="Aladdin_Macro12"/>
      <sheetName val="Acc_10_52"/>
      <sheetName val="Global_Assm_2"/>
      <sheetName val="MN_T_B_2"/>
      <sheetName val="CFForecast_detail2"/>
      <sheetName val="Site_Dev_BOQ2"/>
      <sheetName val="Break_up_Sheet2"/>
      <sheetName val="Load_Details-220kV2"/>
      <sheetName val="Block_A_-_BOQ2"/>
      <sheetName val="Area"/>
      <sheetName val="Input"/>
      <sheetName val="Main Sheet (MTD)"/>
      <sheetName val="Consl Daily Report"/>
      <sheetName val="Preside"/>
      <sheetName val="balance sheet"/>
      <sheetName val="Factor_Sheet"/>
      <sheetName val="Fin Sum"/>
      <sheetName val="F"/>
      <sheetName val="EXHIBIT&quot; T&quot;"/>
      <sheetName val="Turnover"/>
      <sheetName val="SCH-E-1"/>
      <sheetName val="BIPR"/>
      <sheetName val="BPCA"/>
      <sheetName val="BBRS"/>
      <sheetName val="KPM DT"/>
      <sheetName val="van khuon"/>
      <sheetName val="Names"/>
      <sheetName val="Introduction"/>
      <sheetName val="IDC macro"/>
      <sheetName val="SALE"/>
      <sheetName val="CABLE DATA"/>
      <sheetName val="1st flr"/>
      <sheetName val="final abstract"/>
      <sheetName val="Rate analysis"/>
      <sheetName val="LISTS"/>
      <sheetName val="QoQ In Lakhs"/>
      <sheetName val="Main workings"/>
      <sheetName val="02022005"/>
      <sheetName val="16022005"/>
      <sheetName val="05012005"/>
      <sheetName val="19012005"/>
      <sheetName val="02032005"/>
      <sheetName val="16032005"/>
      <sheetName val="30032005"/>
      <sheetName val="GENERAL2"/>
      <sheetName val="EBITDA"/>
      <sheetName val="Summary Excise"/>
      <sheetName val="BS"/>
      <sheetName val="Other BS Sch 5-9"/>
      <sheetName val="Excess Calc"/>
      <sheetName val="Grouping Master"/>
      <sheetName val="Current Bill MB ref"/>
      <sheetName val="Meas.-Hotel Part"/>
      <sheetName val="March Analysts"/>
      <sheetName val="Company"/>
      <sheetName val="compu"/>
      <sheetName val="P &amp; L"/>
      <sheetName val="PLAN_FEB97"/>
      <sheetName val="02"/>
      <sheetName val="03"/>
      <sheetName val="04"/>
      <sheetName val="01"/>
      <sheetName val="Civil Boq"/>
      <sheetName val="Sheet3_(2)3"/>
      <sheetName val="ABP_inputs3"/>
      <sheetName val="Synergy_Sales_Budget3"/>
      <sheetName val="Project_Budget_Worksheet3"/>
      <sheetName val="QoQ_Forecast3"/>
      <sheetName val="Income_Statements3"/>
      <sheetName val="Sheet3__2_3"/>
      <sheetName val="Income_&amp;_Occupancy_Customer3"/>
      <sheetName val="RCC,Ret__Wall3"/>
      <sheetName val="Calculation_(2)3"/>
      <sheetName val="Multiple_output3"/>
      <sheetName val="Builtup_Area3"/>
      <sheetName val="BOQ_T4B3"/>
      <sheetName val="INDIGINEOUS_ITEMS_3"/>
      <sheetName val="Material_3"/>
      <sheetName val="Labour_&amp;_Plant3"/>
      <sheetName val="Approved_MTD_Proj_#'s3"/>
      <sheetName val="_B33"/>
      <sheetName val="_B13"/>
      <sheetName val="beam-reinft-IIInd_floor3"/>
      <sheetName val="Aladdin_Macro13"/>
      <sheetName val="Acc_10_53"/>
      <sheetName val="Global_Assm_3"/>
      <sheetName val="MN_T_B_3"/>
      <sheetName val="CFForecast_detail3"/>
      <sheetName val="Site_Dev_BOQ3"/>
      <sheetName val="Break_up_Sheet3"/>
      <sheetName val="Load_Details-220kV3"/>
      <sheetName val="Block_A_-_BOQ3"/>
      <sheetName val="Sheet3_(2)4"/>
      <sheetName val="ABP_inputs4"/>
      <sheetName val="Synergy_Sales_Budget4"/>
      <sheetName val="Project_Budget_Worksheet4"/>
      <sheetName val="QoQ_Forecast4"/>
      <sheetName val="Income_Statements4"/>
      <sheetName val="Sheet3__2_4"/>
      <sheetName val="Income_&amp;_Occupancy_Customer4"/>
      <sheetName val="RCC,Ret__Wall4"/>
      <sheetName val="Calculation_(2)4"/>
      <sheetName val="Multiple_output4"/>
      <sheetName val="Builtup_Area4"/>
      <sheetName val="BOQ_T4B4"/>
      <sheetName val="INDIGINEOUS_ITEMS_4"/>
      <sheetName val="Material_4"/>
      <sheetName val="Labour_&amp;_Plant4"/>
      <sheetName val="Approved_MTD_Proj_#'s4"/>
      <sheetName val="_B34"/>
      <sheetName val="_B14"/>
      <sheetName val="beam-reinft-IIInd_floor4"/>
      <sheetName val="Aladdin_Macro14"/>
      <sheetName val="Acc_10_54"/>
      <sheetName val="Global_Assm_4"/>
      <sheetName val="MN_T_B_4"/>
      <sheetName val="CFForecast_detail4"/>
      <sheetName val="Site_Dev_BOQ4"/>
      <sheetName val="Break_up_Sheet4"/>
      <sheetName val="Load_Details-220kV4"/>
      <sheetName val="Block_A_-_BOQ4"/>
      <sheetName val="sept-plan"/>
      <sheetName val="classes"/>
      <sheetName val="IT Block"/>
      <sheetName val="Location CODE"/>
      <sheetName val="Location TYPE"/>
      <sheetName val="sub class"/>
      <sheetName val=" sub Loc "/>
      <sheetName val=" Acc. Sched."/>
      <sheetName val="IMPORT T12"/>
      <sheetName val="EDS  Bestshore Migration"/>
      <sheetName val="NewCo"/>
      <sheetName val="TB_FOR_MIS"/>
      <sheetName val="TB FOR MIS"/>
      <sheetName val="INPUT SHEET"/>
      <sheetName val="Summ"/>
      <sheetName val="Fossil_DCF"/>
      <sheetName val="SOPMA DD"/>
      <sheetName val="03 (2)"/>
      <sheetName val="WIng F(Typical)"/>
      <sheetName val="FlashMgtMo"/>
      <sheetName val="FlashMgtYTD"/>
      <sheetName val="International"/>
      <sheetName val="Internet"/>
      <sheetName val="ANN.K"/>
      <sheetName val="CAP"/>
      <sheetName val="YTD"/>
      <sheetName val="RES-PLANNING"/>
      <sheetName val="Cost_any"/>
      <sheetName val="10. &amp; 11. Rate Code &amp; BQ"/>
      <sheetName val="van_khuon"/>
      <sheetName val="IDC_macro"/>
      <sheetName val="Portfolio_Summary"/>
      <sheetName val="Current_Bill_MB_ref"/>
      <sheetName val="Meas_-Hotel_Part"/>
      <sheetName val="Fin_Sum"/>
      <sheetName val="PLGroupings"/>
      <sheetName val="Results"/>
      <sheetName val="form26"/>
      <sheetName val="F29B"/>
      <sheetName val=""/>
      <sheetName val="COM"/>
      <sheetName val="FSA"/>
      <sheetName val="B"/>
      <sheetName val="FF-2 (1)"/>
      <sheetName val="addl cost"/>
      <sheetName val="FF-1"/>
      <sheetName val="accumdeprn"/>
      <sheetName val="MIS - kINR"/>
      <sheetName val="Sheet3_(2)5"/>
      <sheetName val="Sheet3__2_5"/>
      <sheetName val="Calculation_(2)5"/>
      <sheetName val="Multiple_output5"/>
      <sheetName val="170810-lease_tax"/>
      <sheetName val="QoQ_Forecast5"/>
      <sheetName val="Income_Statements5"/>
      <sheetName val="Income_&amp;_Occupancy_Customer5"/>
      <sheetName val="ABP_inputs5"/>
      <sheetName val="Synergy_Sales_Budget5"/>
      <sheetName val="Project_Budget_Worksheet5"/>
      <sheetName val="INDIGINEOUS_ITEMS_5"/>
      <sheetName val="Builtup_Area5"/>
      <sheetName val="RCC,Ret__Wall5"/>
      <sheetName val="BOQ_T4B5"/>
      <sheetName val="Material_5"/>
      <sheetName val="Labour_&amp;_Plant5"/>
      <sheetName val="_B35"/>
      <sheetName val="_B15"/>
      <sheetName val="CFForecast_detail5"/>
      <sheetName val="Site_Dev_BOQ5"/>
      <sheetName val="beam-reinft-IIInd_floor5"/>
      <sheetName val="Global_Assm_5"/>
      <sheetName val="Main_Sheet_(MTD)"/>
      <sheetName val="Consl_Daily_Report"/>
      <sheetName val="balance_sheet"/>
      <sheetName val="Aladdin_Macro15"/>
      <sheetName val="Acc_10_55"/>
      <sheetName val="MIS_-_kINR"/>
      <sheetName val="Break_up_Sheet5"/>
      <sheetName val="Approved_MTD_Proj_#'s5"/>
      <sheetName val="MN_T_B_5"/>
      <sheetName val="Load_Details-220kV5"/>
      <sheetName val="Block_A_-_BOQ5"/>
      <sheetName val="CABLE_DATA"/>
      <sheetName val="1st_flr"/>
      <sheetName val="final_abstract"/>
      <sheetName val="Rate_analysis"/>
      <sheetName val="Rollup_Summary"/>
      <sheetName val="Civil_Boq"/>
      <sheetName val="M-2 Adjusted"/>
      <sheetName val="Master Price List"/>
      <sheetName val="reference"/>
      <sheetName val="new_data"/>
      <sheetName val="earnmodl"/>
      <sheetName val="Dom Cell (IS)"/>
      <sheetName val="Dep"/>
      <sheetName val="?????"/>
      <sheetName val="Budget Summary"/>
      <sheetName val="AOP13"/>
      <sheetName val="IO"/>
      <sheetName val="Assumption"/>
      <sheetName val="Customize Your Invoice"/>
      <sheetName val="PERHW"/>
      <sheetName val="Loss 3004"/>
      <sheetName val="Licences"/>
      <sheetName val="Balance Sheet "/>
      <sheetName val="Macro1"/>
      <sheetName val="Reconciliation of GL &amp; FAR"/>
      <sheetName val="Settings"/>
      <sheetName val="Rates"/>
      <sheetName val="Index"/>
      <sheetName val="HELP"/>
      <sheetName val="BS-2005"/>
      <sheetName val="MAIN_MENU"/>
      <sheetName val="exec summ"/>
      <sheetName val="Ins Erection"/>
      <sheetName val="RNT"/>
      <sheetName val="Combi"/>
      <sheetName val="EVA1"/>
      <sheetName val="Felix Street Summary"/>
      <sheetName val="Newspapers"/>
      <sheetName val="AccDil"/>
      <sheetName val="Currency"/>
      <sheetName val="OpRes"/>
      <sheetName val="master"/>
      <sheetName val="Hot"/>
      <sheetName val="Mico"/>
      <sheetName val="ITEM  STUDY (2)"/>
      <sheetName val="EXPENSES"/>
      <sheetName val="TDS Certificate-Format"/>
      <sheetName val="FA"/>
      <sheetName val="Tyre1"/>
      <sheetName val="Auto"/>
      <sheetName val="FITZ MORT 94"/>
      <sheetName val="0. Data Validation List"/>
      <sheetName val="Crest"/>
      <sheetName val="Pinnacle"/>
      <sheetName val="Zenith"/>
      <sheetName val="stacking sheet"/>
      <sheetName val="Recon"/>
      <sheetName val="TH"/>
      <sheetName val="Capital Structure"/>
      <sheetName val="GROUPING"/>
      <sheetName val="CSCCincSKR"/>
      <sheetName val="concrete"/>
      <sheetName val="Hardware"/>
      <sheetName val="Power &amp; Fuel (S)"/>
      <sheetName val="Params"/>
      <sheetName val="ras"/>
      <sheetName val="CashFlow"/>
      <sheetName val="TB"/>
      <sheetName val="Training Deposits coding"/>
      <sheetName val="97-98"/>
      <sheetName val="LBO Financials"/>
      <sheetName val="IMPORT_T12"/>
      <sheetName val="KPM_DT"/>
      <sheetName val="Task"/>
      <sheetName val="SODA02"/>
      <sheetName val="Pay_Sep06"/>
      <sheetName val="FY2001-02"/>
      <sheetName val="CARO"/>
      <sheetName val="AOR"/>
      <sheetName val="MASTER_RATE ANALYSIS"/>
      <sheetName val="Valuation - block 2"/>
      <sheetName val="Portfolio_Summary1"/>
      <sheetName val="Current_Bill_MB_ref1"/>
      <sheetName val="Meas_-Hotel_Part1"/>
      <sheetName val="Base Assumptions"/>
      <sheetName val="ES"/>
      <sheetName val="Code"/>
      <sheetName val="conc-foot-gradeslab"/>
      <sheetName val="Material List "/>
      <sheetName val="NEW-IDs Fun &amp; Group"/>
      <sheetName val="XZLC003_PART1"/>
      <sheetName val="#REF"/>
      <sheetName val="IO LIST"/>
      <sheetName val="Service Invoice"/>
      <sheetName val="vb 9&amp;10"/>
      <sheetName val="CASHFLOWS"/>
      <sheetName val="269T(final)"/>
      <sheetName val="9. Package split - Cost "/>
      <sheetName val="OpTrack"/>
      <sheetName val="drop-dwn list"/>
      <sheetName val="tngst1"/>
      <sheetName val="Boiler&amp;TG"/>
      <sheetName val="horizontal"/>
      <sheetName val="Control"/>
      <sheetName val="Rev Opt - Rollup"/>
      <sheetName val="PRECAST lightconc-II"/>
      <sheetName val="Fill this out first..."/>
      <sheetName val="cash_flow"/>
      <sheetName val="sales_value"/>
      <sheetName val="colaw_dep"/>
      <sheetName val="freight"/>
      <sheetName val="gm"/>
      <sheetName val="interest"/>
      <sheetName val="jb_cost"/>
      <sheetName val="c_flow_%"/>
      <sheetName val="consum_cost"/>
      <sheetName val="Sheet4"/>
      <sheetName val="HOUSE RENT DEPO."/>
      <sheetName val="Debtors analysis"/>
      <sheetName val="Sale Charts"/>
      <sheetName val="Expansion"/>
      <sheetName val="EXIS-COMBINED"/>
      <sheetName val="Phasing"/>
      <sheetName val="Tender Summary"/>
      <sheetName val="RA"/>
      <sheetName val="Bill 1-BOQ-Civil Works"/>
      <sheetName val="Legal Risk Analysis"/>
      <sheetName val="Data"/>
      <sheetName val="Related party - P&amp;L"/>
      <sheetName val="Contribution"/>
      <sheetName val="Rx"/>
      <sheetName val="Base data Security Procedures"/>
      <sheetName val="Cash Flow Working"/>
      <sheetName val="Schedule v1"/>
      <sheetName val="Database"/>
      <sheetName val="SCHEDULE"/>
      <sheetName val="schedule nos"/>
      <sheetName val="Lease Expiry"/>
      <sheetName val="crs"/>
      <sheetName val="BKCSTOCKVAL"/>
      <sheetName val="MAHSTOCKVAL"/>
      <sheetName val="PIMS"/>
      <sheetName val="SCH 10"/>
      <sheetName val="SAP EMP"/>
      <sheetName val="Coalmine"/>
      <sheetName val="Sheet3"/>
      <sheetName val="Goldberg Portfolio Combined"/>
      <sheetName val="A-Mum"/>
      <sheetName val="A-1"/>
      <sheetName val="Commercial Research"/>
      <sheetName val="Intaccrual"/>
      <sheetName val="SBU"/>
      <sheetName val="GenAssump"/>
      <sheetName val="Operating Statistics"/>
      <sheetName val="Master list"/>
      <sheetName val="Labour List"/>
      <sheetName val="Material List"/>
      <sheetName val="Architectural Summary"/>
      <sheetName val="Labor abs-NMR"/>
      <sheetName val="Beam at Ground flr lvl(Steel)"/>
      <sheetName val="AREAS"/>
      <sheetName val="sumary"/>
      <sheetName val="1st -vpd"/>
      <sheetName val="WT-LIST"/>
      <sheetName val="Material"/>
      <sheetName val="Sensitivity"/>
      <sheetName val="Leasing Commision"/>
      <sheetName val="Menu"/>
      <sheetName val="Variables_x"/>
      <sheetName val="FA Schedule Dec 07"/>
      <sheetName val="Checks"/>
      <sheetName val="DET0900"/>
      <sheetName val="Theatre mgmt cont"/>
      <sheetName val="Trial Balance"/>
      <sheetName val="15-21"/>
      <sheetName val="P.R. TAXES"/>
      <sheetName val="BILLING SUM"/>
      <sheetName val="apr-aug"/>
      <sheetName val="Cover"/>
      <sheetName val="Retail Mall"/>
      <sheetName val="MIS AC wise"/>
      <sheetName val="Timeline"/>
      <sheetName val="Open Items-311208"/>
      <sheetName val="Base"/>
      <sheetName val="Estimate"/>
      <sheetName val="12-ACTPL"/>
      <sheetName val="Scope"/>
      <sheetName val="Notes-pivot1 "/>
      <sheetName val="A1-Continuous"/>
      <sheetName val="pile Fabrication"/>
      <sheetName val="Improvements"/>
      <sheetName val="RA-markate"/>
      <sheetName val="Rollup"/>
      <sheetName val="Variables"/>
      <sheetName val="소상 &quot;1&quot;"/>
      <sheetName val="extra work elec bill "/>
      <sheetName val="Non-Factory"/>
      <sheetName val="Publicbuilding"/>
      <sheetName val="目录"/>
      <sheetName val="FORM7"/>
      <sheetName val="Assump"/>
      <sheetName val="A.O.R."/>
      <sheetName val="SEW4"/>
      <sheetName val="MFG"/>
      <sheetName val="MultipleSecurities"/>
      <sheetName val="exp"/>
      <sheetName val="CrRajWMM"/>
      <sheetName val="Overall Summary"/>
      <sheetName val="RCC Rates"/>
      <sheetName val="Cost summary"/>
      <sheetName val="UNP-NCW "/>
      <sheetName val="4.4 External Plaster"/>
      <sheetName val="HBI NCD"/>
      <sheetName val="CUSTOM Jun99"/>
      <sheetName val="ASSETS P&amp;M"/>
      <sheetName val="Assets Land &amp; Mise FA"/>
      <sheetName val="Basement Budget"/>
      <sheetName val="labour"/>
      <sheetName val="Night Shift"/>
      <sheetName val="EAST"/>
      <sheetName val="YOEMAGUM"/>
      <sheetName val="Gen_Ass"/>
      <sheetName val="Op_Ass"/>
      <sheetName val="Staff Costs"/>
      <sheetName val="General_Assumptions"/>
      <sheetName val="Determination of Threshold"/>
      <sheetName val="Debt"/>
      <sheetName val="Quotation"/>
      <sheetName val="RCC_Ret_ Wall"/>
      <sheetName val="Kontensalden"/>
      <sheetName val="DYN PP"/>
      <sheetName val="TXN97"/>
      <sheetName val="June Reserve - Far East"/>
      <sheetName val="Jan"/>
      <sheetName val="Inv_Data"/>
      <sheetName val="Timesheet"/>
      <sheetName val="Loads"/>
      <sheetName val="p&amp;m"/>
      <sheetName val="S &amp; A"/>
      <sheetName val="van_khuon1"/>
      <sheetName val="IDC_macro1"/>
      <sheetName val="P_&amp;_L"/>
      <sheetName val="Summary_Excise"/>
      <sheetName val="Other_BS_Sch_5-9"/>
      <sheetName val="Excess_Calc"/>
      <sheetName val="Grouping_Master"/>
      <sheetName val="March_Analysts"/>
      <sheetName val="Fin_Sum1"/>
      <sheetName val="Main_workings"/>
      <sheetName val="Balance_Sheet_"/>
      <sheetName val="IMPORT_T121"/>
      <sheetName val="KPM_DT1"/>
      <sheetName val="Dom_Cell_(IS)"/>
      <sheetName val="M-2_Adjusted"/>
      <sheetName val="Master_Price_List"/>
      <sheetName val="EXHIBIT&quot;_T&quot;"/>
      <sheetName val="TB_FOR_MIS1"/>
      <sheetName val="INPUT_SHEET"/>
      <sheetName val="_Acc__Sched_"/>
      <sheetName val="EDS__Bestshore_Migration"/>
      <sheetName val="IT_Block"/>
      <sheetName val="Location_CODE"/>
      <sheetName val="Location_TYPE"/>
      <sheetName val="sub_class"/>
      <sheetName val="_sub_Loc_"/>
      <sheetName val="Training_Deposits_coding"/>
      <sheetName val="Rev_Opt_-_Rollup"/>
      <sheetName val="MASTER_RATE_ANALYSIS"/>
      <sheetName val="Valuation_-_block_2"/>
      <sheetName val="SAP downloaded schedule"/>
      <sheetName val="Transaction"/>
      <sheetName val="notes"/>
      <sheetName val="FA(Apr 07)"/>
      <sheetName val="Reco O.S"/>
      <sheetName val="Accounts"/>
      <sheetName val="XLR_NoRangeSheet"/>
      <sheetName val="TMasterCurrency"/>
      <sheetName val="TMasterSeg"/>
      <sheetName val="BOM"/>
      <sheetName val="HRD1"/>
      <sheetName val="Taluka wise dealer (2)"/>
      <sheetName val="Standalone"/>
      <sheetName val="RATE LIST (2)"/>
      <sheetName val="Sheet3_(2)6"/>
      <sheetName val="Sheet3__2_6"/>
      <sheetName val="170810-lease_tax1"/>
      <sheetName val="Multiple_output6"/>
      <sheetName val="Calculation_(2)6"/>
      <sheetName val="QoQ_Forecast6"/>
      <sheetName val="Income_Statements6"/>
      <sheetName val="Income_&amp;_Occupancy_Customer6"/>
      <sheetName val="ABP_inputs6"/>
      <sheetName val="Synergy_Sales_Budget6"/>
      <sheetName val="Project_Budget_Worksheet6"/>
      <sheetName val="Builtup_Area6"/>
      <sheetName val="INDIGINEOUS_ITEMS_6"/>
      <sheetName val="RCC,Ret__Wall6"/>
      <sheetName val="BOQ_T4B6"/>
      <sheetName val="Main_Sheet_(MTD)1"/>
      <sheetName val="Consl_Daily_Report1"/>
      <sheetName val="balance_sheet1"/>
      <sheetName val="Global_Assm_6"/>
      <sheetName val="Aladdin_Macro16"/>
      <sheetName val="Acc_10_56"/>
      <sheetName val="Material_6"/>
      <sheetName val="Labour_&amp;_Plant6"/>
      <sheetName val="_B36"/>
      <sheetName val="_B16"/>
      <sheetName val="beam-reinft-IIInd_floor6"/>
      <sheetName val="Approved_MTD_Proj_#'s6"/>
      <sheetName val="MN_T_B_6"/>
      <sheetName val="CFForecast_detail6"/>
      <sheetName val="Site_Dev_BOQ6"/>
      <sheetName val="Break_up_Sheet6"/>
      <sheetName val="Load_Details-220kV6"/>
      <sheetName val="Block_A_-_BOQ6"/>
      <sheetName val="QoQ_In_Lakhs"/>
      <sheetName val="CABLE_DATA1"/>
      <sheetName val="1st_flr1"/>
      <sheetName val="final_abstract1"/>
      <sheetName val="Rate_analysis1"/>
      <sheetName val="Rollup_Summary1"/>
      <sheetName val="Civil_Boq1"/>
      <sheetName val="MIS_-_kINR1"/>
      <sheetName val="ANN_K"/>
      <sheetName val="SOPMA_DD"/>
      <sheetName val="03_(2)"/>
      <sheetName val="WIng_F(Typical)"/>
      <sheetName val="Power_&amp;_Fuel_(S)"/>
      <sheetName val="Budget_Summary"/>
      <sheetName val="Redelvery provision changed"/>
      <sheetName val="Misc. Master"/>
      <sheetName val="Earnings"/>
      <sheetName val="Portfolio_Summary2"/>
      <sheetName val="Current_Bill_MB_ref2"/>
      <sheetName val="Meas_-Hotel_Part2"/>
      <sheetName val="LBO_Financials"/>
      <sheetName val="Theatre_mgmt_cont"/>
      <sheetName val="Open_Items-311208"/>
      <sheetName val="Sch_BS"/>
      <sheetName val="Grp_PL"/>
      <sheetName val="Collection"/>
      <sheetName val="Stacking Plan &amp; LEP"/>
      <sheetName val="Stack Expiry"/>
      <sheetName val="Graph (LGEN)"/>
      <sheetName val="out_prog"/>
      <sheetName val="선적schedule (2)"/>
      <sheetName val="steam outlet"/>
      <sheetName val="BOQ Distribution"/>
      <sheetName val="wordsdata"/>
      <sheetName val="GM &amp; TA"/>
      <sheetName val="Control Sheet"/>
      <sheetName val="schedules"/>
      <sheetName val="Summary_Local"/>
      <sheetName val="details"/>
      <sheetName val="USB 1"/>
      <sheetName val="BQ"/>
      <sheetName val="labour rates"/>
      <sheetName val="old_serial no."/>
      <sheetName val="tot_ass_9697"/>
      <sheetName val="Budget_CF - Overall"/>
      <sheetName val="공사비 내역 (가)"/>
      <sheetName val="4K - (6a) Non Manual Breakdown"/>
      <sheetName val="3. Elemental Summary"/>
      <sheetName val="Financials"/>
      <sheetName val="L"/>
      <sheetName val="p1-costg"/>
      <sheetName val="costing"/>
      <sheetName val="August TB"/>
      <sheetName val="FCIIHyperion"/>
      <sheetName val="final 061106"/>
      <sheetName val="SAB P&amp;L"/>
      <sheetName val="cash flow"/>
      <sheetName val="Sch5TO10"/>
      <sheetName val="macroDat"/>
      <sheetName val="Molasses-FG"/>
      <sheetName val="P&amp;L"/>
      <sheetName val="Charts"/>
      <sheetName val="Infinite Studios"/>
      <sheetName val="Neuros &amp; Immunos"/>
      <sheetName val="Nucleos"/>
      <sheetName val="Legal_Risk_Analysis"/>
      <sheetName val="Architectural_Summary"/>
      <sheetName val="IO_LIST"/>
      <sheetName val="Fill_this_out_first___"/>
      <sheetName val="extra_work_elec_bill_"/>
      <sheetName val="10__&amp;_11__Rate_Code_&amp;_BQ"/>
      <sheetName val="NEW-IDs_Fun_&amp;_Group"/>
      <sheetName val="ADV-TK-HORT"/>
      <sheetName val=" "/>
      <sheetName val="Master_list"/>
      <sheetName val="Labour_List"/>
      <sheetName val="Material_List"/>
      <sheetName val="Labor_abs-NMR"/>
      <sheetName val="Beam_at_Ground_flr_lvl(Steel)"/>
      <sheetName val="1st_-vpd"/>
      <sheetName val="Material_List_"/>
      <sheetName val="schedule_nos"/>
      <sheetName val="Debtors_analysis"/>
      <sheetName val="TBAL9697 -group wise  sdpl"/>
      <sheetName val="Multipliers &amp; KRA"/>
      <sheetName val="Elec Summ"/>
      <sheetName val="ELEC BOQ"/>
      <sheetName val="TRACK BUSWAY"/>
      <sheetName val="BBT"/>
      <sheetName val="LIGHTING"/>
      <sheetName val="LMS"/>
      <sheetName val="cl 14 Annex 7 "/>
      <sheetName val="Encl 7A"/>
      <sheetName val="gl"/>
      <sheetName val="Lookups"/>
      <sheetName val="pri-com"/>
      <sheetName val="Factors"/>
      <sheetName val="NOT FULL RESTRAINT"/>
      <sheetName val="UC"/>
      <sheetName val="BEARING &amp; BUCKLING"/>
      <sheetName val="SALES"/>
      <sheetName val="Basework"/>
      <sheetName val="Monthly Inputs"/>
      <sheetName val="2000-1 Monthly Cashflows"/>
      <sheetName val="2002-2 Monthly Cashflows"/>
      <sheetName val="Micro"/>
      <sheetName val="Macro"/>
      <sheetName val="Scaff-Rose"/>
      <sheetName val="Approval"/>
      <sheetName val="wdr bldg"/>
      <sheetName val="Formated Trial Balance"/>
      <sheetName val="Parameter"/>
      <sheetName val="Cash_Flow_Working"/>
      <sheetName val="register"/>
      <sheetName val="Lease-rents"/>
      <sheetName val="Key Assumption"/>
      <sheetName val="Master Information"/>
      <sheetName val="Sources"/>
      <sheetName val="Audit"/>
      <sheetName val="Trial_Balance"/>
      <sheetName val="MIS_AC_wise"/>
      <sheetName val="Base_Assumptions"/>
      <sheetName val="FITZ_MORT_94"/>
      <sheetName val="vb_9&amp;10"/>
      <sheetName val="Goldberg_Portfolio_Combined"/>
      <sheetName val="Commercial_Research"/>
      <sheetName val="9__Package_split_-_Cost_"/>
      <sheetName val="Operating_Statistics"/>
      <sheetName val="FA_Schedule_Dec_07"/>
      <sheetName val="P_R__TAXES"/>
      <sheetName val="BILLING_SUM"/>
      <sheetName val="Leasing_Commision"/>
      <sheetName val="Service_Invoice"/>
      <sheetName val="Retail_Mall"/>
      <sheetName val="Related_party_-_P&amp;L"/>
      <sheetName val="pile_Fabrication"/>
      <sheetName val="Notes-pivot1_"/>
      <sheetName val="ASSETS_P&amp;M"/>
      <sheetName val="Assets_Land_&amp;_Mise_FA"/>
      <sheetName val="drop-dwn_list"/>
      <sheetName val="소상_&quot;1&quot;"/>
      <sheetName val="Felix_Street_Summary"/>
      <sheetName val="Overall_Summary"/>
      <sheetName val="RCC_Rates"/>
      <sheetName val="Cost_summary"/>
      <sheetName val="PRECAST_lightconc-II"/>
      <sheetName val="Tender_Summary"/>
      <sheetName val="Bill_1-BOQ-Civil_Works"/>
      <sheetName val="UNP-NCW_"/>
      <sheetName val="4_4_External_Plaster"/>
      <sheetName val="HBI_NCD"/>
      <sheetName val="CUSTOM_Jun99"/>
      <sheetName val="A_O_R_"/>
      <sheetName val="Ins_Erection"/>
      <sheetName val="Staff_Costs"/>
      <sheetName val="0__Data_Validation_List"/>
      <sheetName val="stacking_sheet"/>
      <sheetName val="Basement_Budget"/>
      <sheetName val="Night_Shift"/>
      <sheetName val="ITEM__STUDY_(2)"/>
      <sheetName val="TDS_Certificate-Format"/>
      <sheetName val="WC analytics (+data pages)"/>
      <sheetName val="I"/>
      <sheetName val="인원계획-미화"/>
      <sheetName val="dlvoid"/>
      <sheetName val="OHT_Abs"/>
      <sheetName val="1"/>
      <sheetName val="Linked Lead"/>
      <sheetName val=" COP"/>
      <sheetName val="4 Annex 1 Basic rate"/>
      <sheetName val="oresreqsum"/>
      <sheetName val="Fin. Assumpt. - Sensitivities"/>
      <sheetName val="Fin"/>
      <sheetName val="Intro"/>
      <sheetName val="hist&amp;proj"/>
      <sheetName val="STAFFSCHED "/>
      <sheetName val="Basic Rate"/>
      <sheetName val="Other notes"/>
      <sheetName val="SP Break Up"/>
      <sheetName val="Names&amp;Cases"/>
      <sheetName val="GL Master Data"/>
      <sheetName val="CPR"/>
      <sheetName val="MARCH"/>
      <sheetName val="SEP "/>
      <sheetName val="Loss_3004"/>
      <sheetName val="Reconciliation_of_GL_&amp;_FAR"/>
      <sheetName val="exec_summ"/>
      <sheetName val="HOUSE_RENT_DEPO_"/>
      <sheetName val="Customize_Your_Invoice"/>
      <sheetName val="Sale_Charts"/>
      <sheetName val="NOA Data"/>
      <sheetName val="Overheads"/>
      <sheetName val="차수"/>
      <sheetName val="1 LeadSchedule"/>
      <sheetName val="Collateral"/>
      <sheetName val="Category"/>
      <sheetName val="Trial Balance_Format"/>
      <sheetName val="GF Columns"/>
      <sheetName val="DB"/>
      <sheetName val="Base Data"/>
      <sheetName val="080 (2)"/>
      <sheetName val="F.01 - June 2005"/>
      <sheetName val="HW SW"/>
      <sheetName val="CRITERIA1"/>
      <sheetName val="PL"/>
      <sheetName val="Annexure-I"/>
      <sheetName val="EMPMAST"/>
      <sheetName val="agrolist"/>
      <sheetName val="DIVBUD99"/>
      <sheetName val="Balance Sheet_US$"/>
      <sheetName val="HONOTES"/>
      <sheetName val="Tickmarks"/>
      <sheetName val="Check Register"/>
      <sheetName val="EBITDA Bridge"/>
      <sheetName val="Detailed"/>
      <sheetName val="2003 Budget-PL-case1"/>
      <sheetName val="STATSUM"/>
      <sheetName val="TB9899"/>
      <sheetName val="Cases"/>
      <sheetName val="PROV_CONSOLIDATED"/>
      <sheetName val="HIDDEN"/>
      <sheetName val="DEP99"/>
      <sheetName val="IGAAP"/>
      <sheetName val="INI"/>
      <sheetName val="Output"/>
      <sheetName val="meeting rectification control"/>
      <sheetName val="Loan Data"/>
      <sheetName val="Challan"/>
      <sheetName val="NGS Data Sheet"/>
      <sheetName val="SGS Data Sheet"/>
      <sheetName val="Standalone seg"/>
      <sheetName val="现金流量分析表"/>
      <sheetName val="边际贡献分析表"/>
      <sheetName val="earnings model"/>
      <sheetName val="Feb_Prfl_28"/>
      <sheetName val="grp "/>
      <sheetName val="전체현황"/>
      <sheetName val="Severity"/>
      <sheetName val="Pur"/>
      <sheetName val="SCH4"/>
      <sheetName val="FixedAssets"/>
      <sheetName val="TASKRSRC (2)"/>
      <sheetName val="TARGET"/>
      <sheetName val="BASELINE"/>
      <sheetName val="Costs"/>
      <sheetName val="FIFO"/>
      <sheetName val="Links"/>
      <sheetName val="Sheet3_(2)7"/>
      <sheetName val="EXHIBIT&quot;_T&quot;1"/>
      <sheetName val="KPM_DT2"/>
      <sheetName val="Sheet3__2_7"/>
      <sheetName val="Calculation_(2)7"/>
      <sheetName val="Multiple_output7"/>
      <sheetName val="QoQ_Forecast7"/>
      <sheetName val="Income_Statements7"/>
      <sheetName val="Income_&amp;_Occupancy_Customer7"/>
      <sheetName val="ABP_inputs7"/>
      <sheetName val="Synergy_Sales_Budget7"/>
      <sheetName val="Project_Budget_Worksheet7"/>
      <sheetName val="Builtup_Area7"/>
      <sheetName val="INDIGINEOUS_ITEMS_7"/>
      <sheetName val="RCC,Ret__Wall7"/>
      <sheetName val="BOQ_T4B7"/>
      <sheetName val="170810-lease_tax2"/>
      <sheetName val="Main_Sheet_(MTD)2"/>
      <sheetName val="Consl_Daily_Report2"/>
      <sheetName val="balance_sheet2"/>
      <sheetName val="Global_Assm_7"/>
      <sheetName val="Material_7"/>
      <sheetName val="Labour_&amp;_Plant7"/>
      <sheetName val="_B37"/>
      <sheetName val="_B17"/>
      <sheetName val="beam-reinft-IIInd_floor7"/>
      <sheetName val="CFForecast_detail7"/>
      <sheetName val="Site_Dev_BOQ7"/>
      <sheetName val="Break_up_Sheet7"/>
      <sheetName val="MN_T_B_7"/>
      <sheetName val="Approved_MTD_Proj_#'s7"/>
      <sheetName val="van_khuon2"/>
      <sheetName val="IDC_macro2"/>
      <sheetName val="Aladdin_Macro17"/>
      <sheetName val="Acc_10_57"/>
      <sheetName val="HOUSE_RENT_DEPO_1"/>
      <sheetName val="Summary_Excise1"/>
      <sheetName val="Grouping_Master1"/>
      <sheetName val="Load_Details-220kV7"/>
      <sheetName val="Block_A_-_BOQ7"/>
      <sheetName val="CABLE_DATA2"/>
      <sheetName val="1st_flr2"/>
      <sheetName val="final_abstract2"/>
      <sheetName val="Rate_analysis2"/>
      <sheetName val="Rollup_Summary2"/>
      <sheetName val="Civil_Boq2"/>
      <sheetName val="MIS_-_kINR2"/>
      <sheetName val="Other_BS_Sch_5-91"/>
      <sheetName val="Excess_Calc1"/>
      <sheetName val="March_Analysts1"/>
      <sheetName val="P_&amp;_L1"/>
      <sheetName val="Fin_Sum2"/>
      <sheetName val="SOPMA_DD1"/>
      <sheetName val="03_(2)1"/>
      <sheetName val="WIng_F(Typical)1"/>
      <sheetName val="Debtors_analysis1"/>
      <sheetName val="IMPORT_T122"/>
      <sheetName val="TB_FOR_MIS2"/>
      <sheetName val="INPUT_SHEET1"/>
      <sheetName val="Master_Price_List1"/>
      <sheetName val="Main_workings1"/>
      <sheetName val="QoQ_In_Lakhs1"/>
      <sheetName val="M-2_Adjusted1"/>
      <sheetName val="ITEM__STUDY_(2)1"/>
      <sheetName val="TDS_Certificate-Format1"/>
      <sheetName val="Felix_Street_Summary1"/>
      <sheetName val="IT_Block1"/>
      <sheetName val="Location_CODE1"/>
      <sheetName val="Location_TYPE1"/>
      <sheetName val="sub_class1"/>
      <sheetName val="_sub_Loc_1"/>
      <sheetName val="_Acc__Sched_1"/>
      <sheetName val="EDS__Bestshore_Migration1"/>
      <sheetName val="ANN_K1"/>
      <sheetName val="10__&amp;_11__Rate_Code_&amp;_BQ1"/>
      <sheetName val="Dom_Cell_(IS)1"/>
      <sheetName val="Balance_Sheet_1"/>
      <sheetName val="vb_9&amp;101"/>
      <sheetName val="9__Package_split_-_Cost_1"/>
      <sheetName val="FITZ_MORT_941"/>
      <sheetName val="Fill_this_out_first___1"/>
      <sheetName val="MASTER_RATE_ANALYSIS1"/>
      <sheetName val="Valuation_-_block_21"/>
      <sheetName val="Base_Assumptions1"/>
      <sheetName val="PRECAST_lightconc-II1"/>
      <sheetName val="Budget_Summary1"/>
      <sheetName val="Loss_30041"/>
      <sheetName val="Reconciliation_of_GL_&amp;_FAR1"/>
      <sheetName val="LBO_Financials1"/>
      <sheetName val="exec_summ1"/>
      <sheetName val="Ins_Erection1"/>
      <sheetName val="drop-dwn_list1"/>
      <sheetName val="Tender_Summary1"/>
      <sheetName val="Bill_1-BOQ-Civil_Works1"/>
      <sheetName val="Customize_Your_Invoice1"/>
      <sheetName val="Sale_Charts1"/>
      <sheetName val="Redelvery_provision_changed"/>
      <sheetName val="Graph_(LGEN)"/>
      <sheetName val="선적schedule_(2)"/>
      <sheetName val="steam_outlet"/>
      <sheetName val="BOQ_Distribution"/>
      <sheetName val="GM_&amp;_TA"/>
      <sheetName val="RATE_LIST_(2)"/>
      <sheetName val="Control_Sheet"/>
      <sheetName val="SCH_10"/>
      <sheetName val="SAP_EMP"/>
      <sheetName val="USB_1"/>
      <sheetName val="Schedule_v1"/>
      <sheetName val="Base_data_Security_Procedures"/>
      <sheetName val="Key_Assumption"/>
      <sheetName val="Master_Information"/>
      <sheetName val="Capital_Structure"/>
      <sheetName val="Trial_Balance_Format"/>
      <sheetName val="NOA_Data"/>
      <sheetName val="Lease_Expiry"/>
      <sheetName val="SAP_downloaded_schedule"/>
      <sheetName val="FA(Apr_07)"/>
      <sheetName val="Reco_O_S"/>
      <sheetName val="Main"/>
      <sheetName val="GSTR-3B"/>
      <sheetName val="Account title"/>
      <sheetName val="Titel"/>
      <sheetName val="Rs in lacs"/>
      <sheetName val="800CC_FR_HOSE"/>
      <sheetName val="Esteem Rear"/>
      <sheetName val="Classification"/>
      <sheetName val="XREF"/>
      <sheetName val="Income"/>
      <sheetName val="EPS"/>
      <sheetName val="currency (2)"/>
      <sheetName val="Companies"/>
      <sheetName val="People"/>
      <sheetName val="NW RTU"/>
      <sheetName val="Clause 9"/>
      <sheetName val="Bgt_Lst"/>
      <sheetName val="Cnt_Lst"/>
      <sheetName val="MIS"/>
      <sheetName val="Cash Flow "/>
      <sheetName val="Temp"/>
      <sheetName val="Portfolio_Summary3"/>
      <sheetName val="Current_Bill_MB_ref3"/>
      <sheetName val="Meas_-Hotel_Part3"/>
      <sheetName val="ASSETS_P&amp;M1"/>
      <sheetName val="Assets_Land_&amp;_Mise_FA1"/>
      <sheetName val="IO_LIST1"/>
      <sheetName val="Material_List_1"/>
      <sheetName val="NEW-IDs_Fun_&amp;_Group1"/>
      <sheetName val="Master_list1"/>
      <sheetName val="Labour_List1"/>
      <sheetName val="Material_List1"/>
      <sheetName val="Architectural_Summary1"/>
      <sheetName val="Legal_Risk_Analysis1"/>
      <sheetName val="Labor_abs-NMR1"/>
      <sheetName val="Beam_at_Ground_flr_lvl(Steel)1"/>
      <sheetName val="1st_-vpd1"/>
      <sheetName val="Training_Deposits_coding1"/>
      <sheetName val="Rev_Opt_-_Rollup1"/>
      <sheetName val="Open_Items-3112081"/>
      <sheetName val="Trial_Balance1"/>
      <sheetName val="MIS_AC_wise1"/>
      <sheetName val="Goldberg_Portfolio_Combined1"/>
      <sheetName val="Commercial_Research1"/>
      <sheetName val="Operating_Statistics1"/>
      <sheetName val="FA_Schedule_Dec_071"/>
      <sheetName val="Theatre_mgmt_cont1"/>
      <sheetName val="P_R__TAXES1"/>
      <sheetName val="BILLING_SUM1"/>
      <sheetName val="schedule_nos1"/>
      <sheetName val="Leasing_Commision1"/>
      <sheetName val="Service_Invoice1"/>
      <sheetName val="Cash_Flow_Working1"/>
      <sheetName val="Retail_Mall1"/>
      <sheetName val="Related_party_-_P&amp;L1"/>
      <sheetName val="pile_Fabrication1"/>
      <sheetName val="Notes-pivot1_1"/>
      <sheetName val="extra_work_elec_bill_1"/>
      <sheetName val="소상_&quot;1&quot;1"/>
      <sheetName val="Overall_Summary1"/>
      <sheetName val="RCC_Rates1"/>
      <sheetName val="Cost_summary1"/>
      <sheetName val="UNP-NCW_1"/>
      <sheetName val="4_4_External_Plaster1"/>
      <sheetName val="HBI_NCD1"/>
      <sheetName val="CUSTOM_Jun991"/>
      <sheetName val="A_O_R_1"/>
      <sheetName val="0__Data_Validation_List1"/>
      <sheetName val="stacking_sheet1"/>
      <sheetName val="Basement_Budget1"/>
      <sheetName val="Night_Shift1"/>
      <sheetName val="Staff_Costs1"/>
      <sheetName val="Taluka_wise_dealer_(2)"/>
      <sheetName val="Determination_of_Threshold"/>
      <sheetName val="cl_14_Annex_7_"/>
      <sheetName val="Encl_7A"/>
      <sheetName val="RCC_Ret__Wall"/>
      <sheetName val="wdr_bldg"/>
      <sheetName val="Formated_Trial_Balance"/>
      <sheetName val="Monthly_Inputs"/>
      <sheetName val="2000-1_Monthly_Cashflows"/>
      <sheetName val="2002-2_Monthly_Cashflows"/>
      <sheetName val="S_&amp;_A"/>
      <sheetName val="_"/>
      <sheetName val="DYN_PP"/>
      <sheetName val="June_Reserve_-_Far_East"/>
      <sheetName val="Multipliers_&amp;_KRA"/>
      <sheetName val="WC_analytics_(+data_pages)"/>
      <sheetName val="final_061106"/>
      <sheetName val="SAB_P&amp;L"/>
      <sheetName val="cash_flow1"/>
      <sheetName val="3-dep"/>
      <sheetName val="PARAMETERS"/>
      <sheetName val="BM"/>
      <sheetName val="DUMP "/>
      <sheetName val="Bspl Main"/>
      <sheetName val="Configurator"/>
      <sheetName val="PriceDB"/>
      <sheetName val="BASIS -DEC 08"/>
      <sheetName val="Power_&amp;_Fuel_(S)1"/>
      <sheetName val="GF_Columns"/>
      <sheetName val="labour_rates"/>
      <sheetName val="old_serial_no_"/>
      <sheetName val="Budget_CF_-_Overall"/>
      <sheetName val="공사비_내역_(가)"/>
      <sheetName val="4K_-_(6a)_Non_Manual_Breakdown"/>
      <sheetName val="3__Elemental_Summary"/>
      <sheetName val="August_TB"/>
      <sheetName val="Misc__Master"/>
      <sheetName val="_COP"/>
      <sheetName val="Unmatched"/>
      <sheetName val="Matched"/>
      <sheetName val="인원계획"/>
      <sheetName val="Prov for exp-April'08 - June'08"/>
      <sheetName val="Provision for exp-Upto Mar'08"/>
      <sheetName val="creditors to others"/>
      <sheetName val="other amt&amp;recoveries payable"/>
      <sheetName val="other exp.charges recoverable"/>
      <sheetName val="rental deposits"/>
      <sheetName val="other deposits "/>
      <sheetName val="prepaid expenses"/>
      <sheetName val="sal.adv"/>
      <sheetName val="Total MTH"/>
      <sheetName val="PetroChina"/>
      <sheetName val="TBAL9697_-group_wise__sdpl"/>
      <sheetName val="SEP_"/>
      <sheetName val="Account_title"/>
      <sheetName val="TENSCH"/>
      <sheetName val="Sheet1 (2)"/>
      <sheetName val="COSTMAR"/>
      <sheetName val="Jun 2000"/>
      <sheetName val="Sheet2 (2)"/>
      <sheetName val="sch"/>
      <sheetName val="grid"/>
      <sheetName val="Proforma"/>
      <sheetName val="B_S"/>
      <sheetName val="HSA"/>
      <sheetName val="WGSRL"/>
      <sheetName val="ADDN0304"/>
      <sheetName val="nela"/>
      <sheetName val="XWR"/>
      <sheetName val="AR Graphs"/>
      <sheetName val="C120102"/>
      <sheetName val="entitlements"/>
      <sheetName val="EAW Final Accounts - 99"/>
      <sheetName val="Supplier"/>
      <sheetName val="COST-MTRS"/>
      <sheetName val="FLASH"/>
      <sheetName val="Annexure"/>
      <sheetName val="Schedules 3-8"/>
      <sheetName val="BHANDUP"/>
      <sheetName val="MPR_PA_1"/>
      <sheetName val="BS-203"/>
      <sheetName val="A"/>
      <sheetName val="Maping_Other"/>
      <sheetName val="Indices"/>
      <sheetName val="BOQ CIVIL"/>
      <sheetName val="Price Comparison"/>
      <sheetName val="Measurment"/>
      <sheetName val="Final Summary"/>
      <sheetName val="Figures in"/>
      <sheetName val="Mthly CFS (Kha)"/>
      <sheetName val="Bal_Gr"/>
      <sheetName val="Jul 96 Worksheet"/>
      <sheetName val="RELACION REFERENCIAS"/>
      <sheetName val="NEES"/>
      <sheetName val="7 Jan 02"/>
      <sheetName val="INQVAR PY"/>
      <sheetName val="Rates Basic"/>
      <sheetName val="G02"/>
      <sheetName val="Périodes"/>
      <sheetName val="CapStru"/>
      <sheetName val="MktCap"/>
      <sheetName val="TradingVol"/>
      <sheetName val="ANNX-C"/>
      <sheetName val="exp-m"/>
      <sheetName val="Roll-up"/>
      <sheetName val="VAR STORE_CONS"/>
      <sheetName val="Flexi"/>
      <sheetName val="Profit and Loss"/>
      <sheetName val="Deno"/>
      <sheetName val="Consolidated CF"/>
      <sheetName val="Conversion Table"/>
      <sheetName val="Key Assumptions"/>
      <sheetName val="Trading Comps"/>
      <sheetName val="LIST OF MAKES"/>
      <sheetName val="banilad"/>
      <sheetName val="Mactan"/>
      <sheetName val="Mandaue"/>
      <sheetName val="lineby line consolidation"/>
      <sheetName val="GUT (2)"/>
      <sheetName val="ACE-OUT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4"/>
      <sheetName val="Sheet3_(2)8"/>
      <sheetName val="Income_Statements8"/>
      <sheetName val="Sheet3__2_8"/>
      <sheetName val="Global_Assm_8"/>
      <sheetName val="QoQ_Forecast8"/>
      <sheetName val="Income_&amp;_Occupancy_Customer8"/>
      <sheetName val="Aladdin_Macro18"/>
      <sheetName val="Acc_10_58"/>
      <sheetName val="Portfolio_Summary4"/>
      <sheetName val="Multiple_output8"/>
      <sheetName val="ABP_inputs8"/>
      <sheetName val="Synergy_Sales_Budget8"/>
      <sheetName val="Project_Budget_Worksheet8"/>
      <sheetName val="Calculation_(2)8"/>
      <sheetName val="Builtup_Area8"/>
      <sheetName val="RCC,Ret__Wall8"/>
      <sheetName val="BOQ_T4B8"/>
      <sheetName val="INDIGINEOUS_ITEMS_8"/>
      <sheetName val="Material_8"/>
      <sheetName val="Labour_&amp;_Plant8"/>
      <sheetName val="_B38"/>
      <sheetName val="_B18"/>
      <sheetName val="beam-reinft-IIInd_floor8"/>
      <sheetName val="IMPORT_T123"/>
      <sheetName val="Current_Bill_MB_ref4"/>
      <sheetName val="Meas_-Hotel_Part4"/>
      <sheetName val="van_khuon3"/>
      <sheetName val="TB_FOR_MIS3"/>
      <sheetName val="INPUT_SHEET2"/>
      <sheetName val="Approved_MTD_Proj_#'s8"/>
      <sheetName val="MN_T_B_8"/>
      <sheetName val="CFForecast_detail8"/>
      <sheetName val="Site_Dev_BOQ8"/>
      <sheetName val="Break_up_Sheet8"/>
      <sheetName val="Load_Details-220kV8"/>
      <sheetName val="Block_A_-_BOQ8"/>
      <sheetName val="IDC_macro3"/>
      <sheetName val="March_Analysts2"/>
      <sheetName val="Rollup_Summary3"/>
      <sheetName val="170810-lease_tax3"/>
      <sheetName val="CABLE_DATA3"/>
      <sheetName val="1st_flr3"/>
      <sheetName val="Civil_Boq3"/>
      <sheetName val="KPM_DT3"/>
      <sheetName val="EXHIBIT&quot;_T&quot;2"/>
      <sheetName val="final_abstract3"/>
      <sheetName val="Rate_analysis3"/>
      <sheetName val="_Acc__Sched_2"/>
      <sheetName val="Dom_Cell_(IS)2"/>
      <sheetName val="Summary_Excise2"/>
      <sheetName val="Other_BS_Sch_5-92"/>
      <sheetName val="Excess_Calc2"/>
      <sheetName val="Grouping_Master2"/>
      <sheetName val="Fin_Sum3"/>
      <sheetName val="Main_Sheet_(MTD)3"/>
      <sheetName val="Consl_Daily_Report3"/>
      <sheetName val="balance_sheet3"/>
      <sheetName val="EDS__Bestshore_Migration2"/>
      <sheetName val="MASTER_RATE_ANALYSIS2"/>
      <sheetName val="Valuation_-_block_22"/>
      <sheetName val="IT_Block2"/>
      <sheetName val="Location_CODE2"/>
      <sheetName val="Location_TYPE2"/>
      <sheetName val="sub_class2"/>
      <sheetName val="_sub_Loc_2"/>
      <sheetName val="Master_Price_List2"/>
      <sheetName val="P_&amp;_L2"/>
      <sheetName val="M-2_Adjusted2"/>
      <sheetName val="Main_workings2"/>
      <sheetName val="Balance_Sheet_2"/>
      <sheetName val="Trial_Balance2"/>
      <sheetName val="Base_Assumptions2"/>
      <sheetName val="SOPMA_DD2"/>
      <sheetName val="03_(2)2"/>
      <sheetName val="WIng_F(Typical)2"/>
      <sheetName val="10__&amp;_11__Rate_Code_&amp;_BQ2"/>
      <sheetName val="FITZ_MORT_942"/>
      <sheetName val="QoQ_In_Lakhs2"/>
      <sheetName val="vb_9&amp;102"/>
      <sheetName val="Goldberg_Portfolio_Combined2"/>
      <sheetName val="Commercial_Research2"/>
      <sheetName val="MIS_-_kINR3"/>
      <sheetName val="9__Package_split_-_Cost_2"/>
      <sheetName val="Legal_Risk_Analysis2"/>
      <sheetName val="Operating_Statistics2"/>
      <sheetName val="Theatre_mgmt_cont2"/>
      <sheetName val="IO_LIST2"/>
      <sheetName val="Cash_Flow_Working2"/>
      <sheetName val="Training_Deposits_coding2"/>
      <sheetName val="Notes-pivot1_2"/>
      <sheetName val="Leasing_Commision2"/>
      <sheetName val="Master_list2"/>
      <sheetName val="Labour_List2"/>
      <sheetName val="Material_List2"/>
      <sheetName val="Architectural_Summary2"/>
      <sheetName val="Labor_abs-NMR2"/>
      <sheetName val="Beam_at_Ground_flr_lvl(Steel)2"/>
      <sheetName val="1st_-vpd2"/>
      <sheetName val="Material_List_2"/>
      <sheetName val="schedule_nos2"/>
      <sheetName val="Fill_this_out_first___2"/>
      <sheetName val="FA_Schedule_Dec_072"/>
      <sheetName val="P_R__TAXES2"/>
      <sheetName val="BILLING_SUM2"/>
      <sheetName val="extra_work_elec_bill_2"/>
      <sheetName val="NEW-IDs_Fun_&amp;_Group2"/>
      <sheetName val="RCC_Rates2"/>
      <sheetName val="소상_&quot;1&quot;2"/>
      <sheetName val="Cost_summary2"/>
      <sheetName val="Open_Items-3112082"/>
      <sheetName val="PRECAST_lightconc-II2"/>
      <sheetName val="Debtors_analysis2"/>
      <sheetName val="pile_Fabrication2"/>
      <sheetName val="Tender_Summary2"/>
      <sheetName val="Bill_1-BOQ-Civil_Works2"/>
      <sheetName val="UNP-NCW_2"/>
      <sheetName val="4_4_External_Plaster2"/>
      <sheetName val="MIS_AC_wise2"/>
      <sheetName val="A_O_R_2"/>
      <sheetName val="Service_Invoice2"/>
      <sheetName val="LBO_Financials2"/>
      <sheetName val="ANN_K2"/>
      <sheetName val="drop-dwn_list2"/>
      <sheetName val="Rev_Opt_-_Rollup2"/>
      <sheetName val="Night_Shift2"/>
      <sheetName val="Graph_(LGEN)1"/>
      <sheetName val="선적schedule_(2)1"/>
      <sheetName val="USB_11"/>
      <sheetName val="BOQ_Distribution1"/>
      <sheetName val="GM_&amp;_TA1"/>
      <sheetName val="steam_outlet1"/>
      <sheetName val="FA(Apr_07)1"/>
      <sheetName val="Reco_O_S1"/>
      <sheetName val="Retail_Mall2"/>
      <sheetName val="Multipliers_&amp;_KRA1"/>
      <sheetName val="ASSETS_P&amp;M2"/>
      <sheetName val="Assets_Land_&amp;_Mise_FA2"/>
      <sheetName val="cl_14_Annex_7_1"/>
      <sheetName val="Encl_7A1"/>
      <sheetName val="SCH_101"/>
      <sheetName val="SAP_EMP1"/>
      <sheetName val="RATE_LIST_(2)1"/>
      <sheetName val="Control_Sheet1"/>
      <sheetName val="ITEM__STUDY_(2)2"/>
      <sheetName val="Felix_Street_Summary2"/>
      <sheetName val="Ins_Erection2"/>
      <sheetName val="TDS_Certificate-Format2"/>
      <sheetName val="Related_party_-_P&amp;L2"/>
      <sheetName val="HBI_NCD2"/>
      <sheetName val="CUSTOM_Jun992"/>
      <sheetName val="Overall_Summary2"/>
      <sheetName val="Basement_Budget2"/>
      <sheetName val="Staff_Costs2"/>
      <sheetName val="NGS_Data_Sheet"/>
      <sheetName val="SGS_Data_Sheet"/>
      <sheetName val="0__Data_Validation_List2"/>
      <sheetName val="stacking_sheet2"/>
      <sheetName val="Determination_of_Threshold1"/>
      <sheetName val="Taluka_wise_dealer_(2)1"/>
      <sheetName val="RCC_Ret__Wall1"/>
      <sheetName val="_1"/>
      <sheetName val="SAP_downloaded_schedule1"/>
      <sheetName val="S_&amp;_A1"/>
      <sheetName val="Schedule_v11"/>
      <sheetName val="Lease_Expiry1"/>
      <sheetName val="wdr_bldg1"/>
      <sheetName val="Formated_Trial_Balance1"/>
      <sheetName val="Monthly_Inputs1"/>
      <sheetName val="2000-1_Monthly_Cashflows1"/>
      <sheetName val="2002-2_Monthly_Cashflows1"/>
      <sheetName val="DYN_PP1"/>
      <sheetName val="June_Reserve_-_Far_East1"/>
      <sheetName val="WC_analytics_(+data_pages)1"/>
      <sheetName val="Base_data_Security_Procedures1"/>
      <sheetName val="Rs_in_lacs"/>
      <sheetName val="Esteem_Rear"/>
      <sheetName val="final_0611061"/>
      <sheetName val="SAB_P&amp;L1"/>
      <sheetName val="cash_flow2"/>
      <sheetName val="Key_Assumption1"/>
      <sheetName val="Master_Information1"/>
      <sheetName val="Check_Register"/>
      <sheetName val="EBITDA_Bridge"/>
      <sheetName val="2003_Budget-PL-case1"/>
      <sheetName val="meeting_rectification_control"/>
      <sheetName val="Loan_Data"/>
      <sheetName val="Standalone_seg"/>
      <sheetName val="Cash_Flow_"/>
      <sheetName val="Elec_Summ"/>
      <sheetName val="ELEC_BOQ"/>
      <sheetName val="TRACK_BUSWAY"/>
      <sheetName val="STAFFSCHED_"/>
      <sheetName val="Basic_Rate"/>
      <sheetName val="SP_Break_Up"/>
      <sheetName val="4_Annex_1_Basic_rate"/>
      <sheetName val="Fin__Assumpt__-_Sensitivities"/>
      <sheetName val="currency_(2)"/>
      <sheetName val="NW_RTU"/>
      <sheetName val="Clause_9"/>
      <sheetName val="Other_notes"/>
      <sheetName val="Linked_Lead"/>
      <sheetName val="DUMP_"/>
      <sheetName val="Bspl_Main"/>
      <sheetName val="NEWACNO"/>
      <sheetName val="Anlysis"/>
      <sheetName val="complexall"/>
      <sheetName val="FF-2_(1)"/>
      <sheetName val="addl_cost"/>
      <sheetName val="acs"/>
      <sheetName val="DCF"/>
      <sheetName val="PFC"/>
      <sheetName val="RSJ"/>
      <sheetName val="cover page"/>
      <sheetName val="Structure Bills Qty"/>
      <sheetName val="beam-reinft"/>
      <sheetName val="Appendix B- 3.Structural Steel"/>
      <sheetName val="Appendix A- 1.Variation"/>
      <sheetName val="Contracts Status"/>
      <sheetName val="Cost Status-1"/>
      <sheetName val="Centaurus Contract Sum "/>
      <sheetName val="Payment Status"/>
      <sheetName val="1. Report"/>
      <sheetName val="CANDY BOQ"/>
      <sheetName val="FitOutConfCentre"/>
      <sheetName val="CAUSTIC"/>
      <sheetName val="Reporting VA"/>
      <sheetName val="Standing Data"/>
      <sheetName val="cost sheet-1999-00"/>
      <sheetName val="Tables"/>
      <sheetName val="1996-97"/>
      <sheetName val="Manufacturing Statistics"/>
      <sheetName val="curlocal"/>
      <sheetName val="Manualformat"/>
      <sheetName val="MenuData"/>
      <sheetName val="1072"/>
      <sheetName val="인사현황(부서)"/>
      <sheetName val="mltc"/>
      <sheetName val="Dollar_Value"/>
      <sheetName val="ECR.ECNOI Slide"/>
      <sheetName val="nishanth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Pivot_Weighted_SC_edit"/>
      <sheetName val="lookup"/>
      <sheetName val="BOQ "/>
      <sheetName val="PX1DATA"/>
      <sheetName val="PX2DATA"/>
      <sheetName val="Misc__Master1"/>
      <sheetName val="Capital_Structure1"/>
      <sheetName val="Redelvery_provision_changed1"/>
      <sheetName val="SEP_1"/>
      <sheetName val="TBAL9697_-group_wise__sdpl1"/>
      <sheetName val="TASKRSRC_(2)"/>
      <sheetName val="Account_title1"/>
      <sheetName val="INQVAR_PY"/>
      <sheetName val="Schedules_3-8"/>
      <sheetName val="Total_MTH"/>
      <sheetName val="Infinite_Studios"/>
      <sheetName val="Neuros_&amp;_Immunos"/>
      <sheetName val="Jun_2000"/>
      <sheetName val="Sheet2_(2)"/>
      <sheetName val="Leg 1-1"/>
      <sheetName val="Door &amp; Window"/>
      <sheetName val="Sheet5"/>
      <sheetName val="Labour productivity"/>
      <sheetName val="Field Values"/>
      <sheetName val="Old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Form 6"/>
      <sheetName val="COLUMN"/>
      <sheetName val="except wiring"/>
      <sheetName val="loadcal"/>
      <sheetName val="WXY"/>
      <sheetName val="경비공통"/>
      <sheetName val="SUPPLY -Sanitary Fixtures"/>
      <sheetName val="External"/>
      <sheetName val="ITEMS FOR CIVIL TENDER"/>
      <sheetName val="Budget_Summary2"/>
      <sheetName val="Loss_30042"/>
      <sheetName val="Reconciliation_of_GL_&amp;_FAR2"/>
      <sheetName val="exec_summ2"/>
      <sheetName val="Customize_Your_Invoice2"/>
      <sheetName val="Sale_Charts2"/>
      <sheetName val="Trial_Balance_Format1"/>
      <sheetName val="NOA_Data1"/>
      <sheetName val="BASIS_-DEC_08"/>
      <sheetName val="HOUSE_RENT_DEPO_2"/>
      <sheetName val="grp_"/>
      <sheetName val="Base_Data"/>
      <sheetName val="080_(2)"/>
      <sheetName val="F_01_-_June_2005"/>
      <sheetName val="HW_SW"/>
      <sheetName val="earnings_model"/>
      <sheetName val="Balance_Sheet_US$"/>
      <sheetName val="Resue Hoist"/>
      <sheetName val="P&amp;L and CFlow"/>
      <sheetName val="Detail"/>
      <sheetName val="Power &amp; Fuel(SMS)"/>
      <sheetName val="IncidentsEAP"/>
      <sheetName val="TR-PBT-Final-Detail"/>
      <sheetName val="1612.01AN(7) - Niep Tds Summary"/>
      <sheetName val="Last Month Report"/>
      <sheetName val="QTY. PROV.LAB"/>
      <sheetName val="List"/>
      <sheetName val="s8"/>
      <sheetName val="s7"/>
      <sheetName val="s9"/>
      <sheetName val="RESOIL-DELETE!!!!!"/>
      <sheetName val="beam-reinft-machine rm"/>
      <sheetName val="15"/>
      <sheetName val="PVAs"/>
      <sheetName val="Assm"/>
      <sheetName val="NOV95"/>
      <sheetName val="Acquisition Assumptions"/>
      <sheetName val="Local Data"/>
      <sheetName val="REPV2002"/>
      <sheetName val="RELACION_REFERENCIAS"/>
      <sheetName val="GL_Master_Data"/>
      <sheetName val="MERGER"/>
      <sheetName val="Fin Chrgs"/>
      <sheetName val="S&amp;R"/>
      <sheetName val="감가상각"/>
      <sheetName val="Cash bal"/>
      <sheetName val="Input Screen"/>
      <sheetName val="Lease Analysis"/>
    </sheetNames>
    <sheetDataSet>
      <sheetData sheetId="0" refreshError="1">
        <row r="65">
          <cell r="A65" t="str">
            <v>(II)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65">
          <cell r="A65" t="str">
            <v>(II)</v>
          </cell>
        </row>
      </sheetData>
      <sheetData sheetId="74">
        <row r="65">
          <cell r="A65" t="str">
            <v>(II)</v>
          </cell>
        </row>
      </sheetData>
      <sheetData sheetId="75">
        <row r="65">
          <cell r="A65" t="str">
            <v>(II)</v>
          </cell>
        </row>
      </sheetData>
      <sheetData sheetId="76">
        <row r="65">
          <cell r="A65" t="str">
            <v>(II)</v>
          </cell>
        </row>
      </sheetData>
      <sheetData sheetId="77">
        <row r="65">
          <cell r="A65" t="str">
            <v>(II)</v>
          </cell>
        </row>
      </sheetData>
      <sheetData sheetId="78">
        <row r="65">
          <cell r="A65" t="str">
            <v>(II)</v>
          </cell>
        </row>
      </sheetData>
      <sheetData sheetId="79">
        <row r="65">
          <cell r="A65" t="str">
            <v>(II)</v>
          </cell>
        </row>
      </sheetData>
      <sheetData sheetId="80">
        <row r="65">
          <cell r="A65" t="str">
            <v>(II)</v>
          </cell>
        </row>
      </sheetData>
      <sheetData sheetId="81">
        <row r="65">
          <cell r="A65" t="str">
            <v>(II)</v>
          </cell>
        </row>
      </sheetData>
      <sheetData sheetId="82">
        <row r="65">
          <cell r="A65" t="str">
            <v>(II)</v>
          </cell>
        </row>
      </sheetData>
      <sheetData sheetId="83">
        <row r="65">
          <cell r="A65" t="str">
            <v>(II)</v>
          </cell>
        </row>
      </sheetData>
      <sheetData sheetId="84">
        <row r="65">
          <cell r="A65" t="str">
            <v>(II)</v>
          </cell>
        </row>
      </sheetData>
      <sheetData sheetId="85">
        <row r="65">
          <cell r="A65" t="str">
            <v>(II)</v>
          </cell>
        </row>
      </sheetData>
      <sheetData sheetId="86">
        <row r="65">
          <cell r="A65" t="str">
            <v>(II)</v>
          </cell>
        </row>
      </sheetData>
      <sheetData sheetId="87">
        <row r="65">
          <cell r="A65" t="str">
            <v>(II)</v>
          </cell>
        </row>
      </sheetData>
      <sheetData sheetId="88">
        <row r="65">
          <cell r="A65" t="str">
            <v>(II)</v>
          </cell>
        </row>
      </sheetData>
      <sheetData sheetId="89">
        <row r="65">
          <cell r="A65" t="str">
            <v>(II)</v>
          </cell>
        </row>
      </sheetData>
      <sheetData sheetId="90">
        <row r="65">
          <cell r="A65" t="str">
            <v>(II)</v>
          </cell>
        </row>
      </sheetData>
      <sheetData sheetId="91">
        <row r="65">
          <cell r="A65" t="str">
            <v>(II)</v>
          </cell>
        </row>
      </sheetData>
      <sheetData sheetId="92">
        <row r="65">
          <cell r="A65" t="str">
            <v>(II)</v>
          </cell>
        </row>
      </sheetData>
      <sheetData sheetId="93">
        <row r="65">
          <cell r="A65" t="str">
            <v>(II)</v>
          </cell>
        </row>
      </sheetData>
      <sheetData sheetId="94">
        <row r="65">
          <cell r="A65" t="str">
            <v>(II)</v>
          </cell>
        </row>
      </sheetData>
      <sheetData sheetId="95">
        <row r="65">
          <cell r="A65" t="str">
            <v>(II)</v>
          </cell>
        </row>
      </sheetData>
      <sheetData sheetId="96">
        <row r="65">
          <cell r="A65" t="str">
            <v>(II)</v>
          </cell>
        </row>
      </sheetData>
      <sheetData sheetId="97">
        <row r="65">
          <cell r="A65" t="str">
            <v>(II)</v>
          </cell>
        </row>
      </sheetData>
      <sheetData sheetId="98">
        <row r="65">
          <cell r="A65" t="str">
            <v>(II)</v>
          </cell>
        </row>
      </sheetData>
      <sheetData sheetId="99">
        <row r="65">
          <cell r="A65" t="str">
            <v>(II)</v>
          </cell>
        </row>
      </sheetData>
      <sheetData sheetId="100">
        <row r="65">
          <cell r="A65" t="str">
            <v>(II)</v>
          </cell>
        </row>
      </sheetData>
      <sheetData sheetId="101">
        <row r="65">
          <cell r="A65" t="str">
            <v>(II)</v>
          </cell>
        </row>
      </sheetData>
      <sheetData sheetId="102">
        <row r="65">
          <cell r="A65" t="str">
            <v>(II)</v>
          </cell>
        </row>
      </sheetData>
      <sheetData sheetId="103">
        <row r="65">
          <cell r="A65" t="str">
            <v>(II)</v>
          </cell>
        </row>
      </sheetData>
      <sheetData sheetId="104">
        <row r="65">
          <cell r="A65" t="str">
            <v>(II)</v>
          </cell>
        </row>
      </sheetData>
      <sheetData sheetId="105">
        <row r="65">
          <cell r="A65" t="str">
            <v>(II)</v>
          </cell>
        </row>
      </sheetData>
      <sheetData sheetId="106">
        <row r="65">
          <cell r="A65" t="str">
            <v>(II)</v>
          </cell>
        </row>
      </sheetData>
      <sheetData sheetId="107">
        <row r="65">
          <cell r="A65" t="str">
            <v>(II)</v>
          </cell>
        </row>
      </sheetData>
      <sheetData sheetId="108">
        <row r="65">
          <cell r="A65" t="str">
            <v>(II)</v>
          </cell>
        </row>
      </sheetData>
      <sheetData sheetId="109">
        <row r="65">
          <cell r="A65" t="str">
            <v>(II)</v>
          </cell>
        </row>
      </sheetData>
      <sheetData sheetId="110">
        <row r="65">
          <cell r="A65" t="str">
            <v>(II)</v>
          </cell>
        </row>
      </sheetData>
      <sheetData sheetId="111">
        <row r="65">
          <cell r="A65" t="str">
            <v>(II)</v>
          </cell>
        </row>
      </sheetData>
      <sheetData sheetId="112">
        <row r="65">
          <cell r="A65" t="str">
            <v>(II)</v>
          </cell>
        </row>
      </sheetData>
      <sheetData sheetId="113">
        <row r="65">
          <cell r="A65" t="str">
            <v>(II)</v>
          </cell>
        </row>
      </sheetData>
      <sheetData sheetId="114">
        <row r="65">
          <cell r="A65" t="str">
            <v>(II)</v>
          </cell>
        </row>
      </sheetData>
      <sheetData sheetId="115">
        <row r="65">
          <cell r="A65" t="str">
            <v>(II)</v>
          </cell>
        </row>
      </sheetData>
      <sheetData sheetId="116">
        <row r="65">
          <cell r="A65" t="str">
            <v>(II)</v>
          </cell>
        </row>
      </sheetData>
      <sheetData sheetId="117">
        <row r="65">
          <cell r="A65" t="str">
            <v>(II)</v>
          </cell>
        </row>
      </sheetData>
      <sheetData sheetId="118">
        <row r="65">
          <cell r="A65" t="str">
            <v>(II)</v>
          </cell>
        </row>
      </sheetData>
      <sheetData sheetId="119">
        <row r="65">
          <cell r="A65" t="str">
            <v>(II)</v>
          </cell>
        </row>
      </sheetData>
      <sheetData sheetId="120">
        <row r="65">
          <cell r="A65" t="str">
            <v>(II)</v>
          </cell>
        </row>
      </sheetData>
      <sheetData sheetId="121">
        <row r="65">
          <cell r="A65" t="str">
            <v>(II)</v>
          </cell>
        </row>
      </sheetData>
      <sheetData sheetId="122">
        <row r="65">
          <cell r="A65" t="str">
            <v>(II)</v>
          </cell>
        </row>
      </sheetData>
      <sheetData sheetId="123">
        <row r="65">
          <cell r="A65" t="str">
            <v>(II)</v>
          </cell>
        </row>
      </sheetData>
      <sheetData sheetId="124">
        <row r="65">
          <cell r="A65" t="str">
            <v>(II)</v>
          </cell>
        </row>
      </sheetData>
      <sheetData sheetId="125">
        <row r="65">
          <cell r="A65" t="str">
            <v>(II)</v>
          </cell>
        </row>
      </sheetData>
      <sheetData sheetId="126">
        <row r="65">
          <cell r="A65" t="str">
            <v>(II)</v>
          </cell>
        </row>
      </sheetData>
      <sheetData sheetId="127">
        <row r="65">
          <cell r="A65" t="str">
            <v>(II)</v>
          </cell>
        </row>
      </sheetData>
      <sheetData sheetId="128">
        <row r="65">
          <cell r="A65" t="str">
            <v>(II)</v>
          </cell>
        </row>
      </sheetData>
      <sheetData sheetId="129">
        <row r="65">
          <cell r="A65" t="str">
            <v>(II)</v>
          </cell>
        </row>
      </sheetData>
      <sheetData sheetId="130">
        <row r="65">
          <cell r="A65" t="str">
            <v>(II)</v>
          </cell>
        </row>
      </sheetData>
      <sheetData sheetId="131">
        <row r="65">
          <cell r="A65" t="str">
            <v>(II)</v>
          </cell>
        </row>
      </sheetData>
      <sheetData sheetId="132">
        <row r="65">
          <cell r="A65" t="str">
            <v>(II)</v>
          </cell>
        </row>
      </sheetData>
      <sheetData sheetId="133">
        <row r="65">
          <cell r="A65" t="str">
            <v>(II)</v>
          </cell>
        </row>
      </sheetData>
      <sheetData sheetId="134">
        <row r="65">
          <cell r="A65" t="str">
            <v>(II)</v>
          </cell>
        </row>
      </sheetData>
      <sheetData sheetId="135">
        <row r="65">
          <cell r="A65" t="str">
            <v>(II)</v>
          </cell>
        </row>
      </sheetData>
      <sheetData sheetId="136">
        <row r="65">
          <cell r="A65" t="str">
            <v>(II)</v>
          </cell>
        </row>
      </sheetData>
      <sheetData sheetId="137">
        <row r="65">
          <cell r="A65" t="str">
            <v>(II)</v>
          </cell>
        </row>
      </sheetData>
      <sheetData sheetId="138">
        <row r="65">
          <cell r="A65" t="str">
            <v>(II)</v>
          </cell>
        </row>
      </sheetData>
      <sheetData sheetId="139">
        <row r="65">
          <cell r="A65" t="str">
            <v>(II)</v>
          </cell>
        </row>
      </sheetData>
      <sheetData sheetId="140">
        <row r="65">
          <cell r="A65" t="str">
            <v>(II)</v>
          </cell>
        </row>
      </sheetData>
      <sheetData sheetId="141">
        <row r="65">
          <cell r="A65" t="str">
            <v>(II)</v>
          </cell>
        </row>
      </sheetData>
      <sheetData sheetId="142">
        <row r="65">
          <cell r="A65" t="str">
            <v>(II)</v>
          </cell>
        </row>
      </sheetData>
      <sheetData sheetId="143">
        <row r="65">
          <cell r="A65" t="str">
            <v>(II)</v>
          </cell>
        </row>
      </sheetData>
      <sheetData sheetId="144">
        <row r="65">
          <cell r="A65" t="str">
            <v>(II)</v>
          </cell>
        </row>
      </sheetData>
      <sheetData sheetId="145">
        <row r="65">
          <cell r="A65" t="str">
            <v>(II)</v>
          </cell>
        </row>
      </sheetData>
      <sheetData sheetId="146">
        <row r="65">
          <cell r="A65" t="str">
            <v>(II)</v>
          </cell>
        </row>
      </sheetData>
      <sheetData sheetId="147">
        <row r="65">
          <cell r="A65" t="str">
            <v>(II)</v>
          </cell>
        </row>
      </sheetData>
      <sheetData sheetId="148">
        <row r="65">
          <cell r="A65" t="str">
            <v>(II)</v>
          </cell>
        </row>
      </sheetData>
      <sheetData sheetId="149">
        <row r="65">
          <cell r="A65" t="str">
            <v>(II)</v>
          </cell>
        </row>
      </sheetData>
      <sheetData sheetId="150">
        <row r="65">
          <cell r="A65" t="str">
            <v>(II)</v>
          </cell>
        </row>
      </sheetData>
      <sheetData sheetId="151">
        <row r="65">
          <cell r="A65" t="str">
            <v>(II)</v>
          </cell>
        </row>
      </sheetData>
      <sheetData sheetId="152">
        <row r="65">
          <cell r="A65" t="str">
            <v>(II)</v>
          </cell>
        </row>
      </sheetData>
      <sheetData sheetId="153">
        <row r="65">
          <cell r="A65" t="str">
            <v>(II)</v>
          </cell>
        </row>
      </sheetData>
      <sheetData sheetId="154">
        <row r="65">
          <cell r="A65" t="str">
            <v>(II)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>
        <row r="65">
          <cell r="A65" t="str">
            <v>(II)</v>
          </cell>
        </row>
      </sheetData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>
        <row r="65">
          <cell r="A65" t="str">
            <v>(II)</v>
          </cell>
        </row>
      </sheetData>
      <sheetData sheetId="319">
        <row r="65">
          <cell r="A65" t="str">
            <v>(II)</v>
          </cell>
        </row>
      </sheetData>
      <sheetData sheetId="320">
        <row r="65">
          <cell r="A65" t="str">
            <v>(II)</v>
          </cell>
        </row>
      </sheetData>
      <sheetData sheetId="321">
        <row r="65">
          <cell r="A65" t="str">
            <v>(II)</v>
          </cell>
        </row>
      </sheetData>
      <sheetData sheetId="322">
        <row r="65">
          <cell r="A65" t="str">
            <v>(II)</v>
          </cell>
        </row>
      </sheetData>
      <sheetData sheetId="323">
        <row r="65">
          <cell r="A65" t="str">
            <v>(II)</v>
          </cell>
        </row>
      </sheetData>
      <sheetData sheetId="324">
        <row r="65">
          <cell r="A65" t="str">
            <v>(II)</v>
          </cell>
        </row>
      </sheetData>
      <sheetData sheetId="325">
        <row r="65">
          <cell r="A65" t="str">
            <v>(II)</v>
          </cell>
        </row>
      </sheetData>
      <sheetData sheetId="326">
        <row r="65">
          <cell r="A65" t="str">
            <v>(II)</v>
          </cell>
        </row>
      </sheetData>
      <sheetData sheetId="327">
        <row r="65">
          <cell r="A65" t="str">
            <v>(II)</v>
          </cell>
        </row>
      </sheetData>
      <sheetData sheetId="328">
        <row r="65">
          <cell r="A65" t="str">
            <v>(II)</v>
          </cell>
        </row>
      </sheetData>
      <sheetData sheetId="329">
        <row r="65">
          <cell r="A65" t="str">
            <v>(II)</v>
          </cell>
        </row>
      </sheetData>
      <sheetData sheetId="330">
        <row r="65">
          <cell r="A65" t="str">
            <v>(II)</v>
          </cell>
        </row>
      </sheetData>
      <sheetData sheetId="331">
        <row r="65">
          <cell r="A65" t="str">
            <v>(II)</v>
          </cell>
        </row>
      </sheetData>
      <sheetData sheetId="332">
        <row r="65">
          <cell r="A65" t="str">
            <v>(II)</v>
          </cell>
        </row>
      </sheetData>
      <sheetData sheetId="333">
        <row r="65">
          <cell r="A65" t="str">
            <v>(II)</v>
          </cell>
        </row>
      </sheetData>
      <sheetData sheetId="334">
        <row r="65">
          <cell r="A65" t="str">
            <v>(II)</v>
          </cell>
        </row>
      </sheetData>
      <sheetData sheetId="335">
        <row r="65">
          <cell r="A65" t="str">
            <v>(II)</v>
          </cell>
        </row>
      </sheetData>
      <sheetData sheetId="336">
        <row r="65">
          <cell r="A65" t="str">
            <v>(II)</v>
          </cell>
        </row>
      </sheetData>
      <sheetData sheetId="337">
        <row r="65">
          <cell r="A65" t="str">
            <v>(II)</v>
          </cell>
        </row>
      </sheetData>
      <sheetData sheetId="338">
        <row r="65">
          <cell r="A65" t="str">
            <v>(II)</v>
          </cell>
        </row>
      </sheetData>
      <sheetData sheetId="339">
        <row r="65">
          <cell r="A65" t="str">
            <v>(II)</v>
          </cell>
        </row>
      </sheetData>
      <sheetData sheetId="340">
        <row r="65">
          <cell r="A65" t="str">
            <v>(II)</v>
          </cell>
        </row>
      </sheetData>
      <sheetData sheetId="341">
        <row r="65">
          <cell r="A65" t="str">
            <v>(II)</v>
          </cell>
        </row>
      </sheetData>
      <sheetData sheetId="342">
        <row r="65">
          <cell r="A65" t="str">
            <v>(II)</v>
          </cell>
        </row>
      </sheetData>
      <sheetData sheetId="343">
        <row r="65">
          <cell r="A65" t="str">
            <v>(II)</v>
          </cell>
        </row>
      </sheetData>
      <sheetData sheetId="344">
        <row r="65">
          <cell r="A65" t="str">
            <v>(II)</v>
          </cell>
        </row>
      </sheetData>
      <sheetData sheetId="345">
        <row r="65">
          <cell r="A65" t="str">
            <v>(II)</v>
          </cell>
        </row>
      </sheetData>
      <sheetData sheetId="346">
        <row r="65">
          <cell r="A65" t="str">
            <v>(II)</v>
          </cell>
        </row>
      </sheetData>
      <sheetData sheetId="347">
        <row r="65">
          <cell r="A65" t="str">
            <v>(II)</v>
          </cell>
        </row>
      </sheetData>
      <sheetData sheetId="348">
        <row r="65">
          <cell r="A65" t="str">
            <v>(II)</v>
          </cell>
        </row>
      </sheetData>
      <sheetData sheetId="349">
        <row r="65">
          <cell r="A65" t="str">
            <v>(II)</v>
          </cell>
        </row>
      </sheetData>
      <sheetData sheetId="350">
        <row r="65">
          <cell r="A65" t="str">
            <v>(II)</v>
          </cell>
        </row>
      </sheetData>
      <sheetData sheetId="351">
        <row r="65">
          <cell r="A65" t="str">
            <v>(II)</v>
          </cell>
        </row>
      </sheetData>
      <sheetData sheetId="352">
        <row r="65">
          <cell r="A65" t="str">
            <v>(II)</v>
          </cell>
        </row>
      </sheetData>
      <sheetData sheetId="353">
        <row r="65">
          <cell r="A65" t="str">
            <v>(II)</v>
          </cell>
        </row>
      </sheetData>
      <sheetData sheetId="354">
        <row r="65">
          <cell r="A65" t="str">
            <v>(II)</v>
          </cell>
        </row>
      </sheetData>
      <sheetData sheetId="355">
        <row r="65">
          <cell r="A65" t="str">
            <v>(II)</v>
          </cell>
        </row>
      </sheetData>
      <sheetData sheetId="356">
        <row r="65">
          <cell r="A65" t="str">
            <v>(II)</v>
          </cell>
        </row>
      </sheetData>
      <sheetData sheetId="357">
        <row r="65">
          <cell r="A65" t="str">
            <v>(II)</v>
          </cell>
        </row>
      </sheetData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>
        <row r="65">
          <cell r="A65" t="str">
            <v>(II)</v>
          </cell>
        </row>
      </sheetData>
      <sheetData sheetId="404">
        <row r="65">
          <cell r="A65" t="str">
            <v>(II)</v>
          </cell>
        </row>
      </sheetData>
      <sheetData sheetId="405">
        <row r="65">
          <cell r="A65" t="str">
            <v>(II)</v>
          </cell>
        </row>
      </sheetData>
      <sheetData sheetId="406">
        <row r="65">
          <cell r="A65" t="str">
            <v>(II)</v>
          </cell>
        </row>
      </sheetData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>
        <row r="65">
          <cell r="A65" t="str">
            <v>(II)</v>
          </cell>
        </row>
      </sheetData>
      <sheetData sheetId="434">
        <row r="65">
          <cell r="A65" t="str">
            <v>(II)</v>
          </cell>
        </row>
      </sheetData>
      <sheetData sheetId="435">
        <row r="65">
          <cell r="A65" t="str">
            <v>(II)</v>
          </cell>
        </row>
      </sheetData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5">
          <cell r="A65" t="str">
            <v>(II)</v>
          </cell>
        </row>
      </sheetData>
      <sheetData sheetId="592">
        <row r="65">
          <cell r="A65" t="str">
            <v>(II)</v>
          </cell>
        </row>
      </sheetData>
      <sheetData sheetId="593">
        <row r="65">
          <cell r="A65" t="str">
            <v>(II)</v>
          </cell>
        </row>
      </sheetData>
      <sheetData sheetId="594">
        <row r="65">
          <cell r="A65" t="str">
            <v>(II)</v>
          </cell>
        </row>
      </sheetData>
      <sheetData sheetId="595">
        <row r="65">
          <cell r="A65" t="str">
            <v>(II)</v>
          </cell>
        </row>
      </sheetData>
      <sheetData sheetId="596">
        <row r="65">
          <cell r="A65" t="str">
            <v>(II)</v>
          </cell>
        </row>
      </sheetData>
      <sheetData sheetId="597">
        <row r="65">
          <cell r="A65" t="str">
            <v>(II)</v>
          </cell>
        </row>
      </sheetData>
      <sheetData sheetId="598">
        <row r="65">
          <cell r="A65" t="str">
            <v>(II)</v>
          </cell>
        </row>
      </sheetData>
      <sheetData sheetId="599">
        <row r="65">
          <cell r="A65" t="str">
            <v>(II)</v>
          </cell>
        </row>
      </sheetData>
      <sheetData sheetId="600">
        <row r="65">
          <cell r="A65" t="str">
            <v>(II)</v>
          </cell>
        </row>
      </sheetData>
      <sheetData sheetId="601">
        <row r="65">
          <cell r="A65" t="str">
            <v>(II)</v>
          </cell>
        </row>
      </sheetData>
      <sheetData sheetId="602">
        <row r="65">
          <cell r="A65" t="str">
            <v>(II)</v>
          </cell>
        </row>
      </sheetData>
      <sheetData sheetId="603">
        <row r="65">
          <cell r="A65" t="str">
            <v>(II)</v>
          </cell>
        </row>
      </sheetData>
      <sheetData sheetId="604">
        <row r="65">
          <cell r="A65" t="str">
            <v>(II)</v>
          </cell>
        </row>
      </sheetData>
      <sheetData sheetId="605">
        <row r="65">
          <cell r="A65" t="str">
            <v>(II)</v>
          </cell>
        </row>
      </sheetData>
      <sheetData sheetId="606">
        <row r="65">
          <cell r="A65" t="str">
            <v>(II)</v>
          </cell>
        </row>
      </sheetData>
      <sheetData sheetId="607">
        <row r="65">
          <cell r="A65" t="str">
            <v>(II)</v>
          </cell>
        </row>
      </sheetData>
      <sheetData sheetId="608">
        <row r="65">
          <cell r="A65" t="str">
            <v>(II)</v>
          </cell>
        </row>
      </sheetData>
      <sheetData sheetId="609">
        <row r="65">
          <cell r="A65" t="str">
            <v>(II)</v>
          </cell>
        </row>
      </sheetData>
      <sheetData sheetId="610">
        <row r="65">
          <cell r="A65" t="str">
            <v>(II)</v>
          </cell>
        </row>
      </sheetData>
      <sheetData sheetId="611">
        <row r="65">
          <cell r="A65" t="str">
            <v>(II)</v>
          </cell>
        </row>
      </sheetData>
      <sheetData sheetId="612">
        <row r="65">
          <cell r="A65" t="str">
            <v>(II)</v>
          </cell>
        </row>
      </sheetData>
      <sheetData sheetId="613">
        <row r="65">
          <cell r="A65" t="str">
            <v>(II)</v>
          </cell>
        </row>
      </sheetData>
      <sheetData sheetId="614">
        <row r="65">
          <cell r="A65" t="str">
            <v>(II)</v>
          </cell>
        </row>
      </sheetData>
      <sheetData sheetId="615">
        <row r="65">
          <cell r="A65" t="str">
            <v>(II)</v>
          </cell>
        </row>
      </sheetData>
      <sheetData sheetId="616">
        <row r="65">
          <cell r="A65" t="str">
            <v>(II)</v>
          </cell>
        </row>
      </sheetData>
      <sheetData sheetId="617">
        <row r="65">
          <cell r="A65" t="str">
            <v>(II)</v>
          </cell>
        </row>
      </sheetData>
      <sheetData sheetId="618">
        <row r="65">
          <cell r="A65" t="str">
            <v>(II)</v>
          </cell>
        </row>
      </sheetData>
      <sheetData sheetId="619">
        <row r="65">
          <cell r="A65" t="str">
            <v>(II)</v>
          </cell>
        </row>
      </sheetData>
      <sheetData sheetId="620">
        <row r="65">
          <cell r="A65" t="str">
            <v>(II)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>
        <row r="65">
          <cell r="A65" t="str">
            <v>(II)</v>
          </cell>
        </row>
      </sheetData>
      <sheetData sheetId="636">
        <row r="65">
          <cell r="A65" t="str">
            <v>(II)</v>
          </cell>
        </row>
      </sheetData>
      <sheetData sheetId="637">
        <row r="65">
          <cell r="A65" t="str">
            <v>(II)</v>
          </cell>
        </row>
      </sheetData>
      <sheetData sheetId="638">
        <row r="65">
          <cell r="A65" t="str">
            <v>(II)</v>
          </cell>
        </row>
      </sheetData>
      <sheetData sheetId="639">
        <row r="65">
          <cell r="A65" t="str">
            <v>(II)</v>
          </cell>
        </row>
      </sheetData>
      <sheetData sheetId="640">
        <row r="65">
          <cell r="A65" t="str">
            <v>(II)</v>
          </cell>
        </row>
      </sheetData>
      <sheetData sheetId="641">
        <row r="65">
          <cell r="A65" t="str">
            <v>(II)</v>
          </cell>
        </row>
      </sheetData>
      <sheetData sheetId="642">
        <row r="65">
          <cell r="A65" t="str">
            <v>(II)</v>
          </cell>
        </row>
      </sheetData>
      <sheetData sheetId="643">
        <row r="65">
          <cell r="A65" t="str">
            <v>(II)</v>
          </cell>
        </row>
      </sheetData>
      <sheetData sheetId="644">
        <row r="65">
          <cell r="A65" t="str">
            <v>(II)</v>
          </cell>
        </row>
      </sheetData>
      <sheetData sheetId="645">
        <row r="65">
          <cell r="A65" t="str">
            <v>(II)</v>
          </cell>
        </row>
      </sheetData>
      <sheetData sheetId="646">
        <row r="65">
          <cell r="A65" t="str">
            <v>(II)</v>
          </cell>
        </row>
      </sheetData>
      <sheetData sheetId="647">
        <row r="65">
          <cell r="A65" t="str">
            <v>(II)</v>
          </cell>
        </row>
      </sheetData>
      <sheetData sheetId="648">
        <row r="65">
          <cell r="A65" t="str">
            <v>(II)</v>
          </cell>
        </row>
      </sheetData>
      <sheetData sheetId="649">
        <row r="65">
          <cell r="A65" t="str">
            <v>(II)</v>
          </cell>
        </row>
      </sheetData>
      <sheetData sheetId="650">
        <row r="65">
          <cell r="A65" t="str">
            <v>(II)</v>
          </cell>
        </row>
      </sheetData>
      <sheetData sheetId="651">
        <row r="65">
          <cell r="A65" t="str">
            <v>(II)</v>
          </cell>
        </row>
      </sheetData>
      <sheetData sheetId="652">
        <row r="65">
          <cell r="A65" t="str">
            <v>(II)</v>
          </cell>
        </row>
      </sheetData>
      <sheetData sheetId="653">
        <row r="65">
          <cell r="A65" t="str">
            <v>(II)</v>
          </cell>
        </row>
      </sheetData>
      <sheetData sheetId="654">
        <row r="65">
          <cell r="A65" t="str">
            <v>(II)</v>
          </cell>
        </row>
      </sheetData>
      <sheetData sheetId="655">
        <row r="65">
          <cell r="A65" t="str">
            <v>(II)</v>
          </cell>
        </row>
      </sheetData>
      <sheetData sheetId="656">
        <row r="65">
          <cell r="A65" t="str">
            <v>(II)</v>
          </cell>
        </row>
      </sheetData>
      <sheetData sheetId="657">
        <row r="65">
          <cell r="A65" t="str">
            <v>(II)</v>
          </cell>
        </row>
      </sheetData>
      <sheetData sheetId="658">
        <row r="65">
          <cell r="A65" t="str">
            <v>(II)</v>
          </cell>
        </row>
      </sheetData>
      <sheetData sheetId="659">
        <row r="65">
          <cell r="A65" t="str">
            <v>(II)</v>
          </cell>
        </row>
      </sheetData>
      <sheetData sheetId="660">
        <row r="65">
          <cell r="A65" t="str">
            <v>(II)</v>
          </cell>
        </row>
      </sheetData>
      <sheetData sheetId="661">
        <row r="65">
          <cell r="A65" t="str">
            <v>(II)</v>
          </cell>
        </row>
      </sheetData>
      <sheetData sheetId="662">
        <row r="65">
          <cell r="A65" t="str">
            <v>(II)</v>
          </cell>
        </row>
      </sheetData>
      <sheetData sheetId="663">
        <row r="65">
          <cell r="A65" t="str">
            <v>(II)</v>
          </cell>
        </row>
      </sheetData>
      <sheetData sheetId="664">
        <row r="65">
          <cell r="A65" t="str">
            <v>(II)</v>
          </cell>
        </row>
      </sheetData>
      <sheetData sheetId="665">
        <row r="65">
          <cell r="A65" t="str">
            <v>(II)</v>
          </cell>
        </row>
      </sheetData>
      <sheetData sheetId="666">
        <row r="65">
          <cell r="A65" t="str">
            <v>(II)</v>
          </cell>
        </row>
      </sheetData>
      <sheetData sheetId="667">
        <row r="65">
          <cell r="A65" t="str">
            <v>(II)</v>
          </cell>
        </row>
      </sheetData>
      <sheetData sheetId="668"/>
      <sheetData sheetId="669">
        <row r="65">
          <cell r="A65" t="str">
            <v>(II)</v>
          </cell>
        </row>
      </sheetData>
      <sheetData sheetId="670">
        <row r="65">
          <cell r="A65" t="str">
            <v>(II)</v>
          </cell>
        </row>
      </sheetData>
      <sheetData sheetId="671">
        <row r="65">
          <cell r="A65" t="str">
            <v>(II)</v>
          </cell>
        </row>
      </sheetData>
      <sheetData sheetId="672">
        <row r="65">
          <cell r="A65" t="str">
            <v>(II)</v>
          </cell>
        </row>
      </sheetData>
      <sheetData sheetId="673">
        <row r="65">
          <cell r="A65" t="str">
            <v>(II)</v>
          </cell>
        </row>
      </sheetData>
      <sheetData sheetId="674">
        <row r="65">
          <cell r="A65" t="str">
            <v>(II)</v>
          </cell>
        </row>
      </sheetData>
      <sheetData sheetId="675">
        <row r="65">
          <cell r="A65" t="str">
            <v>(II)</v>
          </cell>
        </row>
      </sheetData>
      <sheetData sheetId="676">
        <row r="65">
          <cell r="A65" t="str">
            <v>(II)</v>
          </cell>
        </row>
      </sheetData>
      <sheetData sheetId="677">
        <row r="65">
          <cell r="A65" t="str">
            <v>(II)</v>
          </cell>
        </row>
      </sheetData>
      <sheetData sheetId="678">
        <row r="65">
          <cell r="A65" t="str">
            <v>(II)</v>
          </cell>
        </row>
      </sheetData>
      <sheetData sheetId="679">
        <row r="65">
          <cell r="A65" t="str">
            <v>(II)</v>
          </cell>
        </row>
      </sheetData>
      <sheetData sheetId="680"/>
      <sheetData sheetId="681"/>
      <sheetData sheetId="682" refreshError="1"/>
      <sheetData sheetId="683" refreshError="1"/>
      <sheetData sheetId="684" refreshError="1"/>
      <sheetData sheetId="685">
        <row r="65">
          <cell r="A65" t="str">
            <v>(II)</v>
          </cell>
        </row>
      </sheetData>
      <sheetData sheetId="686">
        <row r="65">
          <cell r="A65" t="str">
            <v>(II)</v>
          </cell>
        </row>
      </sheetData>
      <sheetData sheetId="687">
        <row r="65">
          <cell r="A65" t="str">
            <v>(II)</v>
          </cell>
        </row>
      </sheetData>
      <sheetData sheetId="688"/>
      <sheetData sheetId="689"/>
      <sheetData sheetId="690">
        <row r="65">
          <cell r="A65" t="str">
            <v>(II)</v>
          </cell>
        </row>
      </sheetData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/>
      <sheetData sheetId="731"/>
      <sheetData sheetId="732">
        <row r="65">
          <cell r="A65" t="str">
            <v>(II)</v>
          </cell>
        </row>
      </sheetData>
      <sheetData sheetId="733">
        <row r="65">
          <cell r="A65" t="str">
            <v>(II)</v>
          </cell>
        </row>
      </sheetData>
      <sheetData sheetId="734">
        <row r="65">
          <cell r="A65" t="str">
            <v>(II)</v>
          </cell>
        </row>
      </sheetData>
      <sheetData sheetId="735">
        <row r="65">
          <cell r="A65" t="str">
            <v>(II)</v>
          </cell>
        </row>
      </sheetData>
      <sheetData sheetId="736">
        <row r="65">
          <cell r="A65" t="str">
            <v>(II)</v>
          </cell>
        </row>
      </sheetData>
      <sheetData sheetId="737">
        <row r="65">
          <cell r="A65" t="str">
            <v>(II)</v>
          </cell>
        </row>
      </sheetData>
      <sheetData sheetId="738">
        <row r="65">
          <cell r="A65" t="str">
            <v>(II)</v>
          </cell>
        </row>
      </sheetData>
      <sheetData sheetId="739">
        <row r="65">
          <cell r="A65" t="str">
            <v>(II)</v>
          </cell>
        </row>
      </sheetData>
      <sheetData sheetId="740"/>
      <sheetData sheetId="741" refreshError="1"/>
      <sheetData sheetId="742">
        <row r="65">
          <cell r="A65" t="str">
            <v>(II)</v>
          </cell>
        </row>
      </sheetData>
      <sheetData sheetId="743">
        <row r="65">
          <cell r="A65" t="str">
            <v>(II)</v>
          </cell>
        </row>
      </sheetData>
      <sheetData sheetId="744">
        <row r="65">
          <cell r="A65" t="str">
            <v>(II)</v>
          </cell>
        </row>
      </sheetData>
      <sheetData sheetId="745">
        <row r="65">
          <cell r="A65" t="str">
            <v>(II)</v>
          </cell>
        </row>
      </sheetData>
      <sheetData sheetId="746">
        <row r="65">
          <cell r="A65" t="str">
            <v>(II)</v>
          </cell>
        </row>
      </sheetData>
      <sheetData sheetId="747">
        <row r="65">
          <cell r="A65" t="str">
            <v>(II)</v>
          </cell>
        </row>
      </sheetData>
      <sheetData sheetId="748">
        <row r="65">
          <cell r="A65" t="str">
            <v>(II)</v>
          </cell>
        </row>
      </sheetData>
      <sheetData sheetId="749">
        <row r="65">
          <cell r="A65" t="str">
            <v>(II)</v>
          </cell>
        </row>
      </sheetData>
      <sheetData sheetId="750">
        <row r="65">
          <cell r="A65" t="str">
            <v>(II)</v>
          </cell>
        </row>
      </sheetData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>
        <row r="65">
          <cell r="A65" t="str">
            <v>(II)</v>
          </cell>
        </row>
      </sheetData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>
        <row r="65">
          <cell r="A65" t="str">
            <v>(II)</v>
          </cell>
        </row>
      </sheetData>
      <sheetData sheetId="788">
        <row r="65">
          <cell r="A65" t="str">
            <v>(II)</v>
          </cell>
        </row>
      </sheetData>
      <sheetData sheetId="789">
        <row r="65">
          <cell r="A65" t="str">
            <v>(II)</v>
          </cell>
        </row>
      </sheetData>
      <sheetData sheetId="790">
        <row r="65">
          <cell r="A65" t="str">
            <v>(II)</v>
          </cell>
        </row>
      </sheetData>
      <sheetData sheetId="791"/>
      <sheetData sheetId="792"/>
      <sheetData sheetId="793">
        <row r="65">
          <cell r="A65" t="str">
            <v>(II)</v>
          </cell>
        </row>
      </sheetData>
      <sheetData sheetId="794"/>
      <sheetData sheetId="795"/>
      <sheetData sheetId="796"/>
      <sheetData sheetId="797">
        <row r="65">
          <cell r="A65" t="str">
            <v>(II)</v>
          </cell>
        </row>
      </sheetData>
      <sheetData sheetId="798">
        <row r="65">
          <cell r="A65" t="str">
            <v>(II)</v>
          </cell>
        </row>
      </sheetData>
      <sheetData sheetId="799">
        <row r="65">
          <cell r="A65" t="str">
            <v>(II)</v>
          </cell>
        </row>
      </sheetData>
      <sheetData sheetId="800">
        <row r="65">
          <cell r="A65" t="str">
            <v>(II)</v>
          </cell>
        </row>
      </sheetData>
      <sheetData sheetId="801"/>
      <sheetData sheetId="802">
        <row r="65">
          <cell r="A65" t="str">
            <v>(II)</v>
          </cell>
        </row>
      </sheetData>
      <sheetData sheetId="803"/>
      <sheetData sheetId="804">
        <row r="65">
          <cell r="A65" t="str">
            <v>(II)</v>
          </cell>
        </row>
      </sheetData>
      <sheetData sheetId="805">
        <row r="65">
          <cell r="A65" t="str">
            <v>(II)</v>
          </cell>
        </row>
      </sheetData>
      <sheetData sheetId="806">
        <row r="65">
          <cell r="A65" t="str">
            <v>(II)</v>
          </cell>
        </row>
      </sheetData>
      <sheetData sheetId="807">
        <row r="65">
          <cell r="A65" t="str">
            <v>(II)</v>
          </cell>
        </row>
      </sheetData>
      <sheetData sheetId="808">
        <row r="65">
          <cell r="A65" t="str">
            <v>(II)</v>
          </cell>
        </row>
      </sheetData>
      <sheetData sheetId="809"/>
      <sheetData sheetId="810">
        <row r="65">
          <cell r="A65" t="str">
            <v>(II)</v>
          </cell>
        </row>
      </sheetData>
      <sheetData sheetId="811">
        <row r="65">
          <cell r="A65" t="str">
            <v>(II)</v>
          </cell>
        </row>
      </sheetData>
      <sheetData sheetId="812">
        <row r="65">
          <cell r="A65" t="str">
            <v>(II)</v>
          </cell>
        </row>
      </sheetData>
      <sheetData sheetId="813">
        <row r="65">
          <cell r="A65" t="str">
            <v>(II)</v>
          </cell>
        </row>
      </sheetData>
      <sheetData sheetId="814">
        <row r="65">
          <cell r="A65" t="str">
            <v>(II)</v>
          </cell>
        </row>
      </sheetData>
      <sheetData sheetId="815">
        <row r="65">
          <cell r="A65" t="str">
            <v>(II)</v>
          </cell>
        </row>
      </sheetData>
      <sheetData sheetId="816"/>
      <sheetData sheetId="817">
        <row r="65">
          <cell r="A65" t="str">
            <v>(II)</v>
          </cell>
        </row>
      </sheetData>
      <sheetData sheetId="818">
        <row r="65">
          <cell r="A65" t="str">
            <v>(II)</v>
          </cell>
        </row>
      </sheetData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/>
      <sheetData sheetId="855"/>
      <sheetData sheetId="856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>
        <row r="65">
          <cell r="A65" t="str">
            <v>(II)</v>
          </cell>
        </row>
      </sheetData>
      <sheetData sheetId="908">
        <row r="65">
          <cell r="A65" t="str">
            <v>(II)</v>
          </cell>
        </row>
      </sheetData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>
        <row r="65">
          <cell r="A65" t="str">
            <v>(II)</v>
          </cell>
        </row>
      </sheetData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/>
      <sheetData sheetId="1159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>
        <row r="65">
          <cell r="A65" t="str">
            <v>(II)</v>
          </cell>
        </row>
      </sheetData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>
        <row r="65">
          <cell r="A65" t="str">
            <v>(II)</v>
          </cell>
        </row>
      </sheetData>
      <sheetData sheetId="1285"/>
      <sheetData sheetId="1286"/>
      <sheetData sheetId="1287"/>
      <sheetData sheetId="1288">
        <row r="65">
          <cell r="A65" t="str">
            <v>(II)</v>
          </cell>
        </row>
      </sheetData>
      <sheetData sheetId="1289">
        <row r="65">
          <cell r="A65" t="str">
            <v>(II)</v>
          </cell>
        </row>
      </sheetData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>
        <row r="65">
          <cell r="A65" t="str">
            <v>(II)</v>
          </cell>
        </row>
      </sheetData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>
        <row r="65">
          <cell r="A65" t="str">
            <v>(II)</v>
          </cell>
        </row>
      </sheetData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 refreshError="1"/>
      <sheetData sheetId="1465" refreshError="1"/>
      <sheetData sheetId="1466" refreshError="1"/>
      <sheetData sheetId="1467"/>
      <sheetData sheetId="1468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공사개요"/>
      <sheetName val="공사원가계산서(vat포함)"/>
      <sheetName val="실행예산서"/>
      <sheetName val=" 원가계산도형"/>
      <sheetName val="입찰견적보고서 (2)"/>
      <sheetName val="원가계산서"/>
      <sheetName val="입찰견적보고서"/>
      <sheetName val="내역서"/>
      <sheetName val="견적조건"/>
      <sheetName val="현장관리비 (2)"/>
      <sheetName val="현장관리비"/>
      <sheetName val="조직표"/>
      <sheetName val="인원"/>
      <sheetName val="현장조직도"/>
      <sheetName val="동별비교"/>
      <sheetName val="창호공사"/>
      <sheetName val="견적의뢰 "/>
      <sheetName val="견적업체"/>
      <sheetName val="하도급사항"/>
      <sheetName val="FAX양식 "/>
      <sheetName val="사내공문"/>
      <sheetName val="사내공문 (2)"/>
      <sheetName val="질의공문]"/>
      <sheetName val="제출공문"/>
      <sheetName val="도형"/>
      <sheetName val="견적명단"/>
      <sheetName val="표지(제본)"/>
      <sheetName val="LABEL"/>
      <sheetName val="표지(견적서) "/>
      <sheetName val="공사비집계표"/>
      <sheetName val="간지"/>
      <sheetName val="H중량표"/>
      <sheetName val="시멘트"/>
      <sheetName val="모래"/>
      <sheetName val="시멘모래"/>
      <sheetName val="점수계산1-2"/>
      <sheetName val="상가지급현황"/>
      <sheetName val="노임이"/>
      <sheetName val="일위대가(계측기설치)"/>
      <sheetName val="하수실행"/>
      <sheetName val="수지"/>
      <sheetName val="노무비"/>
      <sheetName val="982월원안"/>
      <sheetName val="수입"/>
      <sheetName val="_원가계산도형"/>
      <sheetName val="입찰견적보고서_(2)"/>
      <sheetName val="현장관리비_(2)"/>
      <sheetName val="견적의뢰_"/>
      <sheetName val="FAX양식_"/>
      <sheetName val="사내공문_(2)"/>
      <sheetName val="표지(견적서)_"/>
      <sheetName val="실행내역"/>
      <sheetName val="45,46"/>
      <sheetName val="손익"/>
      <sheetName val="위치조서"/>
      <sheetName val="전신환매도율"/>
      <sheetName val="별표 "/>
      <sheetName val="공통가설"/>
      <sheetName val="SG"/>
      <sheetName val="차선도색현황"/>
      <sheetName val="전체"/>
      <sheetName val="갑지1"/>
      <sheetName val="갑지"/>
      <sheetName val="입출재고현황 (2)"/>
      <sheetName val="A"/>
      <sheetName val="입찰"/>
      <sheetName val="현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Control"/>
      <sheetName val="TOC"/>
      <sheetName val="Report"/>
      <sheetName val="Xaxis"/>
      <sheetName val="A"/>
      <sheetName val="B"/>
      <sheetName val="N"/>
      <sheetName val="H"/>
      <sheetName val="U"/>
      <sheetName val="V"/>
      <sheetName val="C"/>
      <sheetName val="D"/>
      <sheetName val="E"/>
      <sheetName val="F"/>
      <sheetName val="G"/>
      <sheetName val="K"/>
      <sheetName val="L"/>
      <sheetName val="M"/>
      <sheetName val="O"/>
      <sheetName val="P"/>
      <sheetName val="Q"/>
      <sheetName val="R"/>
      <sheetName val="S"/>
      <sheetName val="T"/>
      <sheetName val="W"/>
      <sheetName val="X"/>
      <sheetName val="Cost of Capital"/>
      <sheetName val="2004CJ"/>
      <sheetName val="Sensitivity"/>
      <sheetName val="인원계획-미화"/>
      <sheetName val="PLD"/>
      <sheetName val="Rent Roll"/>
      <sheetName val="Budget 2010 &amp; 2011 budget  "/>
      <sheetName val="#REF"/>
      <sheetName val="Closing S&amp;U"/>
      <sheetName val="Roll-up"/>
      <sheetName val="Revenue Assumptions"/>
      <sheetName val="Main Assumptions"/>
      <sheetName val="Initial Input Variable"/>
      <sheetName val="시산표"/>
      <sheetName val="A-General"/>
      <sheetName val="12 Mois"/>
      <sheetName val="수정시산표"/>
      <sheetName val="Id"/>
      <sheetName val="Intro2"/>
      <sheetName val="etc"/>
      <sheetName val="HA行"/>
      <sheetName val="KA行"/>
      <sheetName val="MA行"/>
      <sheetName val="NA行"/>
      <sheetName val="RA行"/>
      <sheetName val="SA行"/>
      <sheetName val="TA行"/>
      <sheetName val="WA行"/>
      <sheetName val="YA行"/>
      <sheetName val="Eco Cap"/>
      <sheetName val="Sheet1"/>
      <sheetName val="37含み経"/>
      <sheetName val="ITD Use Only"/>
      <sheetName val="Data1"/>
      <sheetName val="Sheet5"/>
      <sheetName val="Japan"/>
      <sheetName val="Data"/>
      <sheetName val="Equity"/>
      <sheetName val="JV_Assets"/>
      <sheetName val="IPO Assumptions"/>
      <sheetName val="US Employees"/>
      <sheetName val="Leasing Management"/>
      <sheetName val="#REF!"/>
      <sheetName val="ANALY"/>
      <sheetName val="rates of 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재고조사1"/>
      <sheetName val="재고조사자"/>
      <sheetName val="타처보관"/>
      <sheetName val="하기휴가변경"/>
      <sheetName val="Sheet1"/>
      <sheetName val="T_No"/>
      <sheetName val="RPMF"/>
      <sheetName val="FGMD"/>
      <sheetName val="FGMD (2)"/>
      <sheetName val="FGMD (3)"/>
      <sheetName val="INFG1198"/>
      <sheetName val="INFG1198 (2)"/>
      <sheetName val="INMD1198"/>
      <sheetName val="INMD1198 (2)"/>
      <sheetName val="key"/>
      <sheetName val="RMPM"/>
      <sheetName val="RMPM (2)"/>
      <sheetName val="RMPM (3)"/>
      <sheetName val="RMPM (4)"/>
      <sheetName val="INRM1198"/>
      <sheetName val="INRM1198 (2)"/>
      <sheetName val="INPM1198"/>
      <sheetName val="INPM1198 (2)"/>
      <sheetName val="Sheet3 (2)"/>
      <sheetName val="Sheet2"/>
      <sheetName val="Sheet3"/>
      <sheetName val="재고조사99"/>
      <sheetName val="Result"/>
      <sheetName val="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0">
          <cell r="AX10" t="str">
            <v>/re~~</v>
          </cell>
        </row>
        <row r="30">
          <cell r="B30">
            <v>101503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Sheet3 (2)"/>
      <sheetName val="Sheet3 _2_"/>
      <sheetName val="BBEuros"/>
      <sheetName val="DEPRE"/>
      <sheetName val="InvoiceList"/>
      <sheetName val="Income &amp; Occupancy Customer"/>
      <sheetName val="노무비"/>
      <sheetName val="Summary"/>
      <sheetName val="Set"/>
      <sheetName val="Income Statements"/>
      <sheetName val="QoQ Forecast"/>
      <sheetName val="유통망계획"/>
      <sheetName val="CV"/>
      <sheetName val="ES(Kor)"/>
      <sheetName val="Calculation (2)"/>
      <sheetName val="JCF"/>
      <sheetName val="Multiple output"/>
      <sheetName val="sheet6"/>
      <sheetName val="ABP inputs"/>
      <sheetName val="Synergy Sales Budget"/>
      <sheetName val="Project Budget Worksheet"/>
      <sheetName val="analysis"/>
      <sheetName val="Builtup Area"/>
      <sheetName val="Headings"/>
      <sheetName val="RCC,Ret. Wall"/>
      <sheetName val="BOQ T4B"/>
      <sheetName val="Aladdin Macro1"/>
      <sheetName val="BalSht"/>
      <sheetName val="Acc_10.5"/>
      <sheetName val="Global Assm."/>
      <sheetName val="F1a-Pile"/>
      <sheetName val="INDIGINEOUS ITEMS "/>
      <sheetName val="fco"/>
      <sheetName val="Formulas"/>
      <sheetName val="TIll_Q_sal"/>
      <sheetName val="tiller"/>
      <sheetName val="Material "/>
      <sheetName val="Labour &amp; Plant"/>
      <sheetName val="Lead"/>
      <sheetName val="Main-Material"/>
      <sheetName val="Sheet1"/>
      <sheetName val="GBW"/>
      <sheetName val="Design"/>
      <sheetName val="BOQ"/>
      <sheetName val=" B3"/>
      <sheetName val=" B1"/>
      <sheetName val="beam-reinft-IIInd floor"/>
      <sheetName val="Sheet2"/>
      <sheetName val="Portfolio Summary"/>
      <sheetName val="Depreciation"/>
      <sheetName val="CapitalOutlay"/>
      <sheetName val="Assum"/>
      <sheetName val="Approved MTD Proj #'s"/>
      <sheetName val="Sheet3_(2)"/>
      <sheetName val="Sheet3__2_"/>
      <sheetName val="MN T.B."/>
      <sheetName val="CFForecast detail"/>
      <sheetName val="Site Dev BOQ"/>
      <sheetName val="Break up Sheet"/>
      <sheetName val="Load Details-220kV"/>
      <sheetName val="Block A - BOQ"/>
      <sheetName val="Assumptions"/>
      <sheetName val="EBITDA"/>
      <sheetName val="Income_Statements"/>
      <sheetName val="QoQ_Forecast"/>
      <sheetName val="IMPORT T12"/>
      <sheetName val="NewCo"/>
      <sheetName val="Acc_10_5"/>
      <sheetName val="Aladdin_Macro1"/>
      <sheetName val="TB_FOR_MIS"/>
      <sheetName val="Area"/>
      <sheetName val="TB FOR MIS"/>
      <sheetName val="INPUT SHEET"/>
      <sheetName val="Current Bill MB ref"/>
      <sheetName val="Meas.-Hotel Part"/>
      <sheetName val="strand"/>
      <sheetName val="Rollup Summary"/>
      <sheetName val="Vind-BtB"/>
      <sheetName val="ABP_inputs"/>
      <sheetName val="Synergy_Sales_Budget"/>
      <sheetName val="Project_Budget_Worksheet"/>
      <sheetName val="Income_&amp;_Occupancy_Customer"/>
      <sheetName val="RCC,Ret__Wall"/>
      <sheetName val="Calculation_(2)"/>
      <sheetName val="Multiple_output"/>
      <sheetName val="Builtup_Area"/>
      <sheetName val="BOQ_T4B"/>
      <sheetName val="INDIGINEOUS_ITEMS_"/>
      <sheetName val="Material_"/>
      <sheetName val="Labour_&amp;_Plant"/>
      <sheetName val="Approved_MTD_Proj_#'s"/>
      <sheetName val="_B3"/>
      <sheetName val="_B1"/>
      <sheetName val="beam-reinft-IIInd_floor"/>
      <sheetName val="Global_Assm_"/>
      <sheetName val="MN_T_B_"/>
      <sheetName val="CFForecast_detail"/>
      <sheetName val="Site_Dev_BOQ"/>
      <sheetName val="Break_up_Sheet"/>
      <sheetName val="Load_Details-220kV"/>
      <sheetName val="Block_A_-_BOQ"/>
      <sheetName val="Sheet3_(2)1"/>
      <sheetName val="ABP_inputs1"/>
      <sheetName val="Synergy_Sales_Budget1"/>
      <sheetName val="Project_Budget_Worksheet1"/>
      <sheetName val="QoQ_Forecast1"/>
      <sheetName val="Income_Statements1"/>
      <sheetName val="Sheet3__2_1"/>
      <sheetName val="Income_&amp;_Occupancy_Customer1"/>
      <sheetName val="RCC,Ret__Wall1"/>
      <sheetName val="Calculation_(2)1"/>
      <sheetName val="Multiple_output1"/>
      <sheetName val="Builtup_Area1"/>
      <sheetName val="BOQ_T4B1"/>
      <sheetName val="INDIGINEOUS_ITEMS_1"/>
      <sheetName val="Material_1"/>
      <sheetName val="Labour_&amp;_Plant1"/>
      <sheetName val="Approved_MTD_Proj_#'s1"/>
      <sheetName val="_B31"/>
      <sheetName val="_B11"/>
      <sheetName val="beam-reinft-IIInd_floor1"/>
      <sheetName val="Aladdin_Macro11"/>
      <sheetName val="Acc_10_51"/>
      <sheetName val="Global_Assm_1"/>
      <sheetName val="MN_T_B_1"/>
      <sheetName val="CFForecast_detail1"/>
      <sheetName val="Site_Dev_BOQ1"/>
      <sheetName val="Break_up_Sheet1"/>
      <sheetName val="Load_Details-220kV1"/>
      <sheetName val="Block_A_-_BOQ1"/>
      <sheetName val="Sheet3_(2)2"/>
      <sheetName val="ABP_inputs2"/>
      <sheetName val="Synergy_Sales_Budget2"/>
      <sheetName val="Project_Budget_Worksheet2"/>
      <sheetName val="QoQ_Forecast2"/>
      <sheetName val="Income_Statements2"/>
      <sheetName val="Sheet3__2_2"/>
      <sheetName val="Income_&amp;_Occupancy_Customer2"/>
      <sheetName val="RCC,Ret__Wall2"/>
      <sheetName val="Calculation_(2)2"/>
      <sheetName val="Multiple_output2"/>
      <sheetName val="Builtup_Area2"/>
      <sheetName val="BOQ_T4B2"/>
      <sheetName val="INDIGINEOUS_ITEMS_2"/>
      <sheetName val="Material_2"/>
      <sheetName val="Labour_&amp;_Plant2"/>
      <sheetName val="Approved_MTD_Proj_#'s2"/>
      <sheetName val="_B32"/>
      <sheetName val="_B12"/>
      <sheetName val="beam-reinft-IIInd_floor2"/>
      <sheetName val="Aladdin_Macro12"/>
      <sheetName val="Acc_10_52"/>
      <sheetName val="Global_Assm_2"/>
      <sheetName val="MN_T_B_2"/>
      <sheetName val="CFForecast_detail2"/>
      <sheetName val="Site_Dev_BOQ2"/>
      <sheetName val="Break_up_Sheet2"/>
      <sheetName val="Load_Details-220kV2"/>
      <sheetName val="Block_A_-_BOQ2"/>
      <sheetName val="Occ"/>
      <sheetName val="Demand"/>
      <sheetName val="Inputs"/>
      <sheetName val="Ref"/>
      <sheetName val="Sheet3_(2)3"/>
      <sheetName val="ABP_inputs3"/>
      <sheetName val="Synergy_Sales_Budget3"/>
      <sheetName val="Project_Budget_Worksheet3"/>
      <sheetName val="QoQ_Forecast3"/>
      <sheetName val="Income_Statements3"/>
      <sheetName val="Sheet3__2_3"/>
      <sheetName val="Income_&amp;_Occupancy_Customer3"/>
      <sheetName val="RCC,Ret__Wall3"/>
      <sheetName val="Calculation_(2)3"/>
      <sheetName val="Multiple_output3"/>
      <sheetName val="Builtup_Area3"/>
      <sheetName val="BOQ_T4B3"/>
      <sheetName val="INDIGINEOUS_ITEMS_3"/>
      <sheetName val="Material_3"/>
      <sheetName val="Labour_&amp;_Plant3"/>
      <sheetName val="Approved_MTD_Proj_#'s3"/>
      <sheetName val="_B33"/>
      <sheetName val="_B13"/>
      <sheetName val="beam-reinft-IIInd_floor3"/>
      <sheetName val="Aladdin_Macro13"/>
      <sheetName val="Acc_10_53"/>
      <sheetName val="Global_Assm_3"/>
      <sheetName val="MN_T_B_3"/>
      <sheetName val="CFForecast_detail3"/>
      <sheetName val="Site_Dev_BOQ3"/>
      <sheetName val="Break_up_Sheet3"/>
      <sheetName val="Load_Details-220kV3"/>
      <sheetName val="Block_A_-_BOQ3"/>
      <sheetName val="Sheet3_(2)4"/>
      <sheetName val="ABP_inputs4"/>
      <sheetName val="Synergy_Sales_Budget4"/>
      <sheetName val="Project_Budget_Worksheet4"/>
      <sheetName val="QoQ_Forecast4"/>
      <sheetName val="Income_Statements4"/>
      <sheetName val="Sheet3__2_4"/>
      <sheetName val="Income_&amp;_Occupancy_Customer4"/>
      <sheetName val="RCC,Ret__Wall4"/>
      <sheetName val="Calculation_(2)4"/>
      <sheetName val="Multiple_output4"/>
      <sheetName val="Builtup_Area4"/>
      <sheetName val="BOQ_T4B4"/>
      <sheetName val="INDIGINEOUS_ITEMS_4"/>
      <sheetName val="Material_4"/>
      <sheetName val="Labour_&amp;_Plant4"/>
      <sheetName val="Approved_MTD_Proj_#'s4"/>
      <sheetName val="_B34"/>
      <sheetName val="_B14"/>
      <sheetName val="beam-reinft-IIInd_floor4"/>
      <sheetName val="Aladdin_Macro14"/>
      <sheetName val="Acc_10_54"/>
      <sheetName val="Global_Assm_4"/>
      <sheetName val="MN_T_B_4"/>
      <sheetName val="CFForecast_detail4"/>
      <sheetName val="Site_Dev_BOQ4"/>
      <sheetName val="Break_up_Sheet4"/>
      <sheetName val="Load_Details-220kV4"/>
      <sheetName val="Block_A_-_BOQ4"/>
      <sheetName val="download"/>
      <sheetName val="170810-lease tax"/>
      <sheetName val="A-1"/>
      <sheetName val="van khuon"/>
      <sheetName val="Names"/>
      <sheetName val="Introduction"/>
      <sheetName val="IDC macro"/>
      <sheetName val="SALE"/>
      <sheetName val="SCH-E-1"/>
      <sheetName val="BIPR"/>
      <sheetName val="BPCA"/>
      <sheetName val="BBRS"/>
      <sheetName val="KPM DT"/>
      <sheetName val="Pay_Sep06"/>
      <sheetName val="March Analysts"/>
      <sheetName val="CABLE DATA"/>
      <sheetName val="1st flr"/>
      <sheetName val="Civil Boq"/>
      <sheetName val="F"/>
      <sheetName val="EXHIBIT&quot; T&quot;"/>
      <sheetName val="Turnover"/>
      <sheetName val="Master Price List"/>
      <sheetName val="reference"/>
      <sheetName val="compu"/>
      <sheetName val="Main Sheet (MTD)"/>
      <sheetName val="Consl Daily Report"/>
      <sheetName val="Rates"/>
      <sheetName val="Input"/>
      <sheetName val="Main workings"/>
      <sheetName val="Index"/>
      <sheetName val="Balance Sheet "/>
      <sheetName val="P &amp; L"/>
      <sheetName val="Summary Excise"/>
      <sheetName val="BS"/>
      <sheetName val="Other BS Sch 5-9"/>
      <sheetName val="Excess Calc"/>
      <sheetName val="Grouping Master"/>
      <sheetName val="Company"/>
      <sheetName val="PLAN_FEB97"/>
      <sheetName val="Fin Sum"/>
      <sheetName val="Preside"/>
      <sheetName val="balance sheet"/>
      <sheetName val="LISTS"/>
      <sheetName val="PLGroupings"/>
      <sheetName val="Results"/>
      <sheetName val="new_data"/>
      <sheetName val="earnmodl"/>
      <sheetName val="Dom Cell (IS)"/>
      <sheetName val="AOR"/>
      <sheetName val="final abstract"/>
      <sheetName val="Rate analysis"/>
      <sheetName val="02"/>
      <sheetName val="03"/>
      <sheetName val="04"/>
      <sheetName val="01"/>
      <sheetName val="q-details"/>
      <sheetName val=" Acc. Sched."/>
      <sheetName val="EDS  Bestshore Migration"/>
      <sheetName val="sept-plan"/>
      <sheetName val="classes"/>
      <sheetName val="IT Block"/>
      <sheetName val="Location CODE"/>
      <sheetName val="Location TYPE"/>
      <sheetName val="sub class"/>
      <sheetName val=" sub Loc "/>
      <sheetName val="LBO"/>
      <sheetName val="02022005"/>
      <sheetName val="16022005"/>
      <sheetName val="05012005"/>
      <sheetName val="19012005"/>
      <sheetName val="02032005"/>
      <sheetName val="16032005"/>
      <sheetName val="30032005"/>
      <sheetName val="van_khuon"/>
      <sheetName val="IDC_macro"/>
      <sheetName val="Portfolio_Summary"/>
      <sheetName val="Current_Bill_MB_ref"/>
      <sheetName val="Meas_-Hotel_Part"/>
      <sheetName val="Fin_Sum"/>
      <sheetName val="03 (2)"/>
      <sheetName val="OpRes"/>
      <sheetName val="master"/>
      <sheetName val="WIng F(Typical)"/>
      <sheetName val="Legal Risk Analysis"/>
      <sheetName val="#REF"/>
      <sheetName val="Data"/>
      <sheetName val="Related party - P&amp;L"/>
      <sheetName val="M-2 Adjusted"/>
      <sheetName val="OpTrack"/>
      <sheetName val="ras"/>
      <sheetName val="vb 9&amp;10"/>
      <sheetName val="Contribution"/>
      <sheetName val="Rx"/>
      <sheetName val="Training Deposits coding"/>
      <sheetName val="Sheet3"/>
      <sheetName val="Factor_Sheet"/>
      <sheetName val="Hot"/>
      <sheetName val="Mico"/>
      <sheetName val="MASTER_RATE ANALYSIS"/>
      <sheetName val="Valuation - block 2"/>
      <sheetName val="International"/>
      <sheetName val="Internet"/>
      <sheetName val="RNT"/>
      <sheetName val="Combi"/>
      <sheetName val="269T(final)"/>
      <sheetName val="conc-foot-gradeslab"/>
      <sheetName val="Material List "/>
      <sheetName val="NEW-IDs Fun &amp; Group"/>
      <sheetName val="XZLC003_PART1"/>
      <sheetName val="Summ"/>
      <sheetName val="Fossil_DCF"/>
      <sheetName val="SOPMA DD"/>
      <sheetName val="IO LIST"/>
      <sheetName val="Base Assumptions"/>
      <sheetName val="Code"/>
      <sheetName val="RES-PLANNING"/>
      <sheetName val="Cost_any"/>
      <sheetName val="10. &amp; 11. Rate Code &amp; BQ"/>
      <sheetName val="FlashMgtMo"/>
      <sheetName val="FlashMgtYTD"/>
      <sheetName val="FITZ MORT 94"/>
      <sheetName val="QoQ In Lakhs"/>
      <sheetName val="GENERAL2"/>
      <sheetName val="YTD"/>
      <sheetName val="Goldberg Portfolio Combined"/>
      <sheetName val="Portfolio_Summary1"/>
      <sheetName val="Current_Bill_MB_ref1"/>
      <sheetName val="Meas_-Hotel_Part1"/>
      <sheetName val="TB"/>
      <sheetName val="A-Mum"/>
      <sheetName val="MIS - kINR"/>
      <sheetName val="9. Package split - Cost "/>
      <sheetName val=""/>
      <sheetName val="CashFlow"/>
      <sheetName val="Checks"/>
      <sheetName val="DET0900"/>
      <sheetName val="Theatre mgmt cont"/>
      <sheetName val="GenAssump"/>
      <sheetName val="BKCSTOCKVAL"/>
      <sheetName val="MAHSTOCKVAL"/>
      <sheetName val="Commercial Research"/>
      <sheetName val="Intaccrual"/>
      <sheetName val="SBU"/>
      <sheetName val="Macro1"/>
      <sheetName val="Licences"/>
      <sheetName val="LBO Financials"/>
      <sheetName val="IMPORT_T12"/>
      <sheetName val="KPM_DT"/>
      <sheetName val="Task"/>
      <sheetName val="97-98"/>
      <sheetName val="SODA02"/>
      <sheetName val="Fill this out first..."/>
      <sheetName val="MIS AC wise"/>
      <sheetName val="Trial Balance"/>
      <sheetName val="Operating Statistics"/>
      <sheetName val="FA Schedule Dec 07"/>
      <sheetName val="Variables_x"/>
      <sheetName val="Menu"/>
      <sheetName val="P.R. TAXES"/>
      <sheetName val="BILLING SUM"/>
      <sheetName val="Master list"/>
      <sheetName val="Labour List"/>
      <sheetName val="Material List"/>
      <sheetName val="Architectural Summary"/>
      <sheetName val="Labor abs-NMR"/>
      <sheetName val="Beam at Ground flr lvl(Steel)"/>
      <sheetName val="AREAS"/>
      <sheetName val="sumary"/>
      <sheetName val="1st -vpd"/>
      <sheetName val="SCHEDULE"/>
      <sheetName val="Database"/>
      <sheetName val="schedule nos"/>
      <sheetName val="WT-LIST"/>
      <sheetName val="Material"/>
      <sheetName val="Sensitivity"/>
      <sheetName val="Leasing Commision"/>
      <sheetName val="Service Invoice"/>
      <sheetName val="Params"/>
      <sheetName val="15-21"/>
      <sheetName val="Cover"/>
      <sheetName val="Cash Flow Working"/>
      <sheetName val="Retail Mall"/>
      <sheetName val="apr-aug"/>
      <sheetName val="horizontal"/>
      <sheetName val="Rev Opt - Rollup"/>
      <sheetName val="Timeline"/>
      <sheetName val="CAP"/>
      <sheetName val="ANN.K"/>
      <sheetName val="CASHFLOWS"/>
      <sheetName val="170810-lease_tax"/>
      <sheetName val="Main_Sheet_(MTD)"/>
      <sheetName val="Consl_Daily_Report"/>
      <sheetName val="balance_sheet"/>
      <sheetName val="drop-dwn list"/>
      <sheetName val="tngst1"/>
      <sheetName val="Boiler&amp;TG"/>
      <sheetName val="Sheet3_(2)5"/>
      <sheetName val="Sheet3__2_5"/>
      <sheetName val="Calculation_(2)5"/>
      <sheetName val="Multiple_output5"/>
      <sheetName val="QoQ_Forecast5"/>
      <sheetName val="Income_Statements5"/>
      <sheetName val="Income_&amp;_Occupancy_Customer5"/>
      <sheetName val="ABP_inputs5"/>
      <sheetName val="Synergy_Sales_Budget5"/>
      <sheetName val="Project_Budget_Worksheet5"/>
      <sheetName val="INDIGINEOUS_ITEMS_5"/>
      <sheetName val="Builtup_Area5"/>
      <sheetName val="RCC,Ret__Wall5"/>
      <sheetName val="BOQ_T4B5"/>
      <sheetName val="Material_5"/>
      <sheetName val="Labour_&amp;_Plant5"/>
      <sheetName val="_B35"/>
      <sheetName val="_B15"/>
      <sheetName val="CFForecast_detail5"/>
      <sheetName val="Site_Dev_BOQ5"/>
      <sheetName val="beam-reinft-IIInd_floor5"/>
      <sheetName val="Global_Assm_5"/>
      <sheetName val="Aladdin_Macro15"/>
      <sheetName val="Acc_10_55"/>
      <sheetName val="MIS_-_kINR"/>
      <sheetName val="Break_up_Sheet5"/>
      <sheetName val="Approved_MTD_Proj_#'s5"/>
      <sheetName val="MN_T_B_5"/>
      <sheetName val="Load_Details-220kV5"/>
      <sheetName val="Block_A_-_BOQ5"/>
      <sheetName val="CABLE_DATA"/>
      <sheetName val="1st_flr"/>
      <sheetName val="final_abstract"/>
      <sheetName val="Rate_analysis"/>
      <sheetName val="Rollup_Summary"/>
      <sheetName val="Civil_Boq"/>
      <sheetName val="0. Data Validation List"/>
      <sheetName val="Crest"/>
      <sheetName val="Pinnacle"/>
      <sheetName val="Zenith"/>
      <sheetName val="stacking sheet"/>
      <sheetName val="CARO"/>
      <sheetName val="Scope"/>
      <sheetName val="Estimate"/>
      <sheetName val="12-ACTPL"/>
      <sheetName val="AOP13"/>
      <sheetName val="Control"/>
      <sheetName val="ES"/>
      <sheetName val="RA-markate"/>
      <sheetName val="Rollup"/>
      <sheetName val="Variables"/>
      <sheetName val="소상 &quot;1&quot;"/>
      <sheetName val="extra work elec bill "/>
      <sheetName val="Non-Factory"/>
      <sheetName val="Publicbuilding"/>
      <sheetName val="目录"/>
      <sheetName val="FORM7"/>
      <sheetName val="Open Items-311208"/>
      <sheetName val="Assump"/>
      <sheetName val="A.O.R."/>
      <sheetName val="Debtors analysis"/>
      <sheetName val="A1-Continuous"/>
      <sheetName val="pile Fabrication"/>
      <sheetName val="Improvements"/>
      <sheetName val="SEW4"/>
      <sheetName val="MFG"/>
      <sheetName val="RA"/>
      <sheetName val="exp"/>
      <sheetName val="Sheet4"/>
      <sheetName val="HBI NCD"/>
      <sheetName val="CUSTOM Jun99"/>
      <sheetName val="CrRajWMM"/>
      <sheetName val="Cost summary"/>
      <sheetName val="RCC Rates"/>
      <sheetName val="PRECAST lightconc-II"/>
      <sheetName val="Tender Summary"/>
      <sheetName val="Bill 1-BOQ-Civil Works"/>
      <sheetName val="UNP-NCW "/>
      <sheetName val="4.4 External Plaster"/>
      <sheetName val="Felix Street Summary"/>
      <sheetName val="Newspapers"/>
      <sheetName val="AccDil"/>
      <sheetName val="Overall Summary"/>
      <sheetName val="Basement Budget"/>
      <sheetName val="labour"/>
      <sheetName val="currency"/>
      <sheetName val="Notes-pivot1 "/>
      <sheetName val="Night Shift"/>
      <sheetName val="Assumption"/>
      <sheetName val="EVA1"/>
      <sheetName val="ITEM  STUDY (2)"/>
      <sheetName val="EXPENSES"/>
      <sheetName val="TDS Certificate-Format"/>
      <sheetName val="FA"/>
      <sheetName val="Kontensalden"/>
      <sheetName val="DYN PP"/>
      <sheetName val="TXN97"/>
      <sheetName val="June Reserve - Far East"/>
      <sheetName val="MultipleSecurities"/>
      <sheetName val="ASSETS P&amp;M"/>
      <sheetName val="Assets Land &amp; Mise FA"/>
      <sheetName val="Base"/>
      <sheetName val="Ins Erection"/>
      <sheetName val="Gen_Ass"/>
      <sheetName val="Op_Ass"/>
      <sheetName val="Staff Costs"/>
      <sheetName val="General_Assumptions"/>
      <sheetName val="Determination of Threshold"/>
      <sheetName val="Debt"/>
      <sheetName val="Quotation"/>
      <sheetName val="RCC_Ret_ Wall"/>
      <sheetName val="Earnings"/>
      <sheetName val="Portfolio_Summary2"/>
      <sheetName val="03_(2)"/>
      <sheetName val="Current_Bill_MB_ref2"/>
      <sheetName val="Meas_-Hotel_Part2"/>
      <sheetName val="WIng_F(Typical)"/>
      <sheetName val="Legal_Risk_Analysis"/>
      <sheetName val="SOPMA_DD"/>
      <sheetName val="Architectural_Summary"/>
      <sheetName val="TB_FOR_MIS1"/>
      <sheetName val="INPUT_SHEET"/>
      <sheetName val="March_Analysts"/>
      <sheetName val="EXHIBIT&quot;_T&quot;"/>
      <sheetName val="IO_LIST"/>
      <sheetName val="Fill_this_out_first___"/>
      <sheetName val="extra_work_elec_bill_"/>
      <sheetName val="_Acc__Sched_"/>
      <sheetName val="10__&amp;_11__Rate_Code_&amp;_BQ"/>
      <sheetName val="NEW-IDs_Fun_&amp;_Group"/>
      <sheetName val="Schedule v1"/>
      <sheetName val="Lease Expiry"/>
      <sheetName val="crs"/>
      <sheetName val="PIMS"/>
      <sheetName val="SCH 10"/>
      <sheetName val="SAP EMP"/>
      <sheetName val="Coalmine"/>
      <sheetName val="form26"/>
      <sheetName val="F29B"/>
      <sheetName val="Dep"/>
      <sheetName val="IO"/>
      <sheetName val="Tyre1"/>
      <sheetName val="Auto"/>
      <sheetName val="Customize Your Invoice"/>
      <sheetName val="?????"/>
      <sheetName val="Budget Summary"/>
      <sheetName val="PERHW"/>
      <sheetName val="Loss 3004"/>
      <sheetName val="Reconciliation of GL &amp; FAR"/>
      <sheetName val="Settings"/>
      <sheetName val="HELP"/>
      <sheetName val="BS-2005"/>
      <sheetName val="MAIN_MENU"/>
      <sheetName val="exec summ"/>
      <sheetName val="Recon"/>
      <sheetName val="TH"/>
      <sheetName val="Capital Structure"/>
      <sheetName val="GROUPING"/>
      <sheetName val="CSCCincSKR"/>
      <sheetName val="concrete"/>
      <sheetName val="Hardware"/>
      <sheetName val="Power &amp; Fuel (S)"/>
      <sheetName val="FY2001-02"/>
      <sheetName val="cash_flow"/>
      <sheetName val="sales_value"/>
      <sheetName val="colaw_dep"/>
      <sheetName val="freight"/>
      <sheetName val="gm"/>
      <sheetName val="interest"/>
      <sheetName val="jb_cost"/>
      <sheetName val="c_flow_%"/>
      <sheetName val="consum_cost"/>
      <sheetName val="EAST"/>
      <sheetName val="YOEMAGUM"/>
      <sheetName val="HOUSE RENT DEPO."/>
      <sheetName val="Sale Charts"/>
      <sheetName val="Expansion"/>
      <sheetName val="EXIS-COMBINED"/>
      <sheetName val="Phasing"/>
      <sheetName val="Base data Security Procedures"/>
      <sheetName val="Timesheet"/>
      <sheetName val="Loads"/>
      <sheetName val="p&amp;m"/>
      <sheetName val="S &amp; A"/>
      <sheetName val="van_khuon1"/>
      <sheetName val="IDC_macro1"/>
      <sheetName val="P_&amp;_L"/>
      <sheetName val="Summary_Excise"/>
      <sheetName val="Other_BS_Sch_5-9"/>
      <sheetName val="Excess_Calc"/>
      <sheetName val="Grouping_Master"/>
      <sheetName val="Fin_Sum1"/>
      <sheetName val="Main_workings"/>
      <sheetName val="Balance_Sheet_"/>
      <sheetName val="IMPORT_T121"/>
      <sheetName val="KPM_DT1"/>
      <sheetName val="Dom_Cell_(IS)"/>
      <sheetName val="M-2_Adjusted"/>
      <sheetName val="Master_Price_List"/>
      <sheetName val="EDS__Bestshore_Migration"/>
      <sheetName val="IT_Block"/>
      <sheetName val="Location_CODE"/>
      <sheetName val="Location_TYPE"/>
      <sheetName val="sub_class"/>
      <sheetName val="_sub_Loc_"/>
      <sheetName val="Training_Deposits_coding"/>
      <sheetName val="Rev_Opt_-_Rollup"/>
      <sheetName val="MASTER_RATE_ANALYSIS"/>
      <sheetName val="Valuation_-_block_2"/>
      <sheetName val="SAP downloaded schedule"/>
      <sheetName val="Transaction"/>
      <sheetName val="notes"/>
      <sheetName val="FA(Apr 07)"/>
      <sheetName val="Reco O.S"/>
      <sheetName val="Accounts"/>
      <sheetName val="XLR_NoRangeSheet"/>
      <sheetName val="TMasterCurrency"/>
      <sheetName val="TMasterSeg"/>
      <sheetName val="BOM"/>
      <sheetName val="HRD1"/>
      <sheetName val="Taluka wise dealer (2)"/>
      <sheetName val="Sheet3_(2)6"/>
      <sheetName val="Sheet3__2_6"/>
      <sheetName val="Income_Statements6"/>
      <sheetName val="Main_Sheet_(MTD)1"/>
      <sheetName val="Consl_Daily_Report1"/>
      <sheetName val="Calculation_(2)6"/>
      <sheetName val="QoQ_Forecast6"/>
      <sheetName val="Income_&amp;_Occupancy_Customer6"/>
      <sheetName val="Rollup_Summary1"/>
      <sheetName val="Acc_10_56"/>
      <sheetName val="balance_sheet1"/>
      <sheetName val="170810-lease_tax1"/>
      <sheetName val="Multiple_output6"/>
      <sheetName val="Aladdin_Macro16"/>
      <sheetName val="Global_Assm_6"/>
      <sheetName val="ABP_inputs6"/>
      <sheetName val="Synergy_Sales_Budget6"/>
      <sheetName val="Project_Budget_Worksheet6"/>
      <sheetName val="Builtup_Area6"/>
      <sheetName val="RCC,Ret__Wall6"/>
      <sheetName val="BOQ_T4B6"/>
      <sheetName val="INDIGINEOUS_ITEMS_6"/>
      <sheetName val="Material_6"/>
      <sheetName val="Labour_&amp;_Plant6"/>
      <sheetName val="_B36"/>
      <sheetName val="_B16"/>
      <sheetName val="beam-reinft-IIInd_floor6"/>
      <sheetName val="Approved_MTD_Proj_#'s6"/>
      <sheetName val="MN_T_B_6"/>
      <sheetName val="CFForecast_detail6"/>
      <sheetName val="Site_Dev_BOQ6"/>
      <sheetName val="Break_up_Sheet6"/>
      <sheetName val="Load_Details-220kV6"/>
      <sheetName val="Block_A_-_BOQ6"/>
      <sheetName val="LBO_Financials"/>
      <sheetName val="CABLE_DATA1"/>
      <sheetName val="1st_flr1"/>
      <sheetName val="Civil_Boq1"/>
      <sheetName val="final_abstract1"/>
      <sheetName val="Rate_analysis1"/>
      <sheetName val="MIS_-_kINR1"/>
      <sheetName val="QoQ_In_Lakhs"/>
      <sheetName val="Theatre_mgmt_cont"/>
      <sheetName val="Open_Items-311208"/>
      <sheetName val="Graph (LGEN)"/>
      <sheetName val="out_prog"/>
      <sheetName val="선적schedule (2)"/>
      <sheetName val="USB 1"/>
      <sheetName val="Jan"/>
      <sheetName val="Inv_Data"/>
      <sheetName val="Sch_BS"/>
      <sheetName val="Grp_PL"/>
      <sheetName val="Collection"/>
      <sheetName val="ADV-TK-HORT"/>
      <sheetName val="B"/>
      <sheetName val="Stack Expiry"/>
      <sheetName val="Stacking Plan"/>
      <sheetName val="Stacking Plan &amp; LEP"/>
      <sheetName val="Calendar"/>
      <sheetName val="Selection "/>
      <sheetName val=" "/>
      <sheetName val="Master_list"/>
      <sheetName val="Labour_List"/>
      <sheetName val="Material_List"/>
      <sheetName val="Labor_abs-NMR"/>
      <sheetName val="Beam_at_Ground_flr_lvl(Steel)"/>
      <sheetName val="1st_-vpd"/>
      <sheetName val="Material_List_"/>
      <sheetName val="schedule_nos"/>
      <sheetName val="Debtors_analysis"/>
      <sheetName val="SALES"/>
      <sheetName val="cl 14 Annex 7 "/>
      <sheetName val="Encl 7A"/>
      <sheetName val="Basework"/>
      <sheetName val="Monthly Inputs"/>
      <sheetName val="2000-1 Monthly Cashflows"/>
      <sheetName val="2002-2 Monthly Cashflows"/>
      <sheetName val="steam outlet"/>
      <sheetName val="BOQ Distribution"/>
      <sheetName val="wordsdata"/>
      <sheetName val="GM &amp; TA"/>
      <sheetName val="Standalone"/>
      <sheetName val="RATE LIST (2)"/>
      <sheetName val="Control Sheet"/>
      <sheetName val="Multipliers &amp; KRA"/>
      <sheetName val="Micro"/>
      <sheetName val="Macro"/>
      <sheetName val="Scaff-Rose"/>
      <sheetName val="Summary_Local"/>
      <sheetName val="Approval"/>
      <sheetName val="wdr bldg"/>
      <sheetName val="Formated Trial Balance"/>
      <sheetName val="BQ"/>
      <sheetName val="Parameter"/>
      <sheetName val="schedules"/>
      <sheetName val="details"/>
      <sheetName val="FCIIHyperion"/>
      <sheetName val="final 061106"/>
      <sheetName val="SAB P&amp;L"/>
      <sheetName val="cash flow"/>
      <sheetName val="Misc. Master"/>
      <sheetName val="Cash_Flow_Working"/>
      <sheetName val="ANN_K"/>
      <sheetName val="register"/>
      <sheetName val="TBAL9697 -group wise  sdpl"/>
      <sheetName val="Elec Summ"/>
      <sheetName val="ELEC BOQ"/>
      <sheetName val="TRACK BUSWAY"/>
      <sheetName val="BBT"/>
      <sheetName val="LIGHTING"/>
      <sheetName val="LMS"/>
      <sheetName val="TENSCH"/>
      <sheetName val="Sheet1 (2)"/>
      <sheetName val="Trial_Balance"/>
      <sheetName val="MIS_AC_wise"/>
      <sheetName val="Base_Assumptions"/>
      <sheetName val="FITZ_MORT_94"/>
      <sheetName val="vb_9&amp;10"/>
      <sheetName val="Goldberg_Portfolio_Combined"/>
      <sheetName val="Commercial_Research"/>
      <sheetName val="9__Package_split_-_Cost_"/>
      <sheetName val="Operating_Statistics"/>
      <sheetName val="FA_Schedule_Dec_07"/>
      <sheetName val="P_R__TAXES"/>
      <sheetName val="BILLING_SUM"/>
      <sheetName val="Leasing_Commision"/>
      <sheetName val="Service_Invoice"/>
      <sheetName val="Retail_Mall"/>
      <sheetName val="Related_party_-_P&amp;L"/>
      <sheetName val="pile_Fabrication"/>
      <sheetName val="Notes-pivot1_"/>
      <sheetName val="ASSETS_P&amp;M"/>
      <sheetName val="Assets_Land_&amp;_Mise_FA"/>
      <sheetName val="drop-dwn_list"/>
      <sheetName val="소상_&quot;1&quot;"/>
      <sheetName val="Felix_Street_Summary"/>
      <sheetName val="Overall_Summary"/>
      <sheetName val="RCC_Rates"/>
      <sheetName val="Cost_summary"/>
      <sheetName val="PRECAST_lightconc-II"/>
      <sheetName val="Tender_Summary"/>
      <sheetName val="Bill_1-BOQ-Civil_Works"/>
      <sheetName val="UNP-NCW_"/>
      <sheetName val="4_4_External_Plaster"/>
      <sheetName val="HBI_NCD"/>
      <sheetName val="CUSTOM_Jun99"/>
      <sheetName val="A_O_R_"/>
      <sheetName val="Ins_Erection"/>
      <sheetName val="Staff_Costs"/>
      <sheetName val="0__Data_Validation_List"/>
      <sheetName val="stacking_sheet"/>
      <sheetName val="Basement_Budget"/>
      <sheetName val="Night_Shift"/>
      <sheetName val="ITEM__STUDY_(2)"/>
      <sheetName val="TDS_Certificate-Format"/>
      <sheetName val="WC analytics (+data pages)"/>
      <sheetName val="Sources"/>
      <sheetName val="Audit"/>
      <sheetName val="I"/>
      <sheetName val="Lease-rents"/>
      <sheetName val="Key Assumption"/>
      <sheetName val="Master Information"/>
      <sheetName val="Charts"/>
      <sheetName val="Infinite Studios"/>
      <sheetName val="Neuros &amp; Immunos"/>
      <sheetName val="Nucleos"/>
      <sheetName val="labour rates"/>
      <sheetName val="공사비 내역 (가)"/>
      <sheetName val="4K - (6a) Non Manual Breakdown"/>
      <sheetName val="old_serial no."/>
      <sheetName val="tot_ass_9697"/>
      <sheetName val="Budget_CF - Overall"/>
      <sheetName val="3. Elemental Summary"/>
      <sheetName val="August TB"/>
      <sheetName val="Lookups"/>
      <sheetName val="pri-com"/>
      <sheetName val="Financials"/>
      <sheetName val="L"/>
      <sheetName val="p1-costg"/>
      <sheetName val="costing"/>
      <sheetName val="Factors"/>
      <sheetName val="NOT FULL RESTRAINT"/>
      <sheetName val="UC"/>
      <sheetName val="BEARING &amp; BUCKLING"/>
      <sheetName val="Power_&amp;_Fuel_(S)"/>
      <sheetName val="Budget_Summary"/>
      <sheetName val="Redelvery provision changed"/>
      <sheetName val="Sch5TO10"/>
      <sheetName val="macroDat"/>
      <sheetName val="Molasses-FG"/>
      <sheetName val="P&amp;L"/>
      <sheetName val="COM"/>
      <sheetName val="FSA"/>
      <sheetName val="FF-2 (1)"/>
      <sheetName val="addl cost"/>
      <sheetName val="FF-1"/>
      <sheetName val="accumdeprn"/>
      <sheetName val="재무가정"/>
      <sheetName val="Collateral"/>
      <sheetName val="Category"/>
      <sheetName val="建築面積"/>
      <sheetName val="BPR"/>
      <sheetName val="Q1 Est"/>
      <sheetName val="CPR"/>
      <sheetName val="MARCH"/>
      <sheetName val="SEP "/>
      <sheetName val="PROV_CONSOLIDATED"/>
      <sheetName val="dlvoid"/>
      <sheetName val="NGS Data Sheet"/>
      <sheetName val="SGS Data Sheet"/>
      <sheetName val="Fin. Assumpt. - Sensitivities"/>
      <sheetName val="Fin"/>
      <sheetName val="Intro"/>
      <sheetName val="Tickmarks"/>
      <sheetName val="Check Register"/>
      <sheetName val="EBITDA Bridge"/>
      <sheetName val="Detailed"/>
      <sheetName val="2003 Budget-PL-case1"/>
      <sheetName val="STATSUM"/>
      <sheetName val="TB9899"/>
      <sheetName val="Cases"/>
      <sheetName val="HIDDEN"/>
      <sheetName val="DEP99"/>
      <sheetName val="IGAAP"/>
      <sheetName val="INI"/>
      <sheetName val="Output"/>
      <sheetName val="meeting rectification control"/>
      <sheetName val="Loan Data"/>
      <sheetName val="Challan"/>
      <sheetName val="Standalone seg"/>
      <sheetName val="现金流量分析表"/>
      <sheetName val="边际贡献分析表"/>
      <sheetName val="Account title"/>
      <sheetName val="Titel"/>
      <sheetName val="Rs in lacs"/>
      <sheetName val="800CC_FR_HOSE"/>
      <sheetName val="Esteem Rear"/>
      <sheetName val="Classification"/>
      <sheetName val="XREF"/>
      <sheetName val="Income"/>
      <sheetName val="EPS"/>
      <sheetName val="currency (2)"/>
      <sheetName val="Companies"/>
      <sheetName val="People"/>
      <sheetName val="NW RTU"/>
      <sheetName val="Clause 9"/>
      <sheetName val="4 Annex 1 Basic rate"/>
      <sheetName val="oresreqsum"/>
      <sheetName val="Other notes"/>
      <sheetName val="OHT_Abs"/>
      <sheetName val="1"/>
      <sheetName val="Linked Lead"/>
      <sheetName val="hist&amp;proj"/>
      <sheetName val="STAFFSCHED "/>
      <sheetName val="Basic Rate"/>
      <sheetName val=" COP"/>
      <sheetName val="Bgt_Lst"/>
      <sheetName val="Cnt_Lst"/>
      <sheetName val="Trial Balance_Format"/>
      <sheetName val="Temp"/>
      <sheetName val="Main"/>
      <sheetName val="MIS"/>
      <sheetName val="Sheet3_(2)7"/>
      <sheetName val="KPM_DT2"/>
      <sheetName val="EXHIBIT&quot;_T&quot;1"/>
      <sheetName val="Sheet3__2_7"/>
      <sheetName val="Income_&amp;_Occupancy_Customer7"/>
      <sheetName val="Income_Statements7"/>
      <sheetName val="QoQ_Forecast7"/>
      <sheetName val="Aladdin_Macro17"/>
      <sheetName val="Acc_10_57"/>
      <sheetName val="Global_Assm_7"/>
      <sheetName val="van_khuon2"/>
      <sheetName val="Portfolio_Summary3"/>
      <sheetName val="Current_Bill_MB_ref3"/>
      <sheetName val="Meas_-Hotel_Part3"/>
      <sheetName val="Builtup_Area7"/>
      <sheetName val="Project_Budget_Worksheet7"/>
      <sheetName val="IDC_macro2"/>
      <sheetName val="ABP_inputs7"/>
      <sheetName val="Synergy_Sales_Budget7"/>
      <sheetName val="Calculation_(2)7"/>
      <sheetName val="Multiple_output7"/>
      <sheetName val="RCC,Ret__Wall7"/>
      <sheetName val="BOQ_T4B7"/>
      <sheetName val="INDIGINEOUS_ITEMS_7"/>
      <sheetName val="Material_7"/>
      <sheetName val="Labour_&amp;_Plant7"/>
      <sheetName val="_B37"/>
      <sheetName val="_B17"/>
      <sheetName val="beam-reinft-IIInd_floor7"/>
      <sheetName val="Approved_MTD_Proj_#'s7"/>
      <sheetName val="TB_FOR_MIS2"/>
      <sheetName val="INPUT_SHEET1"/>
      <sheetName val="Main_Sheet_(MTD)2"/>
      <sheetName val="Consl_Daily_Report2"/>
      <sheetName val="IMPORT_T122"/>
      <sheetName val="Rollup_Summary2"/>
      <sheetName val="MN_T_B_7"/>
      <sheetName val="CFForecast_detail7"/>
      <sheetName val="Site_Dev_BOQ7"/>
      <sheetName val="Break_up_Sheet7"/>
      <sheetName val="Load_Details-220kV7"/>
      <sheetName val="Block_A_-_BOQ7"/>
      <sheetName val="170810-lease_tax2"/>
      <sheetName val="Master_Price_List1"/>
      <sheetName val="ASSETS_P&amp;M1"/>
      <sheetName val="Assets_Land_&amp;_Mise_FA1"/>
      <sheetName val="03_(2)1"/>
      <sheetName val="IO_LIST1"/>
      <sheetName val="Fill_this_out_first___1"/>
      <sheetName val="Fin_Sum2"/>
      <sheetName val="Material_List_1"/>
      <sheetName val="NEW-IDs_Fun_&amp;_Group1"/>
      <sheetName val="SOPMA_DD1"/>
      <sheetName val="WIng_F(Typical)1"/>
      <sheetName val="Master_list1"/>
      <sheetName val="Labour_List1"/>
      <sheetName val="Material_List1"/>
      <sheetName val="Architectural_Summary1"/>
      <sheetName val="March_Analysts1"/>
      <sheetName val="CABLE_DATA2"/>
      <sheetName val="1st_flr2"/>
      <sheetName val="Civil_Boq2"/>
      <sheetName val="Legal_Risk_Analysis1"/>
      <sheetName val="Labor_abs-NMR1"/>
      <sheetName val="Beam_at_Ground_flr_lvl(Steel)1"/>
      <sheetName val="1st_-vpd1"/>
      <sheetName val="Summary_Excise1"/>
      <sheetName val="Other_BS_Sch_5-91"/>
      <sheetName val="Excess_Calc1"/>
      <sheetName val="Grouping_Master1"/>
      <sheetName val="balance_sheet2"/>
      <sheetName val="P_&amp;_L1"/>
      <sheetName val="M-2_Adjusted1"/>
      <sheetName val="final_abstract2"/>
      <sheetName val="Rate_analysis2"/>
      <sheetName val="_Acc__Sched_1"/>
      <sheetName val="Balance_Sheet_1"/>
      <sheetName val="Dom_Cell_(IS)1"/>
      <sheetName val="Main_workings1"/>
      <sheetName val="Training_Deposits_coding1"/>
      <sheetName val="EDS__Bestshore_Migration1"/>
      <sheetName val="IT_Block1"/>
      <sheetName val="Location_CODE1"/>
      <sheetName val="Location_TYPE1"/>
      <sheetName val="sub_class1"/>
      <sheetName val="_sub_Loc_1"/>
      <sheetName val="Rev_Opt_-_Rollup1"/>
      <sheetName val="Open_Items-3112081"/>
      <sheetName val="MASTER_RATE_ANALYSIS1"/>
      <sheetName val="Valuation_-_block_21"/>
      <sheetName val="Trial_Balance1"/>
      <sheetName val="MIS_AC_wise1"/>
      <sheetName val="Base_Assumptions1"/>
      <sheetName val="10__&amp;_11__Rate_Code_&amp;_BQ1"/>
      <sheetName val="FITZ_MORT_941"/>
      <sheetName val="QoQ_In_Lakhs1"/>
      <sheetName val="vb_9&amp;101"/>
      <sheetName val="Goldberg_Portfolio_Combined1"/>
      <sheetName val="Commercial_Research1"/>
      <sheetName val="MIS_-_kINR2"/>
      <sheetName val="9__Package_split_-_Cost_1"/>
      <sheetName val="Operating_Statistics1"/>
      <sheetName val="FA_Schedule_Dec_071"/>
      <sheetName val="Theatre_mgmt_cont1"/>
      <sheetName val="P_R__TAXES1"/>
      <sheetName val="BILLING_SUM1"/>
      <sheetName val="schedule_nos1"/>
      <sheetName val="Leasing_Commision1"/>
      <sheetName val="Service_Invoice1"/>
      <sheetName val="Cash_Flow_Working1"/>
      <sheetName val="Retail_Mall1"/>
      <sheetName val="Related_party_-_P&amp;L1"/>
      <sheetName val="Debtors_analysis1"/>
      <sheetName val="pile_Fabrication1"/>
      <sheetName val="LBO_Financials1"/>
      <sheetName val="ANN_K1"/>
      <sheetName val="Notes-pivot1_1"/>
      <sheetName val="drop-dwn_list1"/>
      <sheetName val="extra_work_elec_bill_1"/>
      <sheetName val="소상_&quot;1&quot;1"/>
      <sheetName val="Felix_Street_Summary1"/>
      <sheetName val="Overall_Summary1"/>
      <sheetName val="RCC_Rates1"/>
      <sheetName val="Cost_summary1"/>
      <sheetName val="PRECAST_lightconc-II1"/>
      <sheetName val="Tender_Summary1"/>
      <sheetName val="Bill_1-BOQ-Civil_Works1"/>
      <sheetName val="UNP-NCW_1"/>
      <sheetName val="4_4_External_Plaster1"/>
      <sheetName val="HBI_NCD1"/>
      <sheetName val="CUSTOM_Jun991"/>
      <sheetName val="A_O_R_1"/>
      <sheetName val="Ins_Erection1"/>
      <sheetName val="0__Data_Validation_List1"/>
      <sheetName val="stacking_sheet1"/>
      <sheetName val="Basement_Budget1"/>
      <sheetName val="Night_Shift1"/>
      <sheetName val="ITEM__STUDY_(2)1"/>
      <sheetName val="TDS_Certificate-Format1"/>
      <sheetName val="Staff_Costs1"/>
      <sheetName val="Taluka_wise_dealer_(2)"/>
      <sheetName val="FA(Apr_07)"/>
      <sheetName val="Reco_O_S"/>
      <sheetName val="Determination_of_Threshold"/>
      <sheetName val="cl_14_Annex_7_"/>
      <sheetName val="Encl_7A"/>
      <sheetName val="Graph_(LGEN)"/>
      <sheetName val="선적schedule_(2)"/>
      <sheetName val="USB_1"/>
      <sheetName val="BOQ_Distribution"/>
      <sheetName val="GM_&amp;_TA"/>
      <sheetName val="steam_outlet"/>
      <sheetName val="SCH_10"/>
      <sheetName val="SAP_EMP"/>
      <sheetName val="RATE_LIST_(2)"/>
      <sheetName val="Control_Sheet"/>
      <sheetName val="Loss_3004"/>
      <sheetName val="Reconciliation_of_GL_&amp;_FAR"/>
      <sheetName val="exec_summ"/>
      <sheetName val="RCC_Ret__Wall"/>
      <sheetName val="wdr_bldg"/>
      <sheetName val="Formated_Trial_Balance"/>
      <sheetName val="Monthly_Inputs"/>
      <sheetName val="2000-1_Monthly_Cashflows"/>
      <sheetName val="2002-2_Monthly_Cashflows"/>
      <sheetName val="SAP_downloaded_schedule"/>
      <sheetName val="S_&amp;_A"/>
      <sheetName val="_"/>
      <sheetName val="Lease_Expiry"/>
      <sheetName val="Customize_Your_Invoice"/>
      <sheetName val="Base_data_Security_Procedures"/>
      <sheetName val="HOUSE_RENT_DEPO_"/>
      <sheetName val="Key_Assumption"/>
      <sheetName val="Master_Information"/>
      <sheetName val="Sale_Charts"/>
      <sheetName val="DYN_PP"/>
      <sheetName val="June_Reserve_-_Far_East"/>
      <sheetName val="Schedule_v1"/>
      <sheetName val="Multipliers_&amp;_KRA"/>
      <sheetName val="WC_analytics_(+data_pages)"/>
      <sheetName val="final_061106"/>
      <sheetName val="SAB_P&amp;L"/>
      <sheetName val="cash_flow1"/>
      <sheetName val="3-dep"/>
      <sheetName val="Cash Flow "/>
      <sheetName val="PetroChina"/>
      <sheetName val="SP Break Up"/>
      <sheetName val="PARAMETERS"/>
      <sheetName val="BM"/>
      <sheetName val="Total MTH"/>
      <sheetName val="Names&amp;Cases"/>
      <sheetName val="차수"/>
      <sheetName val="DIVBUD99"/>
      <sheetName val="Configurator"/>
      <sheetName val="PriceDB"/>
      <sheetName val="DUMP "/>
      <sheetName val="Bspl Main"/>
      <sheetName val="Misc__Master"/>
      <sheetName val="Capital_Structure"/>
      <sheetName val="TBAL9697_-group_wise__sdpl"/>
      <sheetName val="SEP_"/>
      <sheetName val="Account_title"/>
      <sheetName val="Redelvery_provision_changed"/>
      <sheetName val="Balance Sheet_US$"/>
      <sheetName val="HONOTES"/>
      <sheetName val="GF Columns"/>
      <sheetName val="earnings model"/>
      <sheetName val="NOA Data"/>
      <sheetName val="DB"/>
      <sheetName val="Base Data"/>
      <sheetName val="080 (2)"/>
      <sheetName val="F.01 - June 2005"/>
      <sheetName val="HW SW"/>
      <sheetName val="CRITERIA1"/>
      <sheetName val="PL"/>
      <sheetName val="Annexure-I"/>
      <sheetName val="EMPMAST"/>
      <sheetName val="agrolist"/>
      <sheetName val="Overheads"/>
      <sheetName val="BASIS -DEC 08"/>
      <sheetName val="TASKRSRC (2)"/>
      <sheetName val="TARGET"/>
      <sheetName val="BASELINE"/>
      <sheetName val="exec_summ1"/>
      <sheetName val="Customize_Your_Invoice1"/>
      <sheetName val="Sale_Charts1"/>
      <sheetName val="Budget_Summary1"/>
      <sheetName val="Loss_30041"/>
      <sheetName val="Reconciliation_of_GL_&amp;_FAR1"/>
      <sheetName val="Power_&amp;_Fuel_(S)1"/>
      <sheetName val="GF_Columns"/>
      <sheetName val="Trial_Balance_Format"/>
      <sheetName val="labour_rates"/>
      <sheetName val="old_serial_no_"/>
      <sheetName val="Budget_CF_-_Overall"/>
      <sheetName val="공사비_내역_(가)"/>
      <sheetName val="4K_-_(6a)_Non_Manual_Breakdown"/>
      <sheetName val="3__Elemental_Summary"/>
      <sheetName val="August_TB"/>
      <sheetName val="_COP"/>
      <sheetName val="HOUSE_RENT_DEPO_1"/>
      <sheetName val="NOA_Data"/>
      <sheetName val="Unmatched"/>
      <sheetName val="Matched"/>
      <sheetName val="Severity"/>
      <sheetName val="Feb_Prfl_28"/>
      <sheetName val="grp "/>
      <sheetName val="전체현황"/>
      <sheetName val="인원계획"/>
      <sheetName val="Prov for exp-April'08 - June'08"/>
      <sheetName val="Provision for exp-Upto Mar'08"/>
      <sheetName val="creditors to others"/>
      <sheetName val="other amt&amp;recoveries payable"/>
      <sheetName val="other exp.charges recoverable"/>
      <sheetName val="rental deposits"/>
      <sheetName val="other deposits "/>
      <sheetName val="prepaid expenses"/>
      <sheetName val="sal.adv"/>
      <sheetName val="Pur"/>
      <sheetName val="SCH4"/>
      <sheetName val="FixedAssets"/>
      <sheetName val="Costs"/>
      <sheetName val="FIFO"/>
      <sheetName val="Links"/>
      <sheetName val="GL Master Data"/>
      <sheetName val="MPR_PA_1"/>
      <sheetName val="GSTR-3B"/>
      <sheetName val="gl"/>
      <sheetName val="COSTMAR"/>
      <sheetName val="Jun 2000"/>
      <sheetName val="Sheet2 (2)"/>
      <sheetName val="sch"/>
      <sheetName val="grid"/>
      <sheetName val="Proforma"/>
      <sheetName val="B_S"/>
      <sheetName val="HSA"/>
      <sheetName val="WGSRL"/>
      <sheetName val="ADDN0304"/>
      <sheetName val="nela"/>
      <sheetName val="XWR"/>
      <sheetName val="AR Graphs"/>
      <sheetName val="C120102"/>
      <sheetName val="entitlements"/>
      <sheetName val="EAW Final Accounts - 99"/>
      <sheetName val="Supplier"/>
      <sheetName val="COST-MTRS"/>
      <sheetName val="FLASH"/>
      <sheetName val="Annexure"/>
      <sheetName val="Schedules 3-8"/>
      <sheetName val="BHANDUP"/>
      <sheetName val="BS-203"/>
      <sheetName val="A"/>
      <sheetName val="Maping_Other"/>
      <sheetName val="Indices"/>
      <sheetName val="BOQ CIVIL"/>
      <sheetName val="Price Comparison"/>
      <sheetName val="Measurment"/>
      <sheetName val="Final Summary"/>
      <sheetName val="Figures in"/>
      <sheetName val="Mthly CFS (Kha)"/>
      <sheetName val="Bal_Gr"/>
      <sheetName val="Jul 96 Worksheet"/>
      <sheetName val="RELACION REFERENCIAS"/>
      <sheetName val="NEES"/>
      <sheetName val="7 Jan 02"/>
      <sheetName val="INQVAR PY"/>
      <sheetName val="Rates Basic"/>
      <sheetName val="G02"/>
      <sheetName val="Périodes"/>
      <sheetName val="Deno"/>
      <sheetName val="Consolidated CF"/>
      <sheetName val="Conversion Table"/>
      <sheetName val="Key Assumptions"/>
      <sheetName val="ANNX-C"/>
      <sheetName val="exp-m"/>
      <sheetName val="Roll-up"/>
      <sheetName val="VAR STORE_CONS"/>
      <sheetName val="Flexi"/>
      <sheetName val="Profit and Loss"/>
      <sheetName val="Trading Comps"/>
      <sheetName val="LIST OF MAKES"/>
      <sheetName val="banilad"/>
      <sheetName val="Mactan"/>
      <sheetName val="Mandaue"/>
      <sheetName val="lineby line consolidation"/>
      <sheetName val="GUT (2)"/>
      <sheetName val="ACE-OUT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4"/>
      <sheetName val="Sheet3_(2)8"/>
      <sheetName val="Income_Statements8"/>
      <sheetName val="Sheet3__2_8"/>
      <sheetName val="Global_Assm_8"/>
      <sheetName val="QoQ_Forecast8"/>
      <sheetName val="Income_&amp;_Occupancy_Customer8"/>
      <sheetName val="Aladdin_Macro18"/>
      <sheetName val="Acc_10_58"/>
      <sheetName val="Portfolio_Summary4"/>
      <sheetName val="Multiple_output8"/>
      <sheetName val="ABP_inputs8"/>
      <sheetName val="Synergy_Sales_Budget8"/>
      <sheetName val="Project_Budget_Worksheet8"/>
      <sheetName val="Calculation_(2)8"/>
      <sheetName val="Builtup_Area8"/>
      <sheetName val="RCC,Ret__Wall8"/>
      <sheetName val="BOQ_T4B8"/>
      <sheetName val="INDIGINEOUS_ITEMS_8"/>
      <sheetName val="Material_8"/>
      <sheetName val="Labour_&amp;_Plant8"/>
      <sheetName val="_B38"/>
      <sheetName val="_B18"/>
      <sheetName val="beam-reinft-IIInd_floor8"/>
      <sheetName val="IMPORT_T123"/>
      <sheetName val="Current_Bill_MB_ref4"/>
      <sheetName val="Meas_-Hotel_Part4"/>
      <sheetName val="van_khuon3"/>
      <sheetName val="TB_FOR_MIS3"/>
      <sheetName val="INPUT_SHEET2"/>
      <sheetName val="Approved_MTD_Proj_#'s8"/>
      <sheetName val="MN_T_B_8"/>
      <sheetName val="CFForecast_detail8"/>
      <sheetName val="Site_Dev_BOQ8"/>
      <sheetName val="Break_up_Sheet8"/>
      <sheetName val="Load_Details-220kV8"/>
      <sheetName val="Block_A_-_BOQ8"/>
      <sheetName val="IDC_macro3"/>
      <sheetName val="March_Analysts2"/>
      <sheetName val="Rollup_Summary3"/>
      <sheetName val="170810-lease_tax3"/>
      <sheetName val="CABLE_DATA3"/>
      <sheetName val="1st_flr3"/>
      <sheetName val="Civil_Boq3"/>
      <sheetName val="KPM_DT3"/>
      <sheetName val="EXHIBIT&quot;_T&quot;2"/>
      <sheetName val="final_abstract3"/>
      <sheetName val="Rate_analysis3"/>
      <sheetName val="_Acc__Sched_2"/>
      <sheetName val="Dom_Cell_(IS)2"/>
      <sheetName val="Summary_Excise2"/>
      <sheetName val="Other_BS_Sch_5-92"/>
      <sheetName val="Excess_Calc2"/>
      <sheetName val="Grouping_Master2"/>
      <sheetName val="Fin_Sum3"/>
      <sheetName val="Main_Sheet_(MTD)3"/>
      <sheetName val="Consl_Daily_Report3"/>
      <sheetName val="balance_sheet3"/>
      <sheetName val="EDS__Bestshore_Migration2"/>
      <sheetName val="MASTER_RATE_ANALYSIS2"/>
      <sheetName val="Valuation_-_block_22"/>
      <sheetName val="IT_Block2"/>
      <sheetName val="Location_CODE2"/>
      <sheetName val="Location_TYPE2"/>
      <sheetName val="sub_class2"/>
      <sheetName val="_sub_Loc_2"/>
      <sheetName val="Master_Price_List2"/>
      <sheetName val="P_&amp;_L2"/>
      <sheetName val="M-2_Adjusted2"/>
      <sheetName val="Main_workings2"/>
      <sheetName val="Balance_Sheet_2"/>
      <sheetName val="Trial_Balance2"/>
      <sheetName val="Base_Assumptions2"/>
      <sheetName val="SOPMA_DD2"/>
      <sheetName val="03_(2)2"/>
      <sheetName val="WIng_F(Typical)2"/>
      <sheetName val="10__&amp;_11__Rate_Code_&amp;_BQ2"/>
      <sheetName val="FITZ_MORT_942"/>
      <sheetName val="QoQ_In_Lakhs2"/>
      <sheetName val="vb_9&amp;102"/>
      <sheetName val="Goldberg_Portfolio_Combined2"/>
      <sheetName val="Commercial_Research2"/>
      <sheetName val="MIS_-_kINR3"/>
      <sheetName val="9__Package_split_-_Cost_2"/>
      <sheetName val="Legal_Risk_Analysis2"/>
      <sheetName val="Operating_Statistics2"/>
      <sheetName val="Theatre_mgmt_cont2"/>
      <sheetName val="IO_LIST2"/>
      <sheetName val="Cash_Flow_Working2"/>
      <sheetName val="Training_Deposits_coding2"/>
      <sheetName val="Notes-pivot1_2"/>
      <sheetName val="Leasing_Commision2"/>
      <sheetName val="Master_list2"/>
      <sheetName val="Labour_List2"/>
      <sheetName val="Material_List2"/>
      <sheetName val="Architectural_Summary2"/>
      <sheetName val="Labor_abs-NMR2"/>
      <sheetName val="Beam_at_Ground_flr_lvl(Steel)2"/>
      <sheetName val="1st_-vpd2"/>
      <sheetName val="Material_List_2"/>
      <sheetName val="schedule_nos2"/>
      <sheetName val="Fill_this_out_first___2"/>
      <sheetName val="FA_Schedule_Dec_072"/>
      <sheetName val="P_R__TAXES2"/>
      <sheetName val="BILLING_SUM2"/>
      <sheetName val="extra_work_elec_bill_2"/>
      <sheetName val="NEW-IDs_Fun_&amp;_Group2"/>
      <sheetName val="RCC_Rates2"/>
      <sheetName val="소상_&quot;1&quot;2"/>
      <sheetName val="Cost_summary2"/>
      <sheetName val="Open_Items-3112082"/>
      <sheetName val="PRECAST_lightconc-II2"/>
      <sheetName val="Debtors_analysis2"/>
      <sheetName val="pile_Fabrication2"/>
      <sheetName val="Tender_Summary2"/>
      <sheetName val="Bill_1-BOQ-Civil_Works2"/>
      <sheetName val="UNP-NCW_2"/>
      <sheetName val="4_4_External_Plaster2"/>
      <sheetName val="MIS_AC_wise2"/>
      <sheetName val="A_O_R_2"/>
      <sheetName val="Service_Invoice2"/>
      <sheetName val="LBO_Financials2"/>
      <sheetName val="ANN_K2"/>
      <sheetName val="drop-dwn_list2"/>
      <sheetName val="Rev_Opt_-_Rollup2"/>
      <sheetName val="Night_Shift2"/>
      <sheetName val="Graph_(LGEN)1"/>
      <sheetName val="선적schedule_(2)1"/>
      <sheetName val="USB_11"/>
      <sheetName val="BOQ_Distribution1"/>
      <sheetName val="GM_&amp;_TA1"/>
      <sheetName val="steam_outlet1"/>
      <sheetName val="FA(Apr_07)1"/>
      <sheetName val="Reco_O_S1"/>
      <sheetName val="Retail_Mall2"/>
      <sheetName val="Multipliers_&amp;_KRA1"/>
      <sheetName val="ASSETS_P&amp;M2"/>
      <sheetName val="Assets_Land_&amp;_Mise_FA2"/>
      <sheetName val="cl_14_Annex_7_1"/>
      <sheetName val="Encl_7A1"/>
      <sheetName val="SCH_101"/>
      <sheetName val="SAP_EMP1"/>
      <sheetName val="RATE_LIST_(2)1"/>
      <sheetName val="Control_Sheet1"/>
      <sheetName val="ITEM__STUDY_(2)2"/>
      <sheetName val="Felix_Street_Summary2"/>
      <sheetName val="Ins_Erection2"/>
      <sheetName val="TDS_Certificate-Format2"/>
      <sheetName val="Related_party_-_P&amp;L2"/>
      <sheetName val="HBI_NCD2"/>
      <sheetName val="CUSTOM_Jun992"/>
      <sheetName val="Overall_Summary2"/>
      <sheetName val="Basement_Budget2"/>
      <sheetName val="Staff_Costs2"/>
      <sheetName val="NGS_Data_Sheet"/>
      <sheetName val="SGS_Data_Sheet"/>
      <sheetName val="0__Data_Validation_List2"/>
      <sheetName val="stacking_sheet2"/>
      <sheetName val="Determination_of_Threshold1"/>
      <sheetName val="Taluka_wise_dealer_(2)1"/>
      <sheetName val="RCC_Ret__Wall1"/>
      <sheetName val="_1"/>
      <sheetName val="SAP_downloaded_schedule1"/>
      <sheetName val="S_&amp;_A1"/>
      <sheetName val="Schedule_v11"/>
      <sheetName val="Lease_Expiry1"/>
      <sheetName val="wdr_bldg1"/>
      <sheetName val="Formated_Trial_Balance1"/>
      <sheetName val="Monthly_Inputs1"/>
      <sheetName val="2000-1_Monthly_Cashflows1"/>
      <sheetName val="2002-2_Monthly_Cashflows1"/>
      <sheetName val="DYN_PP1"/>
      <sheetName val="June_Reserve_-_Far_East1"/>
      <sheetName val="WC_analytics_(+data_pages)1"/>
      <sheetName val="Base_data_Security_Procedures1"/>
      <sheetName val="Rs_in_lacs"/>
      <sheetName val="Esteem_Rear"/>
      <sheetName val="final_0611061"/>
      <sheetName val="SAB_P&amp;L1"/>
      <sheetName val="cash_flow2"/>
      <sheetName val="Key_Assumption1"/>
      <sheetName val="Master_Information1"/>
      <sheetName val="Check_Register"/>
      <sheetName val="EBITDA_Bridge"/>
      <sheetName val="2003_Budget-PL-case1"/>
      <sheetName val="meeting_rectification_control"/>
      <sheetName val="Loan_Data"/>
      <sheetName val="Standalone_seg"/>
      <sheetName val="Cash_Flow_"/>
      <sheetName val="Elec_Summ"/>
      <sheetName val="ELEC_BOQ"/>
      <sheetName val="TRACK_BUSWAY"/>
      <sheetName val="STAFFSCHED_"/>
      <sheetName val="Basic_Rate"/>
      <sheetName val="SP_Break_Up"/>
      <sheetName val="4_Annex_1_Basic_rate"/>
      <sheetName val="Fin__Assumpt__-_Sensitivities"/>
      <sheetName val="currency_(2)"/>
      <sheetName val="NW_RTU"/>
      <sheetName val="Clause_9"/>
      <sheetName val="Other_notes"/>
      <sheetName val="Linked_Lead"/>
      <sheetName val="DUMP_"/>
      <sheetName val="Bspl_Main"/>
      <sheetName val="NEWACNO"/>
      <sheetName val="Anlysis"/>
      <sheetName val="complexall"/>
      <sheetName val="DCF"/>
      <sheetName val="PFC"/>
      <sheetName val="RSJ"/>
      <sheetName val="cover page"/>
      <sheetName val="Structure Bills Qty"/>
      <sheetName val="beam-reinft"/>
      <sheetName val="Appendix B- 3.Structural Steel"/>
      <sheetName val="Appendix A- 1.Variation"/>
      <sheetName val="Contracts Status"/>
      <sheetName val="Cost Status-1"/>
      <sheetName val="Centaurus Contract Sum "/>
      <sheetName val="Payment Status"/>
      <sheetName val="1. Report"/>
      <sheetName val="CANDY BOQ"/>
      <sheetName val="FitOutConfCentre"/>
      <sheetName val="CapStru"/>
      <sheetName val="MktCap"/>
      <sheetName val="TradingVol"/>
      <sheetName val="1 LeadSchedule"/>
      <sheetName val="5-NCA"/>
      <sheetName val="GL Links"/>
      <sheetName val="PX1DATA"/>
      <sheetName val="PX2DATA"/>
      <sheetName val="Resue Hoist"/>
      <sheetName val="Detail"/>
      <sheetName val="Power &amp; Fuel(SMS)"/>
      <sheetName val="IncidentsEAP"/>
      <sheetName val="TR-PBT-Final-Detail"/>
      <sheetName val="1612.01AN(7) - Niep Tds Summary"/>
      <sheetName val="Manufacturing Statistics"/>
      <sheetName val="curlocal"/>
      <sheetName val="Manualformat"/>
      <sheetName val="MenuData"/>
      <sheetName val="Last Month Report"/>
      <sheetName val="nishanth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P&amp;L and CFlow"/>
      <sheetName val="NOV95"/>
      <sheetName val="Acquisition Assumptions"/>
      <sheetName val="CAUSTIC"/>
      <sheetName val="Reporting VA"/>
      <sheetName val="Standing Data"/>
      <sheetName val="cost sheet-1999-00"/>
      <sheetName val="Tables"/>
      <sheetName val="1996-97"/>
      <sheetName val="1072"/>
      <sheetName val="인사현황(부서)"/>
      <sheetName val="mltc"/>
      <sheetName val="Dollar_Value"/>
      <sheetName val="ECR.ECNOI Slide"/>
      <sheetName val="Pivot_Weighted_SC_edit"/>
      <sheetName val="lookup"/>
      <sheetName val="BOQ "/>
      <sheetName val="Local Data"/>
      <sheetName val="Misc__Master1"/>
      <sheetName val="Capital_Structure1"/>
      <sheetName val="Redelvery_provision_changed1"/>
      <sheetName val="SEP_1"/>
      <sheetName val="TBAL9697_-group_wise__sdpl1"/>
      <sheetName val="TASKRSRC_(2)"/>
      <sheetName val="Account_title1"/>
      <sheetName val="INQVAR_PY"/>
      <sheetName val="Schedules_3-8"/>
      <sheetName val="Total_MTH"/>
      <sheetName val="Infinite_Studios"/>
      <sheetName val="Neuros_&amp;_Immunos"/>
      <sheetName val="Jun_2000"/>
      <sheetName val="Sheet2_(2)"/>
      <sheetName val="Leg 1-1"/>
      <sheetName val="Door &amp; Window"/>
      <sheetName val="Sheet5"/>
      <sheetName val="Labour productivity"/>
      <sheetName val="Field Values"/>
      <sheetName val="Old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Form 6"/>
      <sheetName val="COLUMN"/>
      <sheetName val="except wiring"/>
      <sheetName val="loadcal"/>
      <sheetName val="WXY"/>
      <sheetName val="경비공통"/>
      <sheetName val="SUPPLY -Sanitary Fixtures"/>
      <sheetName val="External"/>
      <sheetName val="ITEMS FOR CIVIL TENDER"/>
      <sheetName val="ANALY"/>
      <sheetName val="PERFO"/>
      <sheetName val="EXIT"/>
      <sheetName val="C30"/>
      <sheetName val="인원계획-미화"/>
      <sheetName val="F-1 F-2"/>
      <sheetName val="@RISK Correlations"/>
      <sheetName val="General"/>
    </sheetNames>
    <sheetDataSet>
      <sheetData sheetId="0" refreshError="1">
        <row r="65">
          <cell r="A65" t="str">
            <v>(II)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65">
          <cell r="A65" t="str">
            <v>(II)</v>
          </cell>
        </row>
      </sheetData>
      <sheetData sheetId="64">
        <row r="65">
          <cell r="A65" t="str">
            <v>(II)</v>
          </cell>
        </row>
      </sheetData>
      <sheetData sheetId="65" refreshError="1"/>
      <sheetData sheetId="66" refreshError="1"/>
      <sheetData sheetId="67">
        <row r="65">
          <cell r="A65" t="str">
            <v>(II)</v>
          </cell>
        </row>
      </sheetData>
      <sheetData sheetId="68">
        <row r="65">
          <cell r="A65" t="str">
            <v>(II)</v>
          </cell>
        </row>
      </sheetData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65">
          <cell r="A65" t="str">
            <v>(II)</v>
          </cell>
        </row>
      </sheetData>
      <sheetData sheetId="79">
        <row r="65">
          <cell r="A65" t="str">
            <v>(II)</v>
          </cell>
        </row>
      </sheetData>
      <sheetData sheetId="80">
        <row r="65">
          <cell r="A65" t="str">
            <v>(II)</v>
          </cell>
        </row>
      </sheetData>
      <sheetData sheetId="81">
        <row r="65">
          <cell r="A65" t="str">
            <v>(II)</v>
          </cell>
        </row>
      </sheetData>
      <sheetData sheetId="82">
        <row r="65">
          <cell r="A65" t="str">
            <v>(II)</v>
          </cell>
        </row>
      </sheetData>
      <sheetData sheetId="83">
        <row r="65">
          <cell r="A65" t="str">
            <v>(II)</v>
          </cell>
        </row>
      </sheetData>
      <sheetData sheetId="84">
        <row r="65">
          <cell r="A65" t="str">
            <v>(II)</v>
          </cell>
        </row>
      </sheetData>
      <sheetData sheetId="85">
        <row r="65">
          <cell r="A65" t="str">
            <v>(II)</v>
          </cell>
        </row>
      </sheetData>
      <sheetData sheetId="86">
        <row r="65">
          <cell r="A65" t="str">
            <v>(II)</v>
          </cell>
        </row>
      </sheetData>
      <sheetData sheetId="87">
        <row r="65">
          <cell r="A65" t="str">
            <v>(II)</v>
          </cell>
        </row>
      </sheetData>
      <sheetData sheetId="88">
        <row r="65">
          <cell r="A65" t="str">
            <v>(II)</v>
          </cell>
        </row>
      </sheetData>
      <sheetData sheetId="89">
        <row r="65">
          <cell r="A65" t="str">
            <v>(II)</v>
          </cell>
        </row>
      </sheetData>
      <sheetData sheetId="90">
        <row r="65">
          <cell r="A65" t="str">
            <v>(II)</v>
          </cell>
        </row>
      </sheetData>
      <sheetData sheetId="91">
        <row r="65">
          <cell r="A65" t="str">
            <v>(II)</v>
          </cell>
        </row>
      </sheetData>
      <sheetData sheetId="92">
        <row r="65">
          <cell r="A65" t="str">
            <v>(II)</v>
          </cell>
        </row>
      </sheetData>
      <sheetData sheetId="93">
        <row r="65">
          <cell r="A65" t="str">
            <v>(II)</v>
          </cell>
        </row>
      </sheetData>
      <sheetData sheetId="94">
        <row r="65">
          <cell r="A65" t="str">
            <v>(II)</v>
          </cell>
        </row>
      </sheetData>
      <sheetData sheetId="95">
        <row r="65">
          <cell r="A65" t="str">
            <v>(II)</v>
          </cell>
        </row>
      </sheetData>
      <sheetData sheetId="96">
        <row r="65">
          <cell r="A65" t="str">
            <v>(II)</v>
          </cell>
        </row>
      </sheetData>
      <sheetData sheetId="97">
        <row r="65">
          <cell r="A65" t="str">
            <v>(II)</v>
          </cell>
        </row>
      </sheetData>
      <sheetData sheetId="98">
        <row r="65">
          <cell r="A65" t="str">
            <v>(II)</v>
          </cell>
        </row>
      </sheetData>
      <sheetData sheetId="99">
        <row r="65">
          <cell r="A65" t="str">
            <v>(II)</v>
          </cell>
        </row>
      </sheetData>
      <sheetData sheetId="100">
        <row r="65">
          <cell r="A65" t="str">
            <v>(II)</v>
          </cell>
        </row>
      </sheetData>
      <sheetData sheetId="101">
        <row r="65">
          <cell r="A65" t="str">
            <v>(II)</v>
          </cell>
        </row>
      </sheetData>
      <sheetData sheetId="102">
        <row r="65">
          <cell r="A65" t="str">
            <v>(II)</v>
          </cell>
        </row>
      </sheetData>
      <sheetData sheetId="103">
        <row r="65">
          <cell r="A65" t="str">
            <v>(II)</v>
          </cell>
        </row>
      </sheetData>
      <sheetData sheetId="104">
        <row r="65">
          <cell r="A65" t="str">
            <v>(II)</v>
          </cell>
        </row>
      </sheetData>
      <sheetData sheetId="105">
        <row r="65">
          <cell r="A65" t="str">
            <v>(II)</v>
          </cell>
        </row>
      </sheetData>
      <sheetData sheetId="106">
        <row r="65">
          <cell r="A65" t="str">
            <v>(II)</v>
          </cell>
        </row>
      </sheetData>
      <sheetData sheetId="107">
        <row r="65">
          <cell r="A65" t="str">
            <v>(II)</v>
          </cell>
        </row>
      </sheetData>
      <sheetData sheetId="108">
        <row r="65">
          <cell r="A65" t="str">
            <v>(II)</v>
          </cell>
        </row>
      </sheetData>
      <sheetData sheetId="109">
        <row r="65">
          <cell r="A65" t="str">
            <v>(II)</v>
          </cell>
        </row>
      </sheetData>
      <sheetData sheetId="110">
        <row r="65">
          <cell r="A65" t="str">
            <v>(II)</v>
          </cell>
        </row>
      </sheetData>
      <sheetData sheetId="111">
        <row r="65">
          <cell r="A65" t="str">
            <v>(II)</v>
          </cell>
        </row>
      </sheetData>
      <sheetData sheetId="112">
        <row r="65">
          <cell r="A65" t="str">
            <v>(II)</v>
          </cell>
        </row>
      </sheetData>
      <sheetData sheetId="113">
        <row r="65">
          <cell r="A65" t="str">
            <v>(II)</v>
          </cell>
        </row>
      </sheetData>
      <sheetData sheetId="114">
        <row r="65">
          <cell r="A65" t="str">
            <v>(II)</v>
          </cell>
        </row>
      </sheetData>
      <sheetData sheetId="115">
        <row r="65">
          <cell r="A65" t="str">
            <v>(II)</v>
          </cell>
        </row>
      </sheetData>
      <sheetData sheetId="116">
        <row r="65">
          <cell r="A65" t="str">
            <v>(II)</v>
          </cell>
        </row>
      </sheetData>
      <sheetData sheetId="117">
        <row r="65">
          <cell r="A65" t="str">
            <v>(II)</v>
          </cell>
        </row>
      </sheetData>
      <sheetData sheetId="118">
        <row r="65">
          <cell r="A65" t="str">
            <v>(II)</v>
          </cell>
        </row>
      </sheetData>
      <sheetData sheetId="119">
        <row r="65">
          <cell r="A65" t="str">
            <v>(II)</v>
          </cell>
        </row>
      </sheetData>
      <sheetData sheetId="120">
        <row r="65">
          <cell r="A65" t="str">
            <v>(II)</v>
          </cell>
        </row>
      </sheetData>
      <sheetData sheetId="121">
        <row r="65">
          <cell r="A65" t="str">
            <v>(II)</v>
          </cell>
        </row>
      </sheetData>
      <sheetData sheetId="122">
        <row r="65">
          <cell r="A65" t="str">
            <v>(II)</v>
          </cell>
        </row>
      </sheetData>
      <sheetData sheetId="123">
        <row r="65">
          <cell r="A65" t="str">
            <v>(II)</v>
          </cell>
        </row>
      </sheetData>
      <sheetData sheetId="124">
        <row r="65">
          <cell r="A65" t="str">
            <v>(II)</v>
          </cell>
        </row>
      </sheetData>
      <sheetData sheetId="125">
        <row r="65">
          <cell r="A65" t="str">
            <v>(II)</v>
          </cell>
        </row>
      </sheetData>
      <sheetData sheetId="126">
        <row r="65">
          <cell r="A65" t="str">
            <v>(II)</v>
          </cell>
        </row>
      </sheetData>
      <sheetData sheetId="127">
        <row r="65">
          <cell r="A65" t="str">
            <v>(II)</v>
          </cell>
        </row>
      </sheetData>
      <sheetData sheetId="128">
        <row r="65">
          <cell r="A65" t="str">
            <v>(II)</v>
          </cell>
        </row>
      </sheetData>
      <sheetData sheetId="129">
        <row r="65">
          <cell r="A65" t="str">
            <v>(II)</v>
          </cell>
        </row>
      </sheetData>
      <sheetData sheetId="130">
        <row r="65">
          <cell r="A65" t="str">
            <v>(II)</v>
          </cell>
        </row>
      </sheetData>
      <sheetData sheetId="131">
        <row r="65">
          <cell r="A65" t="str">
            <v>(II)</v>
          </cell>
        </row>
      </sheetData>
      <sheetData sheetId="132">
        <row r="65">
          <cell r="A65" t="str">
            <v>(II)</v>
          </cell>
        </row>
      </sheetData>
      <sheetData sheetId="133">
        <row r="65">
          <cell r="A65" t="str">
            <v>(II)</v>
          </cell>
        </row>
      </sheetData>
      <sheetData sheetId="134">
        <row r="65">
          <cell r="A65" t="str">
            <v>(II)</v>
          </cell>
        </row>
      </sheetData>
      <sheetData sheetId="135">
        <row r="65">
          <cell r="A65" t="str">
            <v>(II)</v>
          </cell>
        </row>
      </sheetData>
      <sheetData sheetId="136">
        <row r="65">
          <cell r="A65" t="str">
            <v>(II)</v>
          </cell>
        </row>
      </sheetData>
      <sheetData sheetId="137">
        <row r="65">
          <cell r="A65" t="str">
            <v>(II)</v>
          </cell>
        </row>
      </sheetData>
      <sheetData sheetId="138">
        <row r="65">
          <cell r="A65" t="str">
            <v>(II)</v>
          </cell>
        </row>
      </sheetData>
      <sheetData sheetId="139">
        <row r="65">
          <cell r="A65" t="str">
            <v>(II)</v>
          </cell>
        </row>
      </sheetData>
      <sheetData sheetId="140">
        <row r="65">
          <cell r="A65" t="str">
            <v>(II)</v>
          </cell>
        </row>
      </sheetData>
      <sheetData sheetId="141">
        <row r="65">
          <cell r="A65" t="str">
            <v>(II)</v>
          </cell>
        </row>
      </sheetData>
      <sheetData sheetId="142">
        <row r="65">
          <cell r="A65" t="str">
            <v>(II)</v>
          </cell>
        </row>
      </sheetData>
      <sheetData sheetId="143">
        <row r="65">
          <cell r="A65" t="str">
            <v>(II)</v>
          </cell>
        </row>
      </sheetData>
      <sheetData sheetId="144">
        <row r="65">
          <cell r="A65" t="str">
            <v>(II)</v>
          </cell>
        </row>
      </sheetData>
      <sheetData sheetId="145">
        <row r="65">
          <cell r="A65" t="str">
            <v>(II)</v>
          </cell>
        </row>
      </sheetData>
      <sheetData sheetId="146">
        <row r="65">
          <cell r="A65" t="str">
            <v>(II)</v>
          </cell>
        </row>
      </sheetData>
      <sheetData sheetId="147">
        <row r="65">
          <cell r="A65" t="str">
            <v>(II)</v>
          </cell>
        </row>
      </sheetData>
      <sheetData sheetId="148">
        <row r="65">
          <cell r="A65" t="str">
            <v>(II)</v>
          </cell>
        </row>
      </sheetData>
      <sheetData sheetId="149">
        <row r="65">
          <cell r="A65" t="str">
            <v>(II)</v>
          </cell>
        </row>
      </sheetData>
      <sheetData sheetId="150">
        <row r="65">
          <cell r="A65" t="str">
            <v>(II)</v>
          </cell>
        </row>
      </sheetData>
      <sheetData sheetId="151">
        <row r="65">
          <cell r="A65" t="str">
            <v>(II)</v>
          </cell>
        </row>
      </sheetData>
      <sheetData sheetId="152">
        <row r="65">
          <cell r="A65" t="str">
            <v>(II)</v>
          </cell>
        </row>
      </sheetData>
      <sheetData sheetId="153">
        <row r="65">
          <cell r="A65" t="str">
            <v>(II)</v>
          </cell>
        </row>
      </sheetData>
      <sheetData sheetId="154">
        <row r="65">
          <cell r="A65" t="str">
            <v>(II)</v>
          </cell>
        </row>
      </sheetData>
      <sheetData sheetId="155">
        <row r="65">
          <cell r="A65" t="str">
            <v>(II)</v>
          </cell>
        </row>
      </sheetData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>
        <row r="65">
          <cell r="A65" t="str">
            <v>(II)</v>
          </cell>
        </row>
      </sheetData>
      <sheetData sheetId="267">
        <row r="65">
          <cell r="A65" t="str">
            <v>(II)</v>
          </cell>
        </row>
      </sheetData>
      <sheetData sheetId="268">
        <row r="65">
          <cell r="A65" t="str">
            <v>(II)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65">
          <cell r="A65" t="str">
            <v>(II)</v>
          </cell>
        </row>
      </sheetData>
      <sheetData sheetId="295">
        <row r="65">
          <cell r="A65" t="str">
            <v>(II)</v>
          </cell>
        </row>
      </sheetData>
      <sheetData sheetId="296">
        <row r="65">
          <cell r="A65" t="str">
            <v>(II)</v>
          </cell>
        </row>
      </sheetData>
      <sheetData sheetId="297">
        <row r="65">
          <cell r="A65" t="str">
            <v>(II)</v>
          </cell>
        </row>
      </sheetData>
      <sheetData sheetId="298">
        <row r="65">
          <cell r="A65" t="str">
            <v>(II)</v>
          </cell>
        </row>
      </sheetData>
      <sheetData sheetId="299">
        <row r="65">
          <cell r="A65" t="str">
            <v>(II)</v>
          </cell>
        </row>
      </sheetData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>
        <row r="65">
          <cell r="A65" t="str">
            <v>(II)</v>
          </cell>
        </row>
      </sheetData>
      <sheetData sheetId="347">
        <row r="65">
          <cell r="A65" t="str">
            <v>(II)</v>
          </cell>
        </row>
      </sheetData>
      <sheetData sheetId="348">
        <row r="65">
          <cell r="A65" t="str">
            <v>(II)</v>
          </cell>
        </row>
      </sheetData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>
        <row r="65">
          <cell r="A65" t="str">
            <v>(II)</v>
          </cell>
        </row>
      </sheetData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>
        <row r="65">
          <cell r="A65" t="str">
            <v>(II)</v>
          </cell>
        </row>
      </sheetData>
      <sheetData sheetId="418">
        <row r="65">
          <cell r="A65" t="str">
            <v>(II)</v>
          </cell>
        </row>
      </sheetData>
      <sheetData sheetId="419">
        <row r="65">
          <cell r="A65" t="str">
            <v>(II)</v>
          </cell>
        </row>
      </sheetData>
      <sheetData sheetId="420">
        <row r="65">
          <cell r="A65" t="str">
            <v>(II)</v>
          </cell>
        </row>
      </sheetData>
      <sheetData sheetId="421">
        <row r="65">
          <cell r="A65" t="str">
            <v>(II)</v>
          </cell>
        </row>
      </sheetData>
      <sheetData sheetId="422">
        <row r="65">
          <cell r="A65" t="str">
            <v>(II)</v>
          </cell>
        </row>
      </sheetData>
      <sheetData sheetId="423">
        <row r="65">
          <cell r="A65" t="str">
            <v>(II)</v>
          </cell>
        </row>
      </sheetData>
      <sheetData sheetId="424">
        <row r="65">
          <cell r="A65" t="str">
            <v>(II)</v>
          </cell>
        </row>
      </sheetData>
      <sheetData sheetId="425">
        <row r="65">
          <cell r="A65" t="str">
            <v>(II)</v>
          </cell>
        </row>
      </sheetData>
      <sheetData sheetId="426">
        <row r="65">
          <cell r="A65" t="str">
            <v>(II)</v>
          </cell>
        </row>
      </sheetData>
      <sheetData sheetId="427">
        <row r="65">
          <cell r="A65" t="str">
            <v>(II)</v>
          </cell>
        </row>
      </sheetData>
      <sheetData sheetId="428">
        <row r="65">
          <cell r="A65" t="str">
            <v>(II)</v>
          </cell>
        </row>
      </sheetData>
      <sheetData sheetId="429">
        <row r="65">
          <cell r="A65" t="str">
            <v>(II)</v>
          </cell>
        </row>
      </sheetData>
      <sheetData sheetId="430">
        <row r="65">
          <cell r="A65" t="str">
            <v>(II)</v>
          </cell>
        </row>
      </sheetData>
      <sheetData sheetId="431">
        <row r="65">
          <cell r="A65" t="str">
            <v>(II)</v>
          </cell>
        </row>
      </sheetData>
      <sheetData sheetId="432">
        <row r="65">
          <cell r="A65" t="str">
            <v>(II)</v>
          </cell>
        </row>
      </sheetData>
      <sheetData sheetId="433">
        <row r="65">
          <cell r="A65" t="str">
            <v>(II)</v>
          </cell>
        </row>
      </sheetData>
      <sheetData sheetId="434">
        <row r="65">
          <cell r="A65" t="str">
            <v>(II)</v>
          </cell>
        </row>
      </sheetData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>
        <row r="65">
          <cell r="A65" t="str">
            <v>(II)</v>
          </cell>
        </row>
      </sheetData>
      <sheetData sheetId="454">
        <row r="65">
          <cell r="A65" t="str">
            <v>(II)</v>
          </cell>
        </row>
      </sheetData>
      <sheetData sheetId="455">
        <row r="65">
          <cell r="A65" t="str">
            <v>(II)</v>
          </cell>
        </row>
      </sheetData>
      <sheetData sheetId="456">
        <row r="65">
          <cell r="A65" t="str">
            <v>(II)</v>
          </cell>
        </row>
      </sheetData>
      <sheetData sheetId="457">
        <row r="65">
          <cell r="A65" t="str">
            <v>(II)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65">
          <cell r="A65" t="str">
            <v>(II)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65">
          <cell r="A65" t="str">
            <v>(II)</v>
          </cell>
        </row>
      </sheetData>
      <sheetData sheetId="530">
        <row r="65">
          <cell r="A65" t="str">
            <v>(II)</v>
          </cell>
        </row>
      </sheetData>
      <sheetData sheetId="531">
        <row r="65">
          <cell r="A65" t="str">
            <v>(II)</v>
          </cell>
        </row>
      </sheetData>
      <sheetData sheetId="532">
        <row r="65">
          <cell r="A65" t="str">
            <v>(II)</v>
          </cell>
        </row>
      </sheetData>
      <sheetData sheetId="533">
        <row r="65">
          <cell r="A65" t="str">
            <v>(II)</v>
          </cell>
        </row>
      </sheetData>
      <sheetData sheetId="534">
        <row r="65">
          <cell r="A65" t="str">
            <v>(II)</v>
          </cell>
        </row>
      </sheetData>
      <sheetData sheetId="535">
        <row r="65">
          <cell r="A65" t="str">
            <v>(II)</v>
          </cell>
        </row>
      </sheetData>
      <sheetData sheetId="536">
        <row r="65">
          <cell r="A65" t="str">
            <v>(II)</v>
          </cell>
        </row>
      </sheetData>
      <sheetData sheetId="537">
        <row r="65">
          <cell r="A65" t="str">
            <v>(II)</v>
          </cell>
        </row>
      </sheetData>
      <sheetData sheetId="538">
        <row r="65">
          <cell r="A65" t="str">
            <v>(II)</v>
          </cell>
        </row>
      </sheetData>
      <sheetData sheetId="539">
        <row r="65">
          <cell r="A65" t="str">
            <v>(II)</v>
          </cell>
        </row>
      </sheetData>
      <sheetData sheetId="540">
        <row r="65">
          <cell r="A65" t="str">
            <v>(II)</v>
          </cell>
        </row>
      </sheetData>
      <sheetData sheetId="541">
        <row r="65">
          <cell r="A65" t="str">
            <v>(II)</v>
          </cell>
        </row>
      </sheetData>
      <sheetData sheetId="542">
        <row r="65">
          <cell r="A65" t="str">
            <v>(II)</v>
          </cell>
        </row>
      </sheetData>
      <sheetData sheetId="543">
        <row r="65">
          <cell r="A65" t="str">
            <v>(II)</v>
          </cell>
        </row>
      </sheetData>
      <sheetData sheetId="544">
        <row r="65">
          <cell r="A65" t="str">
            <v>(II)</v>
          </cell>
        </row>
      </sheetData>
      <sheetData sheetId="545">
        <row r="65">
          <cell r="A65" t="str">
            <v>(II)</v>
          </cell>
        </row>
      </sheetData>
      <sheetData sheetId="546">
        <row r="65">
          <cell r="A65" t="str">
            <v>(II)</v>
          </cell>
        </row>
      </sheetData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>
        <row r="65">
          <cell r="A65" t="str">
            <v>(II)</v>
          </cell>
        </row>
      </sheetData>
      <sheetData sheetId="602">
        <row r="65">
          <cell r="A65" t="str">
            <v>(II)</v>
          </cell>
        </row>
      </sheetData>
      <sheetData sheetId="603">
        <row r="65">
          <cell r="A65" t="str">
            <v>(II)</v>
          </cell>
        </row>
      </sheetData>
      <sheetData sheetId="604">
        <row r="65">
          <cell r="A65" t="str">
            <v>(II)</v>
          </cell>
        </row>
      </sheetData>
      <sheetData sheetId="605">
        <row r="65">
          <cell r="A65" t="str">
            <v>(II)</v>
          </cell>
        </row>
      </sheetData>
      <sheetData sheetId="606">
        <row r="65">
          <cell r="A65" t="str">
            <v>(II)</v>
          </cell>
        </row>
      </sheetData>
      <sheetData sheetId="607">
        <row r="65">
          <cell r="A65" t="str">
            <v>(II)</v>
          </cell>
        </row>
      </sheetData>
      <sheetData sheetId="608">
        <row r="65">
          <cell r="A65" t="str">
            <v>(II)</v>
          </cell>
        </row>
      </sheetData>
      <sheetData sheetId="609">
        <row r="65">
          <cell r="A65" t="str">
            <v>(II)</v>
          </cell>
        </row>
      </sheetData>
      <sheetData sheetId="610">
        <row r="65">
          <cell r="A65" t="str">
            <v>(II)</v>
          </cell>
        </row>
      </sheetData>
      <sheetData sheetId="611">
        <row r="65">
          <cell r="A65" t="str">
            <v>(II)</v>
          </cell>
        </row>
      </sheetData>
      <sheetData sheetId="612">
        <row r="65">
          <cell r="A65" t="str">
            <v>(II)</v>
          </cell>
        </row>
      </sheetData>
      <sheetData sheetId="613">
        <row r="65">
          <cell r="A65" t="str">
            <v>(II)</v>
          </cell>
        </row>
      </sheetData>
      <sheetData sheetId="614">
        <row r="65">
          <cell r="A65" t="str">
            <v>(II)</v>
          </cell>
        </row>
      </sheetData>
      <sheetData sheetId="615">
        <row r="65">
          <cell r="A65" t="str">
            <v>(II)</v>
          </cell>
        </row>
      </sheetData>
      <sheetData sheetId="616">
        <row r="65">
          <cell r="A65" t="str">
            <v>(II)</v>
          </cell>
        </row>
      </sheetData>
      <sheetData sheetId="617">
        <row r="65">
          <cell r="A65" t="str">
            <v>(II)</v>
          </cell>
        </row>
      </sheetData>
      <sheetData sheetId="618">
        <row r="65">
          <cell r="A65" t="str">
            <v>(II)</v>
          </cell>
        </row>
      </sheetData>
      <sheetData sheetId="619">
        <row r="65">
          <cell r="A65" t="str">
            <v>(II)</v>
          </cell>
        </row>
      </sheetData>
      <sheetData sheetId="620">
        <row r="65">
          <cell r="A65" t="str">
            <v>(II)</v>
          </cell>
        </row>
      </sheetData>
      <sheetData sheetId="621">
        <row r="65">
          <cell r="A65" t="str">
            <v>(II)</v>
          </cell>
        </row>
      </sheetData>
      <sheetData sheetId="622">
        <row r="65">
          <cell r="A65" t="str">
            <v>(II)</v>
          </cell>
        </row>
      </sheetData>
      <sheetData sheetId="623">
        <row r="65">
          <cell r="A65" t="str">
            <v>(II)</v>
          </cell>
        </row>
      </sheetData>
      <sheetData sheetId="624">
        <row r="65">
          <cell r="A65" t="str">
            <v>(II)</v>
          </cell>
        </row>
      </sheetData>
      <sheetData sheetId="625">
        <row r="65">
          <cell r="A65" t="str">
            <v>(II)</v>
          </cell>
        </row>
      </sheetData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>
        <row r="65">
          <cell r="A65" t="str">
            <v>(II)</v>
          </cell>
        </row>
      </sheetData>
      <sheetData sheetId="639">
        <row r="65">
          <cell r="A65" t="str">
            <v>(II)</v>
          </cell>
        </row>
      </sheetData>
      <sheetData sheetId="640">
        <row r="65">
          <cell r="A65" t="str">
            <v>(II)</v>
          </cell>
        </row>
      </sheetData>
      <sheetData sheetId="641">
        <row r="65">
          <cell r="A65" t="str">
            <v>(II)</v>
          </cell>
        </row>
      </sheetData>
      <sheetData sheetId="642">
        <row r="65">
          <cell r="A65" t="str">
            <v>(II)</v>
          </cell>
        </row>
      </sheetData>
      <sheetData sheetId="643">
        <row r="65">
          <cell r="A65" t="str">
            <v>(II)</v>
          </cell>
        </row>
      </sheetData>
      <sheetData sheetId="644">
        <row r="65">
          <cell r="A65" t="str">
            <v>(II)</v>
          </cell>
        </row>
      </sheetData>
      <sheetData sheetId="645">
        <row r="65">
          <cell r="A65" t="str">
            <v>(II)</v>
          </cell>
        </row>
      </sheetData>
      <sheetData sheetId="646">
        <row r="65">
          <cell r="A65" t="str">
            <v>(II)</v>
          </cell>
        </row>
      </sheetData>
      <sheetData sheetId="647">
        <row r="65">
          <cell r="A65" t="str">
            <v>(II)</v>
          </cell>
        </row>
      </sheetData>
      <sheetData sheetId="648">
        <row r="65">
          <cell r="A65" t="str">
            <v>(II)</v>
          </cell>
        </row>
      </sheetData>
      <sheetData sheetId="649">
        <row r="65">
          <cell r="A65" t="str">
            <v>(II)</v>
          </cell>
        </row>
      </sheetData>
      <sheetData sheetId="650">
        <row r="65">
          <cell r="A65" t="str">
            <v>(II)</v>
          </cell>
        </row>
      </sheetData>
      <sheetData sheetId="651">
        <row r="65">
          <cell r="A65" t="str">
            <v>(II)</v>
          </cell>
        </row>
      </sheetData>
      <sheetData sheetId="652">
        <row r="65">
          <cell r="A65" t="str">
            <v>(II)</v>
          </cell>
        </row>
      </sheetData>
      <sheetData sheetId="653">
        <row r="65">
          <cell r="A65" t="str">
            <v>(II)</v>
          </cell>
        </row>
      </sheetData>
      <sheetData sheetId="654">
        <row r="65">
          <cell r="A65" t="str">
            <v>(II)</v>
          </cell>
        </row>
      </sheetData>
      <sheetData sheetId="655">
        <row r="65">
          <cell r="A65" t="str">
            <v>(II)</v>
          </cell>
        </row>
      </sheetData>
      <sheetData sheetId="656">
        <row r="65">
          <cell r="A65" t="str">
            <v>(II)</v>
          </cell>
        </row>
      </sheetData>
      <sheetData sheetId="657">
        <row r="65">
          <cell r="A65" t="str">
            <v>(II)</v>
          </cell>
        </row>
      </sheetData>
      <sheetData sheetId="658">
        <row r="65">
          <cell r="A65" t="str">
            <v>(II)</v>
          </cell>
        </row>
      </sheetData>
      <sheetData sheetId="659">
        <row r="65">
          <cell r="A65" t="str">
            <v>(II)</v>
          </cell>
        </row>
      </sheetData>
      <sheetData sheetId="660">
        <row r="65">
          <cell r="A65" t="str">
            <v>(II)</v>
          </cell>
        </row>
      </sheetData>
      <sheetData sheetId="661">
        <row r="65">
          <cell r="A65" t="str">
            <v>(II)</v>
          </cell>
        </row>
      </sheetData>
      <sheetData sheetId="662">
        <row r="65">
          <cell r="A65" t="str">
            <v>(II)</v>
          </cell>
        </row>
      </sheetData>
      <sheetData sheetId="663">
        <row r="65">
          <cell r="A65" t="str">
            <v>(II)</v>
          </cell>
        </row>
      </sheetData>
      <sheetData sheetId="664">
        <row r="65">
          <cell r="A65" t="str">
            <v>(II)</v>
          </cell>
        </row>
      </sheetData>
      <sheetData sheetId="665">
        <row r="65">
          <cell r="A65" t="str">
            <v>(II)</v>
          </cell>
        </row>
      </sheetData>
      <sheetData sheetId="666">
        <row r="65">
          <cell r="A65" t="str">
            <v>(II)</v>
          </cell>
        </row>
      </sheetData>
      <sheetData sheetId="667">
        <row r="65">
          <cell r="A65" t="str">
            <v>(II)</v>
          </cell>
        </row>
      </sheetData>
      <sheetData sheetId="668">
        <row r="65">
          <cell r="A65" t="str">
            <v>(II)</v>
          </cell>
        </row>
      </sheetData>
      <sheetData sheetId="669">
        <row r="65">
          <cell r="A65" t="str">
            <v>(II)</v>
          </cell>
        </row>
      </sheetData>
      <sheetData sheetId="670">
        <row r="65">
          <cell r="A65" t="str">
            <v>(II)</v>
          </cell>
        </row>
      </sheetData>
      <sheetData sheetId="671">
        <row r="65">
          <cell r="A65" t="str">
            <v>(II)</v>
          </cell>
        </row>
      </sheetData>
      <sheetData sheetId="672">
        <row r="65">
          <cell r="A65" t="str">
            <v>(II)</v>
          </cell>
        </row>
      </sheetData>
      <sheetData sheetId="673">
        <row r="65">
          <cell r="A65" t="str">
            <v>(II)</v>
          </cell>
        </row>
      </sheetData>
      <sheetData sheetId="674">
        <row r="65">
          <cell r="A65" t="str">
            <v>(II)</v>
          </cell>
        </row>
      </sheetData>
      <sheetData sheetId="675">
        <row r="65">
          <cell r="A65" t="str">
            <v>(II)</v>
          </cell>
        </row>
      </sheetData>
      <sheetData sheetId="676">
        <row r="65">
          <cell r="A65" t="str">
            <v>(II)</v>
          </cell>
        </row>
      </sheetData>
      <sheetData sheetId="677">
        <row r="65">
          <cell r="A65" t="str">
            <v>(II)</v>
          </cell>
        </row>
      </sheetData>
      <sheetData sheetId="678">
        <row r="65">
          <cell r="A65" t="str">
            <v>(II)</v>
          </cell>
        </row>
      </sheetData>
      <sheetData sheetId="679">
        <row r="65">
          <cell r="A65" t="str">
            <v>(II)</v>
          </cell>
        </row>
      </sheetData>
      <sheetData sheetId="680">
        <row r="65">
          <cell r="A65" t="str">
            <v>(II)</v>
          </cell>
        </row>
      </sheetData>
      <sheetData sheetId="681">
        <row r="65">
          <cell r="A65" t="str">
            <v>(II)</v>
          </cell>
        </row>
      </sheetData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/>
      <sheetData sheetId="692" refreshError="1"/>
      <sheetData sheetId="693" refreshError="1"/>
      <sheetData sheetId="694" refreshError="1"/>
      <sheetData sheetId="695" refreshError="1"/>
      <sheetData sheetId="696"/>
      <sheetData sheetId="697"/>
      <sheetData sheetId="698" refreshError="1"/>
      <sheetData sheetId="699">
        <row r="65">
          <cell r="A65" t="str">
            <v>(II)</v>
          </cell>
        </row>
      </sheetData>
      <sheetData sheetId="700">
        <row r="65">
          <cell r="A65" t="str">
            <v>(II)</v>
          </cell>
        </row>
      </sheetData>
      <sheetData sheetId="701">
        <row r="65">
          <cell r="A65" t="str">
            <v>(II)</v>
          </cell>
        </row>
      </sheetData>
      <sheetData sheetId="702">
        <row r="65">
          <cell r="A65" t="str">
            <v>(II)</v>
          </cell>
        </row>
      </sheetData>
      <sheetData sheetId="703">
        <row r="65">
          <cell r="A65" t="str">
            <v>(II)</v>
          </cell>
        </row>
      </sheetData>
      <sheetData sheetId="704">
        <row r="65">
          <cell r="A65" t="str">
            <v>(II)</v>
          </cell>
        </row>
      </sheetData>
      <sheetData sheetId="705">
        <row r="65">
          <cell r="A65" t="str">
            <v>(II)</v>
          </cell>
        </row>
      </sheetData>
      <sheetData sheetId="706">
        <row r="65">
          <cell r="A65" t="str">
            <v>(II)</v>
          </cell>
        </row>
      </sheetData>
      <sheetData sheetId="707">
        <row r="65">
          <cell r="A65" t="str">
            <v>(II)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>
        <row r="65">
          <cell r="A65" t="str">
            <v>(II)</v>
          </cell>
        </row>
      </sheetData>
      <sheetData sheetId="740">
        <row r="65">
          <cell r="A65" t="str">
            <v>(II)</v>
          </cell>
        </row>
      </sheetData>
      <sheetData sheetId="741" refreshError="1"/>
      <sheetData sheetId="742" refreshError="1"/>
      <sheetData sheetId="743"/>
      <sheetData sheetId="744">
        <row r="65">
          <cell r="A65" t="str">
            <v>(II)</v>
          </cell>
        </row>
      </sheetData>
      <sheetData sheetId="745">
        <row r="65">
          <cell r="A65" t="str">
            <v>(II)</v>
          </cell>
        </row>
      </sheetData>
      <sheetData sheetId="746">
        <row r="65">
          <cell r="A65" t="str">
            <v>(II)</v>
          </cell>
        </row>
      </sheetData>
      <sheetData sheetId="747">
        <row r="65">
          <cell r="A65" t="str">
            <v>(II)</v>
          </cell>
        </row>
      </sheetData>
      <sheetData sheetId="748">
        <row r="65">
          <cell r="A65" t="str">
            <v>(II)</v>
          </cell>
        </row>
      </sheetData>
      <sheetData sheetId="749" refreshError="1"/>
      <sheetData sheetId="750" refreshError="1"/>
      <sheetData sheetId="751">
        <row r="65">
          <cell r="A65" t="str">
            <v>(II)</v>
          </cell>
        </row>
      </sheetData>
      <sheetData sheetId="752">
        <row r="65">
          <cell r="A65" t="str">
            <v>(II)</v>
          </cell>
        </row>
      </sheetData>
      <sheetData sheetId="753">
        <row r="65">
          <cell r="A65" t="str">
            <v>(II)</v>
          </cell>
        </row>
      </sheetData>
      <sheetData sheetId="754">
        <row r="65">
          <cell r="A65" t="str">
            <v>(II)</v>
          </cell>
        </row>
      </sheetData>
      <sheetData sheetId="755">
        <row r="65">
          <cell r="A65" t="str">
            <v>(II)</v>
          </cell>
        </row>
      </sheetData>
      <sheetData sheetId="756">
        <row r="65">
          <cell r="A65" t="str">
            <v>(II)</v>
          </cell>
        </row>
      </sheetData>
      <sheetData sheetId="757">
        <row r="65">
          <cell r="A65" t="str">
            <v>(II)</v>
          </cell>
        </row>
      </sheetData>
      <sheetData sheetId="758">
        <row r="65">
          <cell r="A65" t="str">
            <v>(II)</v>
          </cell>
        </row>
      </sheetData>
      <sheetData sheetId="759">
        <row r="65">
          <cell r="A65" t="str">
            <v>(II)</v>
          </cell>
        </row>
      </sheetData>
      <sheetData sheetId="760">
        <row r="65">
          <cell r="A65" t="str">
            <v>(II)</v>
          </cell>
        </row>
      </sheetData>
      <sheetData sheetId="761">
        <row r="65">
          <cell r="A65" t="str">
            <v>(II)</v>
          </cell>
        </row>
      </sheetData>
      <sheetData sheetId="762">
        <row r="65">
          <cell r="A65" t="str">
            <v>(II)</v>
          </cell>
        </row>
      </sheetData>
      <sheetData sheetId="763">
        <row r="65">
          <cell r="A65" t="str">
            <v>(II)</v>
          </cell>
        </row>
      </sheetData>
      <sheetData sheetId="764">
        <row r="65">
          <cell r="A65" t="str">
            <v>(II)</v>
          </cell>
        </row>
      </sheetData>
      <sheetData sheetId="765">
        <row r="65">
          <cell r="A65" t="str">
            <v>(II)</v>
          </cell>
        </row>
      </sheetData>
      <sheetData sheetId="766">
        <row r="65">
          <cell r="A65" t="str">
            <v>(II)</v>
          </cell>
        </row>
      </sheetData>
      <sheetData sheetId="767">
        <row r="65">
          <cell r="A65" t="str">
            <v>(II)</v>
          </cell>
        </row>
      </sheetData>
      <sheetData sheetId="768">
        <row r="65">
          <cell r="A65" t="str">
            <v>(II)</v>
          </cell>
        </row>
      </sheetData>
      <sheetData sheetId="769">
        <row r="65">
          <cell r="A65" t="str">
            <v>(II)</v>
          </cell>
        </row>
      </sheetData>
      <sheetData sheetId="770">
        <row r="65">
          <cell r="A65" t="str">
            <v>(II)</v>
          </cell>
        </row>
      </sheetData>
      <sheetData sheetId="771">
        <row r="65">
          <cell r="A65" t="str">
            <v>(II)</v>
          </cell>
        </row>
      </sheetData>
      <sheetData sheetId="772">
        <row r="65">
          <cell r="A65" t="str">
            <v>(II)</v>
          </cell>
        </row>
      </sheetData>
      <sheetData sheetId="773">
        <row r="65">
          <cell r="A65" t="str">
            <v>(II)</v>
          </cell>
        </row>
      </sheetData>
      <sheetData sheetId="774">
        <row r="65">
          <cell r="A65" t="str">
            <v>(II)</v>
          </cell>
        </row>
      </sheetData>
      <sheetData sheetId="775">
        <row r="65">
          <cell r="A65" t="str">
            <v>(II)</v>
          </cell>
        </row>
      </sheetData>
      <sheetData sheetId="776">
        <row r="65">
          <cell r="A65" t="str">
            <v>(II)</v>
          </cell>
        </row>
      </sheetData>
      <sheetData sheetId="777">
        <row r="65">
          <cell r="A65" t="str">
            <v>(II)</v>
          </cell>
        </row>
      </sheetData>
      <sheetData sheetId="778">
        <row r="65">
          <cell r="A65" t="str">
            <v>(II)</v>
          </cell>
        </row>
      </sheetData>
      <sheetData sheetId="779">
        <row r="65">
          <cell r="A65" t="str">
            <v>(II)</v>
          </cell>
        </row>
      </sheetData>
      <sheetData sheetId="780">
        <row r="65">
          <cell r="A65" t="str">
            <v>(II)</v>
          </cell>
        </row>
      </sheetData>
      <sheetData sheetId="781">
        <row r="65">
          <cell r="A65" t="str">
            <v>(II)</v>
          </cell>
        </row>
      </sheetData>
      <sheetData sheetId="782">
        <row r="65">
          <cell r="A65" t="str">
            <v>(II)</v>
          </cell>
        </row>
      </sheetData>
      <sheetData sheetId="783"/>
      <sheetData sheetId="784">
        <row r="65">
          <cell r="A65" t="str">
            <v>(II)</v>
          </cell>
        </row>
      </sheetData>
      <sheetData sheetId="785">
        <row r="65">
          <cell r="A65" t="str">
            <v>(II)</v>
          </cell>
        </row>
      </sheetData>
      <sheetData sheetId="786">
        <row r="65">
          <cell r="A65" t="str">
            <v>(II)</v>
          </cell>
        </row>
      </sheetData>
      <sheetData sheetId="787"/>
      <sheetData sheetId="788">
        <row r="65">
          <cell r="A65" t="str">
            <v>(II)</v>
          </cell>
        </row>
      </sheetData>
      <sheetData sheetId="789"/>
      <sheetData sheetId="790"/>
      <sheetData sheetId="791">
        <row r="65">
          <cell r="A65" t="str">
            <v>(II)</v>
          </cell>
        </row>
      </sheetData>
      <sheetData sheetId="792">
        <row r="65">
          <cell r="A65" t="str">
            <v>(II)</v>
          </cell>
        </row>
      </sheetData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/>
      <sheetData sheetId="802"/>
      <sheetData sheetId="803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>
        <row r="65">
          <cell r="A65" t="str">
            <v>(II)</v>
          </cell>
        </row>
      </sheetData>
      <sheetData sheetId="901">
        <row r="65">
          <cell r="A65" t="str">
            <v>(II)</v>
          </cell>
        </row>
      </sheetData>
      <sheetData sheetId="902">
        <row r="65">
          <cell r="A65" t="str">
            <v>(II)</v>
          </cell>
        </row>
      </sheetData>
      <sheetData sheetId="903">
        <row r="65">
          <cell r="A65" t="str">
            <v>(II)</v>
          </cell>
        </row>
      </sheetData>
      <sheetData sheetId="904">
        <row r="65">
          <cell r="A65" t="str">
            <v>(II)</v>
          </cell>
        </row>
      </sheetData>
      <sheetData sheetId="905">
        <row r="65">
          <cell r="A65" t="str">
            <v>(II)</v>
          </cell>
        </row>
      </sheetData>
      <sheetData sheetId="906"/>
      <sheetData sheetId="907">
        <row r="65">
          <cell r="A65" t="str">
            <v>(II)</v>
          </cell>
        </row>
      </sheetData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>
        <row r="65">
          <cell r="A65" t="str">
            <v>(II)</v>
          </cell>
        </row>
      </sheetData>
      <sheetData sheetId="934">
        <row r="65">
          <cell r="A65" t="str">
            <v>(II)</v>
          </cell>
        </row>
      </sheetData>
      <sheetData sheetId="935">
        <row r="65">
          <cell r="A65" t="str">
            <v>(II)</v>
          </cell>
        </row>
      </sheetData>
      <sheetData sheetId="936">
        <row r="65">
          <cell r="A65" t="str">
            <v>(II)</v>
          </cell>
        </row>
      </sheetData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>
        <row r="65">
          <cell r="A65" t="str">
            <v>(II)</v>
          </cell>
        </row>
      </sheetData>
      <sheetData sheetId="965">
        <row r="65">
          <cell r="A65" t="str">
            <v>(II)</v>
          </cell>
        </row>
      </sheetData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>
        <row r="65">
          <cell r="A65" t="str">
            <v>(II)</v>
          </cell>
        </row>
      </sheetData>
      <sheetData sheetId="1007">
        <row r="65">
          <cell r="A65" t="str">
            <v>(II)</v>
          </cell>
        </row>
      </sheetData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>
        <row r="65">
          <cell r="A65" t="str">
            <v>(II)</v>
          </cell>
        </row>
      </sheetData>
      <sheetData sheetId="1038">
        <row r="65">
          <cell r="A65" t="str">
            <v>(II)</v>
          </cell>
        </row>
      </sheetData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>
        <row r="65">
          <cell r="A65" t="str">
            <v>(II)</v>
          </cell>
        </row>
      </sheetData>
      <sheetData sheetId="1069">
        <row r="65">
          <cell r="A65" t="str">
            <v>(II)</v>
          </cell>
        </row>
      </sheetData>
      <sheetData sheetId="1070"/>
      <sheetData sheetId="1071"/>
      <sheetData sheetId="1072"/>
      <sheetData sheetId="1073"/>
      <sheetData sheetId="1074">
        <row r="65">
          <cell r="A65" t="str">
            <v>(II)</v>
          </cell>
        </row>
      </sheetData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/>
      <sheetData sheetId="1099"/>
      <sheetData sheetId="1100"/>
      <sheetData sheetId="1101"/>
      <sheetData sheetId="1102"/>
      <sheetData sheetId="1103" refreshError="1"/>
      <sheetData sheetId="1104" refreshError="1"/>
      <sheetData sheetId="1105" refreshError="1"/>
      <sheetData sheetId="1106" refreshError="1"/>
      <sheetData sheetId="1107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>
        <row r="65">
          <cell r="A65" t="str">
            <v>(II)</v>
          </cell>
        </row>
      </sheetData>
      <sheetData sheetId="1160">
        <row r="65">
          <cell r="A65" t="str">
            <v>(II)</v>
          </cell>
        </row>
      </sheetData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>
        <row r="65">
          <cell r="A65" t="str">
            <v>(II)</v>
          </cell>
        </row>
      </sheetData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>
        <row r="65">
          <cell r="A65" t="str">
            <v>(II)</v>
          </cell>
        </row>
      </sheetData>
      <sheetData sheetId="1287"/>
      <sheetData sheetId="1288"/>
      <sheetData sheetId="1289"/>
      <sheetData sheetId="1290">
        <row r="65">
          <cell r="A65" t="str">
            <v>(II)</v>
          </cell>
        </row>
      </sheetData>
      <sheetData sheetId="1291">
        <row r="65">
          <cell r="A65" t="str">
            <v>(II)</v>
          </cell>
        </row>
      </sheetData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>
        <row r="65">
          <cell r="A65" t="str">
            <v>(II)</v>
          </cell>
        </row>
      </sheetData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>
        <row r="65">
          <cell r="A65" t="str">
            <v>(II)</v>
          </cell>
        </row>
      </sheetData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>
        <row r="65">
          <cell r="A65" t="str">
            <v>(II)</v>
          </cell>
        </row>
      </sheetData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ExecutiveSummary "/>
      <sheetName val="Deliquency List"/>
      <sheetName val="Feb‐04 VR"/>
      <sheetName val="Variance"/>
      <sheetName val="Actual"/>
      <sheetName val="RentRoll"/>
      <sheetName val="RentRoll (2)"/>
      <sheetName val="RentRoll(駐） (2)"/>
      <sheetName val="RentRoll(駐）"/>
      <sheetName val="RentRoll（TR）"/>
      <sheetName val="RentRoll（TR） (2)"/>
      <sheetName val="Stacking Plan"/>
      <sheetName val="Sheet1"/>
      <sheetName val="Budget"/>
      <sheetName val="Sheet2"/>
      <sheetName val="TB"/>
      <sheetName val="INPUT"/>
      <sheetName val="Macro Codes"/>
      <sheetName val="Initial Input Variable"/>
      <sheetName val="6호기"/>
      <sheetName val="데이타"/>
      <sheetName val="노무비"/>
      <sheetName val="판관비"/>
      <sheetName val="유형"/>
      <sheetName val="고정부채"/>
      <sheetName val="지분법(지분수정전)"/>
      <sheetName val="Rent R."/>
      <sheetName val="현금 및 예치금Lead"/>
      <sheetName val="현금및예치금 명세서"/>
      <sheetName val="미수수익"/>
      <sheetName val="XREF"/>
      <sheetName val="LS"/>
      <sheetName val="Collateral"/>
      <sheetName val="Replacement"/>
      <sheetName val="Rent Roll"/>
      <sheetName val="보수규정"/>
      <sheetName val="보수"/>
      <sheetName val="ARDEBT"/>
      <sheetName val="Total"/>
      <sheetName val="미수이자"/>
      <sheetName val="대차대조표"/>
      <sheetName val="리츠"/>
      <sheetName val="Occ, Other Rev, Exp, Dispo"/>
      <sheetName val="Tenants"/>
      <sheetName val="Template"/>
      <sheetName val="내역서"/>
      <sheetName val="노임단가"/>
      <sheetName val="ABO"/>
      <sheetName val="PRJ"/>
      <sheetName val="Ⅳ.1.KEY수입"/>
      <sheetName val="Ⅳ-4.수익총괄"/>
      <sheetName val="Macro!"/>
      <sheetName val="Sim"/>
      <sheetName val="ADR"/>
      <sheetName val="#REF"/>
      <sheetName val="Debt"/>
      <sheetName val="관계회사거래내역및 채권채무잔액 99"/>
      <sheetName val="ASSUM"/>
      <sheetName val="TEMP報告書ﾃｰﾌﾞﾙ情報"/>
      <sheetName val="TEMP報告書ﾃｰﾌﾞﾙ情報媒体"/>
      <sheetName val="TI CALC"/>
      <sheetName val="Data"/>
      <sheetName val="급여표"/>
      <sheetName val="98지급계획"/>
      <sheetName val="ExecutiveSummary_"/>
      <sheetName val="Deliquency_List"/>
      <sheetName val="Feb‐04_VR"/>
      <sheetName val="RentRoll_(2)"/>
      <sheetName val="RentRoll(駐）_(2)"/>
      <sheetName val="RentRoll（TR）_(2)"/>
      <sheetName val="Stacking_Plan"/>
      <sheetName val="Occ,_Other_Rev,_Exp,_Dispo"/>
      <sheetName val="Rent_Roll"/>
      <sheetName val="Initial_Input_Variable"/>
      <sheetName val="Macro_Codes"/>
      <sheetName val="Inputs"/>
      <sheetName val="Sheet3 (2)"/>
      <sheetName val="별제권_정리담보권1"/>
      <sheetName val="Control"/>
      <sheetName val="Martyn Apr"/>
      <sheetName val="Sector 3 Summary"/>
      <sheetName val="Todoroki Feb-04"/>
      <sheetName val="Main Assumptions"/>
      <sheetName val="Uskei（契約）"/>
      <sheetName val="계정"/>
      <sheetName val="2.대외공문"/>
      <sheetName val="Wkg"/>
      <sheetName val="リスト"/>
      <sheetName val="選択リスト"/>
      <sheetName val="Actuals &amp; Forecast"/>
      <sheetName val="Property Information Summary"/>
      <sheetName val="PL"/>
      <sheetName val="Letting Report"/>
      <sheetName val="table"/>
      <sheetName val="Dvlp Summary"/>
      <sheetName val="Assump"/>
      <sheetName val="LevModel"/>
      <sheetName val="Static Data"/>
      <sheetName val="Rooms"/>
      <sheetName val="Assumptions"/>
      <sheetName val="Other creditors"/>
      <sheetName val="Amt due to Related companies"/>
      <sheetName val="Indirect tax payable"/>
      <sheetName val="AP"/>
      <sheetName val="Accrued expenses"/>
      <sheetName val="10.10.2003"/>
      <sheetName val="PK checklist"/>
      <sheetName val="Overall Portfolio"/>
      <sheetName val="Cap Table"/>
      <sheetName val="BTS vs Multi"/>
      <sheetName val="T2 &amp; TB Acs"/>
      <sheetName val="受益者"/>
      <sheetName val="Setting"/>
      <sheetName val="物件概要"/>
      <sheetName val="Trial Balance"/>
      <sheetName val="Share Price"/>
      <sheetName val="Payment Schedule"/>
      <sheetName val="BS_임대료"/>
      <sheetName val="BS_보증금"/>
      <sheetName val="매출세금계산서합계"/>
      <sheetName val="매출계산서합계"/>
      <sheetName val="현금영수증"/>
      <sheetName val="비용"/>
      <sheetName val="IS"/>
      <sheetName val="미수금"/>
      <sheetName val="간주부가세"/>
      <sheetName val="SD"/>
      <sheetName val="현금_및_예치금Lead"/>
      <sheetName val="현금및예치금_명세서"/>
      <sheetName val="Ⅳ_1_KEY수입"/>
      <sheetName val="Ⅳ-4_수익총괄"/>
      <sheetName val="Civil Boq"/>
      <sheetName val="DTA"/>
      <sheetName val="DTA Calcuation"/>
      <sheetName val="6月"/>
      <sheetName val="부외부채"/>
      <sheetName val="가도공"/>
      <sheetName val="인원계획-미화"/>
      <sheetName val="もとのボトム"/>
      <sheetName val="手元比準表"/>
      <sheetName val="プルダウンシート"/>
      <sheetName val="RATE"/>
      <sheetName val="Setup"/>
      <sheetName val="Cash Flow Annual"/>
      <sheetName val="Cash"/>
      <sheetName val="Status"/>
      <sheetName val="Coslada III"/>
      <sheetName val="表紙"/>
      <sheetName val="Ikoma Data"/>
      <sheetName val="area detail"/>
      <sheetName val="OG &amp; AC Calculations"/>
      <sheetName val="Misc Data"/>
      <sheetName val="EQT-ESTN"/>
      <sheetName val="Sector_3_Summary"/>
      <sheetName val="Todoroki_Feb-04"/>
      <sheetName val="Main_Assumptions"/>
      <sheetName val="Rent_R_"/>
      <sheetName val="관계회사거래내역및_채권채무잔액_99"/>
      <sheetName val="Letting_Report"/>
      <sheetName val="ForEx"/>
      <sheetName val="BwaLesehilfe"/>
      <sheetName val="(Monthly)"/>
      <sheetName val="請求コードMST"/>
      <sheetName val="37含み経"/>
      <sheetName val="A-General"/>
      <sheetName val="Fee Rate Summary"/>
      <sheetName val="Customize Your Invoice"/>
      <sheetName val="Entry list"/>
      <sheetName val="PRC TB"/>
      <sheetName val="1.1 Project Data"/>
      <sheetName val="CF cap"/>
      <sheetName val="Major Assumption"/>
      <sheetName val="sum"/>
      <sheetName val="Income Valuation"/>
      <sheetName val="ML_LS Promote"/>
      <sheetName val="Utdata"/>
      <sheetName val="TBL賃貸住宅情報"/>
      <sheetName val="Approved Renov Payment Schedule"/>
      <sheetName val="A"/>
      <sheetName val="Betas"/>
      <sheetName val="持株比率"/>
      <sheetName val="2限定"/>
      <sheetName val="BOND LIABILITY"/>
      <sheetName val="PRESUPUESTO 99-00"/>
      <sheetName val="1"/>
      <sheetName val="RCN EY cash flow summary"/>
      <sheetName val="Schedule 5A"/>
      <sheetName val="1999"/>
      <sheetName val="Capital"/>
      <sheetName val="05年度PM02以前"/>
      <sheetName val="P&amp;L"/>
      <sheetName val="TI_CALC"/>
      <sheetName val="Martyn_Apr"/>
      <sheetName val="Rest Rev"/>
      <sheetName val="NOI Analysis"/>
      <sheetName val="MENU"/>
      <sheetName val="Arch Mgt Fee Alloc"/>
      <sheetName val=" Assump"/>
      <sheetName val="PF_C&amp;I"/>
      <sheetName val="Cash bal Mar"/>
      <sheetName val="目录"/>
      <sheetName val="序时账"/>
      <sheetName val="Cash bal"/>
      <sheetName val="BREA Model"/>
      <sheetName val="Pg2.Maint Svc Stats"/>
      <sheetName val="2008账"/>
      <sheetName val="LS-BS"/>
      <sheetName val="Interpretations (incl piling)"/>
      <sheetName val="source"/>
      <sheetName val="tanka"/>
      <sheetName val="S&amp;U"/>
      <sheetName val="台帳（Rent）"/>
      <sheetName val="Taxes&amp;Insurance"/>
      <sheetName val="00"/>
      <sheetName val="往来明细"/>
      <sheetName val="往来明细1"/>
      <sheetName val="往来明细2"/>
      <sheetName val="月度序时账"/>
      <sheetName val="Cash Flow"/>
      <sheetName val="base case"/>
      <sheetName val="General information"/>
      <sheetName val="機械設備"/>
      <sheetName val="Non-Statistical Sampling"/>
      <sheetName val="3-1-1现金"/>
      <sheetName val="H12入居面積・平均賃料"/>
      <sheetName val="회사제시"/>
      <sheetName val="Project Financials"/>
      <sheetName val="Fund IV Summary"/>
      <sheetName val="Variables"/>
      <sheetName val="TSActual"/>
      <sheetName val="LIST"/>
      <sheetName val="Assumptions and Investment"/>
      <sheetName val="Summary"/>
      <sheetName val="Reverse 4Q07 CTS2 accrual"/>
      <sheetName val="联兴工资纳税调整"/>
      <sheetName val="DIndex"/>
      <sheetName val="Lead"/>
      <sheetName val="開検申"/>
      <sheetName val="10"/>
      <sheetName val="12"/>
      <sheetName val="20"/>
      <sheetName val="21"/>
      <sheetName val="22"/>
      <sheetName val="23"/>
      <sheetName val="24"/>
      <sheetName val="25"/>
      <sheetName val="26"/>
      <sheetName val="27"/>
      <sheetName val="28"/>
      <sheetName val="30"/>
      <sheetName val="32"/>
      <sheetName val="50"/>
      <sheetName val="SL⇒"/>
      <sheetName val="３Q商品在庫一覧"/>
      <sheetName val="【削除】２Q商品在庫一覧"/>
      <sheetName val="貯蔵品 (重量・円)"/>
      <sheetName val="支払手形集計"/>
      <sheetName val="債務残高一覧表(監査送付)"/>
      <sheetName val="⇒期末実施"/>
      <sheetName val="11"/>
      <sheetName val="13"/>
      <sheetName val="23-1"/>
      <sheetName val="23-2"/>
      <sheetName val="23-3"/>
      <sheetName val="33"/>
      <sheetName val="40"/>
      <sheetName val="100"/>
      <sheetName val="110"/>
      <sheetName val="GT_Custom"/>
      <sheetName val="待受V"/>
      <sheetName val="양식3"/>
      <sheetName val="Sheet1 (2)"/>
      <sheetName val="5 Analysis"/>
      <sheetName val="F1"/>
      <sheetName val="FF-5"/>
      <sheetName val="TASSEI"/>
      <sheetName val="BOTM"/>
      <sheetName val="Rosenka_Comps"/>
      <sheetName val="Expense_Tax"/>
      <sheetName val="Ⅰ-3賃料等一覧"/>
      <sheetName val="利润表"/>
      <sheetName val="关联交易-存款"/>
      <sheetName val="5_BANG I"/>
      <sheetName val="125x125"/>
      <sheetName val="CBUGL"/>
      <sheetName val="Basis  SOP"/>
      <sheetName val="Ctrl"/>
      <sheetName val="B (V) "/>
      <sheetName val="pov"/>
      <sheetName val="Sheet3"/>
      <sheetName val="賃貸系"/>
      <sheetName val="MarketData"/>
      <sheetName val="Definitions"/>
      <sheetName val="输入 - 主要假设"/>
      <sheetName val="Movement 2011"/>
      <sheetName val="Movement 2012"/>
      <sheetName val="Syn"/>
      <sheetName val="Movement 2013.4.30"/>
      <sheetName val="Movement 2014.9.30"/>
      <sheetName val=" IB-PL-YTD"/>
      <sheetName val="법인세비용"/>
      <sheetName val="Quantity"/>
      <sheetName val="Balance sheet"/>
      <sheetName val="Income Stm"/>
      <sheetName val="ExecutiveSummary_1"/>
      <sheetName val="Deliquency_List1"/>
      <sheetName val="Feb‐04_VR1"/>
      <sheetName val="RentRoll_(2)1"/>
      <sheetName val="RentRoll(駐）_(2)1"/>
      <sheetName val="RentRoll（TR）_(2)1"/>
      <sheetName val="Stacking_Plan1"/>
      <sheetName val="Rent_Roll1"/>
      <sheetName val="Macro_Codes1"/>
      <sheetName val="Occ,_Other_Rev,_Exp,_Dispo1"/>
      <sheetName val="Initial_Input_Variable1"/>
      <sheetName val="Actuals_&amp;_Forecast"/>
      <sheetName val="Property_Information_Summary"/>
      <sheetName val="Misc_Data"/>
      <sheetName val="Cap_Table"/>
      <sheetName val="Dvlp_Summary"/>
      <sheetName val="Sheet3_(2)"/>
      <sheetName val="area_detail"/>
      <sheetName val="OG_&amp;_AC_Calculations"/>
      <sheetName val="2_대외공문"/>
      <sheetName val="Trial_Balance"/>
      <sheetName val="Share_Price"/>
      <sheetName val="2003年度科目データ"/>
      <sheetName val="FF-4"/>
      <sheetName val="Summ"/>
      <sheetName val="Scenario Matrix"/>
      <sheetName val="Pg 2-NA "/>
      <sheetName val="computation"/>
      <sheetName val="04供給計画(NAM)(0406手持ち分)"/>
      <sheetName val="賃料等一覧"/>
      <sheetName val="収支"/>
      <sheetName val="シミュレーション"/>
      <sheetName val="初期投資総額"/>
      <sheetName val="CF"/>
      <sheetName val="FFEコスト"/>
      <sheetName val="Other_creditors"/>
      <sheetName val="Amt_due_to_Related_companies"/>
      <sheetName val="Indirect_tax_payable"/>
      <sheetName val="Accrued_expenses"/>
      <sheetName val="2009汉虹设计"/>
      <sheetName val="2009汉虹精密"/>
      <sheetName val="Overview"/>
      <sheetName val="企业表一"/>
      <sheetName val="M-5C"/>
      <sheetName val="M-5A"/>
      <sheetName val="contest"/>
      <sheetName val="应收票据(关联方)"/>
      <sheetName val="其他预提费用391400010-7680055"/>
      <sheetName val="Sales Comp 1"/>
      <sheetName val="SS_NAV_INFO"/>
      <sheetName val="BS"/>
      <sheetName val="NPV"/>
      <sheetName val="1.物件概要"/>
      <sheetName val="aa13"/>
      <sheetName val="aa14"/>
      <sheetName val="aa159"/>
      <sheetName val="aa15"/>
      <sheetName val="Trans Assump"/>
      <sheetName val="tbl_RCAexport"/>
      <sheetName val="Ref Sheet"/>
      <sheetName val="Budget-Inc&amp;Exp-Summary"/>
      <sheetName val="Valuation"/>
      <sheetName val="DFA"/>
      <sheetName val="Definition"/>
      <sheetName val="B28(old version)"/>
      <sheetName val="Interest expenses"/>
      <sheetName val="현금_및_예치금Lead1"/>
      <sheetName val="현금및예치금_명세서1"/>
      <sheetName val="Ⅳ_1_KEY수입1"/>
      <sheetName val="Ⅳ-4_수익총괄1"/>
      <sheetName val="ExecutiveSummary_2"/>
      <sheetName val="Deliquency_List2"/>
      <sheetName val="Feb‐04_VR2"/>
      <sheetName val="RentRoll_(2)2"/>
      <sheetName val="RentRoll(駐）_(2)2"/>
      <sheetName val="RentRoll（TR）_(2)2"/>
      <sheetName val="Stacking_Plan2"/>
      <sheetName val="Occ,_Other_Rev,_Exp,_Dispo2"/>
      <sheetName val="Rent_Roll2"/>
      <sheetName val="Initial_Input_Variable2"/>
      <sheetName val="Macro_Codes2"/>
      <sheetName val="TI_CALC1"/>
      <sheetName val="Martyn_Apr1"/>
      <sheetName val="Actuals_&amp;_Forecast1"/>
      <sheetName val="Property_Information_Summary1"/>
      <sheetName val="Sector_3_Summary1"/>
      <sheetName val="Todoroki_Feb-041"/>
      <sheetName val="Main_Assumptions1"/>
      <sheetName val="Rent_R_1"/>
      <sheetName val="현금_및_예치금Lead2"/>
      <sheetName val="현금및예치금_명세서2"/>
      <sheetName val="Sheet3_(2)1"/>
      <sheetName val="Ⅳ_1_KEY수입2"/>
      <sheetName val="Ⅳ-4_수익총괄2"/>
      <sheetName val="관계회사거래내역및_채권채무잔액_991"/>
      <sheetName val="Dvlp_Summary1"/>
      <sheetName val="ExecutiveSummary_3"/>
      <sheetName val="Deliquency_List3"/>
      <sheetName val="Feb‐04_VR3"/>
      <sheetName val="RentRoll_(2)3"/>
      <sheetName val="RentRoll(駐）_(2)3"/>
      <sheetName val="RentRoll（TR）_(2)3"/>
      <sheetName val="Stacking_Plan3"/>
      <sheetName val="Occ,_Other_Rev,_Exp,_Dispo3"/>
      <sheetName val="Rent_Roll3"/>
      <sheetName val="Initial_Input_Variable3"/>
      <sheetName val="Macro_Codes3"/>
      <sheetName val="TI_CALC2"/>
      <sheetName val="Martyn_Apr2"/>
      <sheetName val="Actuals_&amp;_Forecast2"/>
      <sheetName val="Property_Information_Summary2"/>
      <sheetName val="Sector_3_Summary2"/>
      <sheetName val="Todoroki_Feb-042"/>
      <sheetName val="Main_Assumptions2"/>
      <sheetName val="Rent_R_2"/>
      <sheetName val="현금_및_예치금Lead3"/>
      <sheetName val="현금및예치금_명세서3"/>
      <sheetName val="Sheet3_(2)2"/>
      <sheetName val="Ⅳ_1_KEY수입3"/>
      <sheetName val="Ⅳ-4_수익총괄3"/>
      <sheetName val="관계회사거래내역및_채권채무잔액_992"/>
      <sheetName val="Dvlp_Summary2"/>
      <sheetName val="MSP2002"/>
      <sheetName val="Movement 2008.6.30."/>
      <sheetName val="ＭＦ"/>
      <sheetName val="EDC-DAS"/>
      <sheetName val="Income tax reconciliation"/>
      <sheetName val="Calculations"/>
      <sheetName val="Makro1"/>
      <sheetName val="资产负债表"/>
      <sheetName val="IS Summary-96"/>
      <sheetName val="ENTRIES"/>
      <sheetName val="Pro-Forma"/>
      <sheetName val="役"/>
      <sheetName val="Monthly rent rate for report"/>
      <sheetName val="KPI"/>
      <sheetName val="Monthly occupancy for report"/>
      <sheetName val="短期投资"/>
      <sheetName val="VS Consensus"/>
      <sheetName val="海外子会社未払手数料"/>
      <sheetName val="SMI"/>
      <sheetName val="2.1 受電設備棟"/>
      <sheetName val="2.2 受・防火水槽"/>
      <sheetName val="2.3 排水処理設備棟"/>
      <sheetName val="2.4 倉庫棟"/>
      <sheetName val="2.5 守衛棟"/>
      <sheetName val="電気設備表"/>
      <sheetName val="预算"/>
      <sheetName val="面积指标"/>
      <sheetName val="雷梦"/>
      <sheetName val="day"/>
      <sheetName val="主要规划指标"/>
      <sheetName val="科目余额表"/>
      <sheetName val="会计分录序时簿"/>
      <sheetName val="Configuration"/>
      <sheetName val="附件 26家下半年签约项目分析"/>
      <sheetName val="Bridge"/>
      <sheetName val="Bridge Ricavi"/>
      <sheetName val="D1000  prov"/>
      <sheetName val="存货汇总表10"/>
      <sheetName val="Ckeck List"/>
      <sheetName val="BQ"/>
      <sheetName val="Trial_Balance1"/>
      <sheetName val="Cap_Table1"/>
      <sheetName val="Share_Price1"/>
      <sheetName val="2_대외공문1"/>
      <sheetName val="Misc_Data1"/>
      <sheetName val="Civil_Boq"/>
      <sheetName val="DTA_Calcuation"/>
      <sheetName val="10_10_2003"/>
      <sheetName val="PK_checklist"/>
      <sheetName val="Overall_Portfolio"/>
      <sheetName val="Fee_Rate_Summary"/>
      <sheetName val="Customize_Your_Invoice"/>
      <sheetName val="Entry_list"/>
      <sheetName val="PRC_TB"/>
      <sheetName val="1_1_Project_Data"/>
      <sheetName val="ML_LS_Promote"/>
      <sheetName val="BTS_vs_Multi"/>
      <sheetName val="Letting_Report1"/>
      <sheetName val="Static_Data"/>
      <sheetName val="T2_&amp;_TB_Acs"/>
      <sheetName val="Payment_Schedule"/>
      <sheetName val="area_detail1"/>
      <sheetName val="OG_&amp;_AC_Calculations1"/>
      <sheetName val="Income_Valuation"/>
      <sheetName val="Ikoma_Data"/>
      <sheetName val="Coslada_III"/>
      <sheetName val="CF_cap"/>
      <sheetName val="Cash_Flow_Annual"/>
      <sheetName val="Approved_Renov_Payment_Schedule"/>
      <sheetName val="Cash_bal_Mar"/>
      <sheetName val="Cash_bal"/>
      <sheetName val="BREA_Model"/>
      <sheetName val="_Assump"/>
      <sheetName val="Major_Assumption"/>
      <sheetName val="NOI_Analysis"/>
      <sheetName val="Pg2_Maint_Svc_Stats"/>
      <sheetName val="BOND_LIABILITY"/>
      <sheetName val="PRESUPUESTO_99-00"/>
      <sheetName val="RCN_EY_cash_flow_summary"/>
      <sheetName val="Arch_Mgt_Fee_Alloc"/>
      <sheetName val="Rest_Rev"/>
      <sheetName val="Assumptions_and_Investment"/>
      <sheetName val="Schedule_5A"/>
      <sheetName val="Project_Financials"/>
      <sheetName val="Fund_IV_Summary"/>
      <sheetName val="Interpretations_(incl_piling)"/>
      <sheetName val="Cash_Flow"/>
      <sheetName val="base_case"/>
      <sheetName val="General_information"/>
      <sheetName val="Non-Statistical_Sampling"/>
      <sheetName val="Pg_2-NA_"/>
      <sheetName val="Reverse_4Q07_CTS2_accrual"/>
      <sheetName val="Sheet1_(2)"/>
      <sheetName val="5_Analysis"/>
      <sheetName val="貯蔵品_(重量・円)"/>
      <sheetName val="保険料"/>
      <sheetName val="ｱｯﾌﾟﾌﾛﾝﾄ"/>
      <sheetName val="F456"/>
      <sheetName val="Stats"/>
      <sheetName val="Breakdown"/>
      <sheetName val="EJE journal"/>
      <sheetName val="RPT"/>
      <sheetName val="截止2006年6月17日股权投资"/>
      <sheetName val="Parameters"/>
      <sheetName val="ARP-P101"/>
      <sheetName val="param"/>
      <sheetName val="往来函证(基本资料) "/>
      <sheetName val="trading mult. val."/>
      <sheetName val="DIL4"/>
      <sheetName val="2010"/>
      <sheetName val="2009"/>
      <sheetName val="AP&amp;OP-09"/>
      <sheetName val="DCF Summary"/>
      <sheetName val="TB MACREC"/>
      <sheetName val="cover"/>
      <sheetName val="Checks_BO"/>
      <sheetName val="leadsheet"/>
      <sheetName val="Sales_Comp_1"/>
      <sheetName val="Letting_Report2"/>
      <sheetName val="T2_&amp;_TB_Acs1"/>
      <sheetName val="Overall_Portfolio1"/>
      <sheetName val="Civil_Boq1"/>
      <sheetName val="DTA_Calcuation1"/>
      <sheetName val="Other_creditors1"/>
      <sheetName val="Amt_due_to_Related_companies1"/>
      <sheetName val="Indirect_tax_payable1"/>
      <sheetName val="Accrued_expenses1"/>
      <sheetName val="10_10_20031"/>
      <sheetName val="PK_checklist1"/>
      <sheetName val="Payment_Schedule1"/>
      <sheetName val="Static_Data1"/>
      <sheetName val="BTS_vs_Multi1"/>
      <sheetName val="Fee_Rate_Summary1"/>
      <sheetName val="Customize_Your_Invoice1"/>
      <sheetName val="Entry_list1"/>
      <sheetName val="PRC_TB1"/>
      <sheetName val="1_1_Project_Data1"/>
      <sheetName val="CF_cap1"/>
      <sheetName val="Cash_Flow_Annual1"/>
      <sheetName val="Coslada_III1"/>
      <sheetName val="Ikoma_Data1"/>
      <sheetName val="Sales_Comp_11"/>
      <sheetName val="단기금융상품"/>
      <sheetName val="DEF"/>
      <sheetName val="Timeline"/>
      <sheetName val="Hardclose TB and schedules"/>
      <sheetName val="@RISK Correlations"/>
      <sheetName val="USD Curves"/>
      <sheetName val="Scenarios"/>
      <sheetName val="RoXDataTables"/>
      <sheetName val="Titles"/>
      <sheetName val="QtrSplit +++"/>
      <sheetName val="100172"/>
      <sheetName val="sapactivexlhiddensheet"/>
      <sheetName val="Lists"/>
      <sheetName val="Account Code 09 May 1996"/>
      <sheetName val="Ppty 1 - Analysis-2"/>
      <sheetName val="TI_Import店舗実績"/>
      <sheetName val="38月別取引先別"/>
      <sheetName val="プルダウン用データ"/>
      <sheetName val="S2Q下振れ対応後"/>
      <sheetName val="Reference2"/>
      <sheetName val="statement"/>
      <sheetName val="B"/>
      <sheetName val="Note 3_Effective Rent-Audited"/>
      <sheetName val="5사남"/>
      <sheetName val="auditor"/>
      <sheetName val="A4-4"/>
      <sheetName val="PL16"/>
      <sheetName val="LaborProD"/>
      <sheetName val="Asset"/>
      <sheetName val="assetsno"/>
      <sheetName val="Staff List"/>
      <sheetName val="Control Page"/>
      <sheetName val="G2-1 PRC#4_CIP"/>
      <sheetName val="2004 SAD#13 Supporting"/>
      <sheetName val="STKBB"/>
      <sheetName val="tech service fee"/>
      <sheetName val="testing fee"/>
      <sheetName val="PL (MONTHLY)"/>
      <sheetName val="COA"/>
      <sheetName val="Controls"/>
      <sheetName val="标本-资产"/>
      <sheetName val="SC Cost FEB 03"/>
      <sheetName val="Instructions"/>
      <sheetName val="조직활성비산정내역"/>
      <sheetName val="Sheet101"/>
      <sheetName val="DCF"/>
      <sheetName val="FixedAssets"/>
      <sheetName val="AY-TAX"/>
      <sheetName val="wl"/>
      <sheetName val="ExecutiveSummary_4"/>
      <sheetName val="Deliquency_List4"/>
      <sheetName val="Feb‐04_VR4"/>
      <sheetName val="RentRoll_(2)4"/>
      <sheetName val="RentRoll(駐）_(2)4"/>
      <sheetName val="RentRoll（TR）_(2)4"/>
      <sheetName val="Stacking_Plan4"/>
      <sheetName val="Initial_Input_Variable4"/>
      <sheetName val="Macro_Codes4"/>
      <sheetName val="Occ,_Other_Rev,_Exp,_Dispo4"/>
      <sheetName val="Rent_R_3"/>
      <sheetName val="현금_및_예치금Lead4"/>
      <sheetName val="현금및예치금_명세서4"/>
      <sheetName val="Rent_Roll4"/>
      <sheetName val="Ⅳ_1_KEY수입4"/>
      <sheetName val="Ⅳ-4_수익총괄4"/>
      <sheetName val="TI_CALC3"/>
      <sheetName val="Martyn_Apr3"/>
      <sheetName val="관계회사거래내역및_채권채무잔액_993"/>
      <sheetName val="Sheet3_(2)3"/>
      <sheetName val="Sector_3_Summary3"/>
      <sheetName val="Todoroki_Feb-043"/>
      <sheetName val="Main_Assumptions3"/>
      <sheetName val="Actuals_&amp;_Forecast3"/>
      <sheetName val="Property_Information_Summary3"/>
      <sheetName val="Dvlp_Summary3"/>
      <sheetName val="_IB-PL-YTD"/>
      <sheetName val="5_BANG_I"/>
      <sheetName val="Income_tax_reconciliation"/>
      <sheetName val="Monthly_rent_rate_for_report"/>
      <sheetName val="Monthly_occupancy_for_report"/>
      <sheetName val="Interest_expenses"/>
      <sheetName val="输入_-_主要假设"/>
      <sheetName val="Movement_2011"/>
      <sheetName val="Movement_2012"/>
      <sheetName val="Movement_2013_4_30"/>
      <sheetName val="Movement_2014_9_30"/>
      <sheetName val="Movement_2008_6_30_"/>
      <sheetName val="Basis__SOP"/>
      <sheetName val="B_(V)_"/>
      <sheetName val="2_1_受電設備棟"/>
      <sheetName val="2_2_受・防火水槽"/>
      <sheetName val="2_3_排水処理設備棟"/>
      <sheetName val="2_4_倉庫棟"/>
      <sheetName val="2_5_守衛棟"/>
      <sheetName val="Balance_sheet"/>
      <sheetName val="Income_Stm"/>
      <sheetName val="1_物件概要"/>
      <sheetName val="Trans_Assump"/>
      <sheetName val="Ref_Sheet"/>
      <sheetName val="Ckeck_List"/>
      <sheetName val="Scenario_Matrix"/>
      <sheetName val="IS_Summary-96"/>
      <sheetName val="附件_26家下半年签约项目分析"/>
      <sheetName val="进销存"/>
      <sheetName val="ws9"/>
      <sheetName val="Share500"/>
      <sheetName val="合并底稿-自营"/>
      <sheetName val="Base Info"/>
      <sheetName val="Kalkulation"/>
      <sheetName val="enums"/>
      <sheetName val="Deferred Tax"/>
      <sheetName val="sales vol."/>
      <sheetName val="ML_LS_Promote1"/>
      <sheetName val="Income_Valuation1"/>
      <sheetName val="_Assump1"/>
      <sheetName val="Approved_Renov_Payment_Schedul1"/>
      <sheetName val="Major_Assumption1"/>
      <sheetName val="BOND_LIABILITY1"/>
      <sheetName val="PRESUPUESTO_99-001"/>
      <sheetName val="RCN_EY_cash_flow_summary1"/>
      <sheetName val="Cash_bal_Mar1"/>
      <sheetName val="Cash_bal1"/>
      <sheetName val="BREA_Model1"/>
      <sheetName val="Rest_Rev1"/>
      <sheetName val="Arch_Mgt_Fee_Alloc1"/>
      <sheetName val="Schedule_5A1"/>
      <sheetName val="NOI_Analysis1"/>
      <sheetName val="Assumptions_and_Investment1"/>
      <sheetName val="Pg2_Maint_Svc_Stats1"/>
      <sheetName val="Project_Financials1"/>
      <sheetName val="Fund_IV_Summary1"/>
      <sheetName val="Interpretations_(incl_piling)1"/>
      <sheetName val="Note_3_Effective_Rent-Audited"/>
      <sheetName val="Trial_Balance2"/>
      <sheetName val="Cap_Table2"/>
      <sheetName val="Share_Price2"/>
      <sheetName val="2_대외공문2"/>
      <sheetName val="Civil_Boq2"/>
      <sheetName val="DTA_Calcuation2"/>
      <sheetName val="Other_creditors2"/>
      <sheetName val="Amt_due_to_Related_companies2"/>
      <sheetName val="Indirect_tax_payable2"/>
      <sheetName val="Accrued_expenses2"/>
      <sheetName val="10_10_20032"/>
      <sheetName val="PK_checklist2"/>
      <sheetName val="Overall_Portfolio2"/>
      <sheetName val="Fee_Rate_Summary2"/>
      <sheetName val="Customize_Your_Invoice2"/>
      <sheetName val="Entry_list2"/>
      <sheetName val="PRC_TB2"/>
      <sheetName val="1_1_Project_Data2"/>
      <sheetName val="Letting_Report3"/>
      <sheetName val="Static_Data2"/>
      <sheetName val="BTS_vs_Multi2"/>
      <sheetName val="T2_&amp;_TB_Acs2"/>
      <sheetName val="Payment_Schedule2"/>
      <sheetName val="Misc_Data2"/>
      <sheetName val="area_detail2"/>
      <sheetName val="OG_&amp;_AC_Calculations2"/>
      <sheetName val="Cash_Flow_Annual2"/>
      <sheetName val="Ikoma_Data2"/>
      <sheetName val="Coslada_III2"/>
      <sheetName val="CF_cap2"/>
      <sheetName val="Non-Statistical_Sampling1"/>
      <sheetName val="Cash_Flow1"/>
      <sheetName val="base_case1"/>
      <sheetName val="General_information1"/>
      <sheetName val="Sheet1_(2)1"/>
      <sheetName val="5_Analysis1"/>
      <sheetName val="Reverse_4Q07_CTS2_accrual1"/>
      <sheetName val="貯蔵品_(重量・円)1"/>
      <sheetName val="Pg_2-NA_1"/>
      <sheetName val="Sales_Comp_12"/>
      <sheetName val="B28(old_version)"/>
      <sheetName val="VS_Consensus"/>
      <sheetName val="QtrSplit_+++"/>
      <sheetName val="Bridge_Ricavi"/>
      <sheetName val="D1000__prov"/>
      <sheetName val="DCF_Summary"/>
      <sheetName val="TB_MACREC"/>
      <sheetName val="EJE_journal"/>
      <sheetName val="往来函证(基本资料)_"/>
      <sheetName val="trading_mult__val_"/>
      <sheetName val="Hardclose_TB_and_schedules"/>
      <sheetName val="@RISK_Correlations"/>
      <sheetName val="USD_Curves"/>
      <sheetName val="Account_Code_09_May_1996"/>
      <sheetName val="Ppty_1_-_Analysis-2"/>
      <sheetName val="Office"/>
      <sheetName val="__nccrpfs1_NCCR_Everyone_Asse_2"/>
      <sheetName val="우수공"/>
      <sheetName val="마스턴전문투자형사모부동산투자신탁제119호"/>
      <sheetName val="주요공사"/>
      <sheetName val="2013 邁威合併-for ref"/>
      <sheetName val="IRR DATA"/>
      <sheetName val="マーケットデータ"/>
      <sheetName val="C2 Sale"/>
      <sheetName val="Global"/>
      <sheetName val="OR3"/>
      <sheetName val="Non-Statistical Sampling Master"/>
      <sheetName val="Guidance"/>
      <sheetName val="Budget Summary"/>
      <sheetName val="E100"/>
      <sheetName val="已审CF"/>
      <sheetName val="U 510"/>
      <sheetName val="Set"/>
      <sheetName val="Co name"/>
      <sheetName val="DatosSwitch"/>
      <sheetName val="DatosFront"/>
      <sheetName val="DatosRear"/>
      <sheetName val="Internal"/>
      <sheetName val="base"/>
      <sheetName val="재무가정"/>
      <sheetName val="97년추정손익계산서"/>
      <sheetName val="_ADFDI_LOV"/>
      <sheetName val="Disclosure 1-12"/>
      <sheetName val="Funds Flow"/>
      <sheetName val="Parameter"/>
      <sheetName val="Cashflow(Scenario)"/>
      <sheetName val="Admin"/>
      <sheetName val="Table Of Contents"/>
      <sheetName val="Construction"/>
      <sheetName val="1 LeadSchedule"/>
      <sheetName val="RPT Interco Payables  Detail"/>
      <sheetName val="Detailed Pur fr RPT"/>
      <sheetName val="SHG Interco Payables Detail"/>
      <sheetName val="Detailed Pur fr SHG"/>
      <sheetName val="PROPERTY"/>
      <sheetName val="C2"/>
      <sheetName val="iInputs"/>
      <sheetName val="iMainControl"/>
      <sheetName val="Corporate PPT"/>
      <sheetName val="WTI Coporate Eliminations PPT"/>
      <sheetName val="基本"/>
      <sheetName val="Calcs"/>
      <sheetName val="Tables"/>
      <sheetName val="지수표"/>
      <sheetName val="Adana"/>
      <sheetName val="ex3"/>
      <sheetName val="Deprec Exp"/>
      <sheetName val="预付款项明细余额表"/>
      <sheetName val="Renegotiations"/>
      <sheetName val="14-2010"/>
      <sheetName val="ValidationSheet"/>
      <sheetName val="Proforma"/>
      <sheetName val="Title"/>
      <sheetName val="ControlSheet"/>
      <sheetName val="Final sample listing"/>
      <sheetName val="Baitak PS schedule"/>
      <sheetName val="FED DEPR"/>
      <sheetName val="배부전"/>
      <sheetName val="Global Assumption"/>
      <sheetName val="경비"/>
      <sheetName val="INMD1198"/>
      <sheetName val="貼付(積算)"/>
      <sheetName val="Bloomberg"/>
      <sheetName val="Datastream_IBES"/>
      <sheetName val="DB_Estimates"/>
      <sheetName val="Cashflow Forecast "/>
      <sheetName val="利息7月-8月"/>
      <sheetName val="Product Registration"/>
      <sheetName val="Curr Fcst"/>
      <sheetName val="流资汇总"/>
      <sheetName val="LTM"/>
      <sheetName val="CREDIT STATS"/>
      <sheetName val="PRC BS"/>
      <sheetName val="Acquisition of subsidiary "/>
      <sheetName val="Investment Property"/>
      <sheetName val="Bridge_overall"/>
      <sheetName val="Fcast_TA"/>
      <sheetName val="CFS_TO"/>
      <sheetName val="Fcast_TO"/>
      <sheetName val="movement"/>
      <sheetName val="BKD2012"/>
      <sheetName val="BKD2013"/>
      <sheetName val="2008.12 (O)"/>
      <sheetName val="Servco_LIM"/>
      <sheetName val="Worksheet"/>
      <sheetName val="Names"/>
      <sheetName val="POS_INV 9712"/>
      <sheetName val="pos collection timeliness"/>
      <sheetName val="04.5~12"/>
      <sheetName val="05.09"/>
      <sheetName val="WPA_Assum"/>
      <sheetName val="SMP"/>
      <sheetName val="Index"/>
      <sheetName val="Financials"/>
      <sheetName val="PLVL financing model"/>
      <sheetName val="4 - Trial Balance Detail"/>
      <sheetName val="list-direc"/>
      <sheetName val="実行"/>
      <sheetName val="1_物件概要1"/>
      <sheetName val="Trans_Assump1"/>
      <sheetName val="RECONCILIATIONS"/>
      <sheetName val="経費一覧(income)"/>
      <sheetName val="経費一覧(Payment)"/>
      <sheetName val="이름표"/>
      <sheetName val="pl-mtd"/>
      <sheetName val="F101"/>
      <sheetName val="ExecutiveSummary_5"/>
      <sheetName val="Deliquency_List5"/>
      <sheetName val="Feb‐04_VR5"/>
      <sheetName val="RentRoll_(2)5"/>
      <sheetName val="RentRoll(駐）_(2)5"/>
      <sheetName val="RentRoll（TR）_(2)5"/>
      <sheetName val="Stacking_Plan5"/>
      <sheetName val="Occ,_Other_Rev,_Exp,_Dispo5"/>
      <sheetName val="Rent_Roll5"/>
      <sheetName val="Initial_Input_Variable5"/>
      <sheetName val="Macro_Codes5"/>
      <sheetName val="Sector_3_Summary4"/>
      <sheetName val="Todoroki_Feb-044"/>
      <sheetName val="Main_Assumptions4"/>
      <sheetName val="현금_및_예치금Lead5"/>
      <sheetName val="현금및예치금_명세서5"/>
      <sheetName val="Rent_R_4"/>
      <sheetName val="Ⅳ_1_KEY수입5"/>
      <sheetName val="Ⅳ-4_수익총괄5"/>
      <sheetName val="관계회사거래내역및_채권채무잔액_994"/>
      <sheetName val="Letting_Report4"/>
      <sheetName val="TI_CALC4"/>
      <sheetName val="Sheet3_(2)4"/>
      <sheetName val="Martyn_Apr4"/>
      <sheetName val="Actuals_&amp;_Forecast4"/>
      <sheetName val="Property_Information_Summary4"/>
      <sheetName val="Trial_Balance3"/>
      <sheetName val="Cap_Table3"/>
      <sheetName val="T2_&amp;_TB_Acs3"/>
      <sheetName val="2_대외공문3"/>
      <sheetName val="Overall_Portfolio3"/>
      <sheetName val="Share_Price3"/>
      <sheetName val="Dvlp_Summary4"/>
      <sheetName val="Civil_Boq3"/>
      <sheetName val="DTA_Calcuation3"/>
      <sheetName val="Other_creditors3"/>
      <sheetName val="Amt_due_to_Related_companies3"/>
      <sheetName val="Indirect_tax_payable3"/>
      <sheetName val="Accrued_expenses3"/>
      <sheetName val="10_10_20033"/>
      <sheetName val="PK_checklist3"/>
      <sheetName val="Payment_Schedule3"/>
      <sheetName val="Static_Data3"/>
      <sheetName val="BTS_vs_Multi3"/>
      <sheetName val="Fee_Rate_Summary3"/>
      <sheetName val="Customize_Your_Invoice3"/>
      <sheetName val="Entry_list3"/>
      <sheetName val="PRC_TB3"/>
      <sheetName val="1_1_Project_Data3"/>
      <sheetName val="CF_cap3"/>
      <sheetName val="Cash_Flow_Annual3"/>
      <sheetName val="Coslada_III3"/>
      <sheetName val="Ikoma_Data3"/>
      <sheetName val="area_detail3"/>
      <sheetName val="OG_&amp;_AC_Calculations3"/>
      <sheetName val="Sales_Comp_13"/>
      <sheetName val="Misc_Data3"/>
      <sheetName val="Scenario_Matrix1"/>
      <sheetName val="Balance_Sheet1"/>
      <sheetName val="5_BANG_I1"/>
      <sheetName val="Basis__SOP1"/>
      <sheetName val="B_(V)_1"/>
      <sheetName val="输入_-_主要假设1"/>
      <sheetName val="Movement_20111"/>
      <sheetName val="Movement_20121"/>
      <sheetName val="Movement_2013_4_301"/>
      <sheetName val="Movement_2014_9_301"/>
      <sheetName val="_IB-PL-YTD1"/>
      <sheetName val="Income_Stm1"/>
      <sheetName val="Income_tax_reconciliation1"/>
      <sheetName val="Interest_expenses1"/>
      <sheetName val="Movement_2008_6_30_1"/>
      <sheetName val="Monthly_rent_rate_for_report1"/>
      <sheetName val="Monthly_occupancy_for_report1"/>
      <sheetName val="Quick Valuation"/>
      <sheetName val="削除不可(リスト)"/>
      <sheetName val="Supplier"/>
      <sheetName val="Target acquisitions"/>
      <sheetName val="FA Roll to GL (p.2)"/>
      <sheetName val="Lead (p.1)"/>
      <sheetName val="Drop List References"/>
      <sheetName val="Timing"/>
      <sheetName val="CASHFLOW"/>
      <sheetName val="选择报表"/>
      <sheetName val="Trade"/>
      <sheetName val="T Codes"/>
      <sheetName val="Suppliers"/>
      <sheetName val="运营假设"/>
      <sheetName val="analis"/>
      <sheetName val="Validation"/>
      <sheetName val="ic"/>
      <sheetName val="MTD"/>
      <sheetName val="TT Bank"/>
      <sheetName val="H"/>
      <sheetName val="预算200326"/>
      <sheetName val="Financ. Overview"/>
      <sheetName val="MstCU"/>
      <sheetName val="MstIT"/>
      <sheetName val="Detail"/>
      <sheetName val="sysWorkbook"/>
      <sheetName val="Set-up"/>
      <sheetName val="みこみ"/>
      <sheetName val="EstData"/>
      <sheetName val="U1 P&amp;L"/>
      <sheetName val="QUERY2"/>
      <sheetName val="CASHFLOWS"/>
      <sheetName val="Result"/>
      <sheetName val="영업외손익등"/>
      <sheetName val="Sheet9"/>
      <sheetName val="ALL支払"/>
      <sheetName val="Systems Summary"/>
      <sheetName val=" prelimanery BS"/>
      <sheetName val="Capital expenditures"/>
      <sheetName val="Mail Division"/>
      <sheetName val="Income Statement"/>
      <sheetName val="Goodwill, non-rec."/>
      <sheetName val="Rev in %"/>
      <sheetName val="IM Summary_MVMC"/>
      <sheetName val="ARP-U301"/>
      <sheetName val="U411"/>
      <sheetName val="Rental Reasonable Test"/>
      <sheetName val="DCF Inputs"/>
      <sheetName val="Sheet1 (4)"/>
      <sheetName val="Wang DCF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AUDIT1.J100_금융자원"/>
      <sheetName val="Control"/>
      <sheetName val="BC100"/>
      <sheetName val="BC110"/>
      <sheetName val="BC120"/>
      <sheetName val="BC130"/>
      <sheetName val="AUDIT1.J110_이자수익"/>
      <sheetName val="AUDIT1.J200_투자증권"/>
      <sheetName val="AUDIT1.J300_은행연합회"/>
      <sheetName val="4.계좌내역조회서일치여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현금흐름표"/>
      <sheetName val="공통"/>
      <sheetName val="ttt"/>
      <sheetName val="미수이자"/>
      <sheetName val="95WBS"/>
      <sheetName val="일삼현금흐름표"/>
      <sheetName val="A1"/>
      <sheetName val="Initial Input Variable"/>
      <sheetName val="99판매상세"/>
      <sheetName val="SpQ"/>
      <sheetName val="Income Statement"/>
      <sheetName val="Shareholders' Equity"/>
      <sheetName val="pre-anal손익계산서"/>
      <sheetName val="pre-anal대차대조표"/>
      <sheetName val="Rent roll"/>
      <sheetName val="CostData"/>
      <sheetName val="IncomeData"/>
      <sheetName val="Summary"/>
      <sheetName val="PropertyData"/>
      <sheetName val="AKL"/>
      <sheetName val="Assumption"/>
      <sheetName val="BSLA"/>
      <sheetName val="2.대외공문"/>
      <sheetName val="Walsei"/>
      <sheetName val="Tenants"/>
      <sheetName val="control"/>
      <sheetName val="Budget"/>
      <sheetName val="Sum"/>
      <sheetName val="노무비"/>
      <sheetName val="SET VARIABLES"/>
      <sheetName val="Master List and Strats"/>
      <sheetName val="(Monthly)"/>
      <sheetName val="Assumptions"/>
      <sheetName val="Sheet1"/>
      <sheetName val="I. Assumptions"/>
      <sheetName val="評価書"/>
      <sheetName val="XREF"/>
      <sheetName val="현금"/>
      <sheetName val="I. Assumption"/>
      <sheetName val="Wap"/>
      <sheetName val="PK checklist"/>
      <sheetName val="物件概要"/>
      <sheetName val="TB"/>
      <sheetName val="Macro Codes"/>
      <sheetName val="Input"/>
      <sheetName val="Cash bal Mar"/>
      <sheetName val="3. CF-P&amp;L(UW)"/>
      <sheetName val="USD"/>
      <sheetName val="gl"/>
      <sheetName val="names"/>
      <sheetName val="Inputs"/>
      <sheetName val="BPR"/>
      <sheetName val="Template"/>
      <sheetName val="BTS vs Multi"/>
      <sheetName val="Overall Portfolio"/>
      <sheetName val="2. IM Summary"/>
      <sheetName val="LevModel"/>
      <sheetName val="Two"/>
      <sheetName val="IRR (Annual) (Output)"/>
      <sheetName val="BOOK TO TAX"/>
      <sheetName val="Initial_Input_Variable"/>
      <sheetName val="Income_Statement"/>
      <sheetName val="Shareholders'_Equity"/>
      <sheetName val="Rent_roll"/>
      <sheetName val="2_대외공문"/>
      <sheetName val="Master_List_and_Strats"/>
      <sheetName val="10.10.2003"/>
      <sheetName val="Initial_Input_Variable1"/>
      <sheetName val="Income_Statement1"/>
      <sheetName val="Shareholders'_Equity1"/>
      <sheetName val="Rent_roll1"/>
      <sheetName val="2_대외공문1"/>
      <sheetName val="Master_List_and_Strats1"/>
      <sheetName val="SET_VARIABLES"/>
      <sheetName val="PK_checklist"/>
      <sheetName val="Macro_Codes"/>
      <sheetName val="Cash_bal_Mar"/>
      <sheetName val="3__CF-P&amp;L(UW)"/>
      <sheetName val="BTS_vs_Multi"/>
      <sheetName val="I__Assumptions"/>
      <sheetName val="Overall_Portfolio"/>
      <sheetName val="2__IM_Summary"/>
      <sheetName val="IRR_(Annual)_(Output)"/>
      <sheetName val="BOOK_TO_TAX"/>
      <sheetName val="A-General"/>
      <sheetName val="REO Cash Flow"/>
      <sheetName val="Stammdaten"/>
      <sheetName val="F4.2"/>
      <sheetName val="F4.3"/>
      <sheetName val="송전기본"/>
      <sheetName val="Cash_bal_Mar1"/>
      <sheetName val="PK_checklist1"/>
      <sheetName val="Macro_Codes1"/>
      <sheetName val="3__CF-P&amp;L(UW)1"/>
      <sheetName val="BTS_vs_Multi1"/>
      <sheetName val="I__Assumptions1"/>
      <sheetName val="2__IM_Summary1"/>
      <sheetName val="Overall_Portfolio1"/>
      <sheetName val="SET_VARIABLES1"/>
      <sheetName val="IRR_(Annual)_(Output)1"/>
      <sheetName val="BOOK_TO_TAX1"/>
      <sheetName val="Initial_Input_Variable2"/>
      <sheetName val="Income_Statement2"/>
      <sheetName val="Shareholders'_Equity2"/>
      <sheetName val="Rent_roll2"/>
      <sheetName val="Initial_Input_Variable3"/>
      <sheetName val="Income_Statement3"/>
      <sheetName val="Shareholders'_Equity3"/>
      <sheetName val="Rent_roll3"/>
      <sheetName val="2_대외공문2"/>
      <sheetName val="Master_List_and_Strats2"/>
      <sheetName val="Initial_Input_Variable4"/>
      <sheetName val="Income_Statement4"/>
      <sheetName val="Shareholders'_Equity4"/>
      <sheetName val="Rent_roll4"/>
      <sheetName val="2_대외공문3"/>
      <sheetName val="Master_List_and_Strats3"/>
      <sheetName val="hoja2"/>
      <sheetName val="Hoja de datos"/>
      <sheetName val="Initial_Input_Variable5"/>
      <sheetName val="Income_Statement5"/>
      <sheetName val="Shareholders'_Equity5"/>
      <sheetName val="Rent_roll5"/>
      <sheetName val="2_대외공문4"/>
      <sheetName val="Master_List_and_Strats4"/>
      <sheetName val="10_10_2003"/>
      <sheetName val="I__Assumption"/>
      <sheetName val="REO_Cash_Flow"/>
      <sheetName val="Hoja_de_datos"/>
      <sheetName val="Variance"/>
      <sheetName val="Data Validation"/>
      <sheetName val="Customize Your Invoice"/>
      <sheetName val="Cap Table"/>
      <sheetName val="수량산출"/>
      <sheetName val="데이타"/>
      <sheetName val="DATA"/>
      <sheetName val="Pricing"/>
      <sheetName val="Buyside Summary"/>
      <sheetName val="10월판관"/>
      <sheetName val="Æo°¡±aAØ"/>
      <sheetName val="피벗"/>
      <sheetName val="p5. 유무형자산"/>
      <sheetName val="IKSoKH"/>
      <sheetName val="98 IKSoKH"/>
      <sheetName val="울산시산표"/>
      <sheetName val="2-1.제품군별계획대비실적(B.A)"/>
      <sheetName val="수입"/>
      <sheetName val="주요계정명세서부표"/>
      <sheetName val="현금및현금등가물1"/>
      <sheetName val="대외공문"/>
      <sheetName val="YOEMAGUM"/>
      <sheetName val="단중표-ST"/>
      <sheetName val="재고자산"/>
      <sheetName val="기안"/>
      <sheetName val="VPP(BD-010) 이상보고"/>
      <sheetName val="공정계획(내부계획25%,내부w.f)"/>
      <sheetName val="TOTAL"/>
      <sheetName val="411-00 외화장기"/>
      <sheetName val="VPP(BD-010)_이상보고"/>
      <sheetName val="공정계획(내부계획25%,내부w_f)"/>
      <sheetName val="411-00_외화장기"/>
      <sheetName val="집계"/>
      <sheetName val="전체"/>
      <sheetName val="3.판관비명세서"/>
      <sheetName val="수정시산표"/>
      <sheetName val=".4 국고보조금"/>
      <sheetName val="업체명"/>
      <sheetName val="IND9899"/>
      <sheetName val="#REF"/>
      <sheetName val="885"/>
      <sheetName val="All"/>
      <sheetName val="2.손익계산서"/>
      <sheetName val="시산표(매출조정전)"/>
      <sheetName val="2001매출액_44354"/>
      <sheetName val="5사남"/>
      <sheetName val="PI"/>
      <sheetName val="PP%계산"/>
      <sheetName val="THEME CODE"/>
      <sheetName val="CR CODE"/>
      <sheetName val="부서CODE"/>
      <sheetName val="so-021"/>
      <sheetName val="공문송부업체"/>
      <sheetName val="Page 1A - Proposal Strategy "/>
      <sheetName val="총괄집계표"/>
      <sheetName val="Emission Norms"/>
      <sheetName val="CVBUH2MONTHLY"/>
      <sheetName val="Purchases-CT1"/>
      <sheetName val="Purchases-ST1  "/>
      <sheetName val="F-4"/>
      <sheetName val="Projected Expense - Local"/>
      <sheetName val="MAR A"/>
      <sheetName val="BRAKE"/>
      <sheetName val="(공)설비팀"/>
      <sheetName val="(BS,CF)-BACK"/>
      <sheetName val="5"/>
      <sheetName val="Wins"/>
      <sheetName val="Region Data"/>
      <sheetName val="VGIPURip1200h"/>
      <sheetName val="MISforgeforging"/>
      <sheetName val="Instruction"/>
      <sheetName val="SAFETY"/>
      <sheetName val="Ageing Analysis "/>
      <sheetName val="Summary "/>
      <sheetName val="1"/>
      <sheetName val="검기갑지"/>
      <sheetName val="validation rules"/>
      <sheetName val="Emission_Norms2"/>
      <sheetName val="MAR_A2"/>
      <sheetName val="Purchases-ST1__2"/>
      <sheetName val="Projected_Expense_-_Local2"/>
      <sheetName val="Emission_Norms"/>
      <sheetName val="MAR_A"/>
      <sheetName val="Purchases-ST1__"/>
      <sheetName val="Projected_Expense_-_Local"/>
      <sheetName val="Emission_Norms1"/>
      <sheetName val="MAR_A1"/>
      <sheetName val="Purchases-ST1__1"/>
      <sheetName val="Projected_Expense_-_Local1"/>
      <sheetName val="업무분장 "/>
      <sheetName val="PTP-Normal"/>
      <sheetName val="p5__유무형자산"/>
      <sheetName val="_4_국고보조금"/>
      <sheetName val="98_IKSoKH"/>
      <sheetName val="2-1_제품군별계획대비실적(B_A)"/>
      <sheetName val="Full Sheet"/>
      <sheetName val="근로영수증"/>
      <sheetName val="B"/>
      <sheetName val="산출기준(파견전산실)"/>
      <sheetName val="Factor"/>
      <sheetName val="전체현황"/>
      <sheetName val="반기_유가증권"/>
      <sheetName val="bs"/>
      <sheetName val="장기성미수금"/>
      <sheetName val="지수"/>
      <sheetName val="재무비율분석"/>
      <sheetName val="F12_BS"/>
      <sheetName val="F3_PL"/>
      <sheetName val="F4_PAJE"/>
      <sheetName val="지급어음"/>
      <sheetName val="부도어음"/>
      <sheetName val="當期시산표(결재)"/>
      <sheetName val="관리수정"/>
      <sheetName val="Stock Div Accural"/>
      <sheetName val="108.수선비"/>
      <sheetName val="1-1-1-1"/>
      <sheetName val="기계"/>
      <sheetName val="96월별PL"/>
      <sheetName val="신공항A-9(원가수정)"/>
      <sheetName val="최종전사PL"/>
      <sheetName val="시나리오"/>
      <sheetName val="상품입고집계"/>
      <sheetName val="Supporting Tool"/>
      <sheetName val="US Codes"/>
      <sheetName val="별제권_정리담보권1"/>
      <sheetName val="BUILDING"/>
      <sheetName val="MARCH 25"/>
      <sheetName val="은행"/>
      <sheetName val="금융"/>
      <sheetName val="적용환율"/>
      <sheetName val="7.31연체현황"/>
      <sheetName val="법인구분"/>
      <sheetName val="기초코드"/>
      <sheetName val="기본사항"/>
      <sheetName val="8(갑)"/>
      <sheetName val="10(갑)"/>
      <sheetName val="조특3"/>
      <sheetName val="4"/>
      <sheetName val="영화별rawdata"/>
      <sheetName val="발생집계"/>
      <sheetName val="천안"/>
      <sheetName val="Macro1"/>
      <sheetName val="합손"/>
      <sheetName val="10한빛"/>
      <sheetName val="POS_INV 9712"/>
      <sheetName val="pos collection timeliness"/>
      <sheetName val="TEMP1"/>
      <sheetName val="Code"/>
      <sheetName val="시산표"/>
      <sheetName val="118.세금과공과"/>
      <sheetName val="C.Code"/>
      <sheetName val="1.외주공사"/>
      <sheetName val="25.보증금(임차보증금외)"/>
      <sheetName val="TB0313"/>
      <sheetName val="Ⅱ1-0타"/>
      <sheetName val="96PAYC"/>
      <sheetName val="회차별합계"/>
      <sheetName val="대환취급"/>
      <sheetName val="non"/>
      <sheetName val="차손"/>
      <sheetName val="Menu_Link"/>
      <sheetName val="영업.일1"/>
      <sheetName val="cable-data"/>
      <sheetName val="Target"/>
      <sheetName val="BaseData"/>
      <sheetName val="6월"/>
      <sheetName val="Macro"/>
      <sheetName val="Mar"/>
      <sheetName val="공정가치"/>
      <sheetName val="1998 P &amp; L"/>
      <sheetName val="선급법인세 (2)"/>
      <sheetName val="24.보증금(전신전화가입권)"/>
      <sheetName val="RE9604"/>
      <sheetName val="지보1_98"/>
      <sheetName val="ST"/>
      <sheetName val="부가세신고자료"/>
      <sheetName val="고정자산원본"/>
      <sheetName val="외주현황.wq1"/>
      <sheetName val="US_Codes"/>
      <sheetName val="매입채무 Lead Sheet"/>
      <sheetName val="개발비자산성검토"/>
      <sheetName val="Reference2"/>
      <sheetName val="산업은행 경영지표"/>
      <sheetName val="TS"/>
      <sheetName val="공정가치접근법"/>
      <sheetName val="4월"/>
      <sheetName val="영업_일1"/>
      <sheetName val="108_수선비"/>
      <sheetName val="1998_P_&amp;_L"/>
      <sheetName val="Stock_Div_Accural"/>
      <sheetName val="24_보증금(전신전화가입권)"/>
      <sheetName val="영업_일11"/>
      <sheetName val="108_수선비1"/>
      <sheetName val="1998_P_&amp;_L1"/>
      <sheetName val="Stock_Div_Accural1"/>
      <sheetName val="24_보증금(전신전화가입권)1"/>
      <sheetName val="BS-중간"/>
      <sheetName val="INSTRUCTIONS"/>
      <sheetName val="Reference"/>
      <sheetName val="ST4_조회확인"/>
      <sheetName val="유동자산"/>
      <sheetName val="최종보고1"/>
      <sheetName val="CJE"/>
      <sheetName val="감독원보고기준_차기배당금액"/>
      <sheetName val="회전율"/>
      <sheetName val="R(BS-PL-RE)"/>
      <sheetName val="Significant Processes"/>
      <sheetName val="Config"/>
      <sheetName val="외환차손익"/>
      <sheetName val="업무분장_"/>
      <sheetName val="Supporting_Tool"/>
      <sheetName val="MARCH_25"/>
      <sheetName val="G100"/>
      <sheetName val="인건비 내역서"/>
      <sheetName val="관계회사거래내역및 채권채무잔액 99"/>
      <sheetName val="합계잔액시산표"/>
      <sheetName val="94B"/>
      <sheetName val="협조전"/>
      <sheetName val="정산표"/>
      <sheetName val="특소세당기재무제표수정"/>
      <sheetName val="회사제시"/>
      <sheetName val="입력자료"/>
      <sheetName val="3-4현"/>
      <sheetName val="mwo원자재"/>
      <sheetName val="대전"/>
      <sheetName val="조회총괄"/>
      <sheetName val="00'미수"/>
      <sheetName val="개발_BS"/>
      <sheetName val="장기채무명세서(97.12.31)"/>
      <sheetName val="A"/>
      <sheetName val="업무분장_1"/>
      <sheetName val="US_Codes1"/>
      <sheetName val="Supporting_Tool1"/>
      <sheetName val="MARCH_251"/>
      <sheetName val="7_31연체현황"/>
      <sheetName val="2_손익계산서"/>
      <sheetName val="1_외주공사"/>
      <sheetName val="25_보증금(임차보증금외)"/>
      <sheetName val="118_세금과공과"/>
      <sheetName val="C_Code"/>
      <sheetName val="POS_INV_9712"/>
      <sheetName val="pos_collection_timeliness"/>
      <sheetName val="외주현황_wq1"/>
      <sheetName val="매입채무_Lead_Sheet"/>
      <sheetName val="산업은행_경영지표"/>
      <sheetName val="인건비_내역서"/>
      <sheetName val="Compatto"/>
      <sheetName val="마스턴전문투자형사모부동산투자신탁제119호"/>
      <sheetName val="버전정보"/>
      <sheetName val="2 Contact ref. tables"/>
      <sheetName val="Initial_Input_Variable6"/>
      <sheetName val="Income_Statement6"/>
      <sheetName val="Shareholders'_Equity6"/>
      <sheetName val="Rent_roll6"/>
      <sheetName val="2_대외공문5"/>
      <sheetName val="Master_List_and_Strats5"/>
      <sheetName val="SET_VARIABLES2"/>
      <sheetName val="PK_checklist2"/>
      <sheetName val="Macro_Codes2"/>
      <sheetName val="Cash_bal_Mar2"/>
      <sheetName val="3__CF-P&amp;L(UW)2"/>
      <sheetName val="BTS_vs_Multi2"/>
      <sheetName val="I__Assumptions2"/>
      <sheetName val="Overall_Portfolio2"/>
      <sheetName val="2__IM_Summary2"/>
      <sheetName val="IRR_(Annual)_(Output)2"/>
      <sheetName val="BOOK_TO_TAX2"/>
      <sheetName val="10_10_20031"/>
      <sheetName val="I__Assumption1"/>
      <sheetName val="REO_Cash_Flow1"/>
      <sheetName val="Hoja_de_datos1"/>
      <sheetName val="Data_Validation"/>
      <sheetName val="Customize_Your_Invoice"/>
      <sheetName val="Global Assumption"/>
      <sheetName val="卖出国债test"/>
      <sheetName val="집수정(600-700)"/>
      <sheetName val="설계명세서"/>
      <sheetName val="예산명세서"/>
      <sheetName val="자료입력"/>
      <sheetName val="2008 (mgt fee to JLL)"/>
      <sheetName val="2008_(mgt_fee_to_JLL)"/>
      <sheetName val="F4_2"/>
      <sheetName val="F4_3"/>
      <sheetName val="과8"/>
      <sheetName val="XLUTIL"/>
      <sheetName val="Ten..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 refreshError="1"/>
      <sheetData sheetId="377" refreshError="1"/>
      <sheetData sheetId="378" refreshError="1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 refreshError="1"/>
      <sheetData sheetId="413" refreshError="1"/>
      <sheetData sheetId="414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6300-기타유동부채"/>
      <sheetName val="특별이익"/>
      <sheetName val="영업외비용"/>
      <sheetName val="고정부채"/>
      <sheetName val="유형"/>
      <sheetName val="over(정액)"/>
      <sheetName val="판관비"/>
      <sheetName val="판관비2"/>
      <sheetName val="담보"/>
      <sheetName val="수정분개"/>
      <sheetName val="Rent Roll"/>
      <sheetName val="VAT reconcile"/>
      <sheetName val="감가상각누계액"/>
      <sheetName val="XREF"/>
      <sheetName val="summary"/>
      <sheetName val="S&amp;R"/>
      <sheetName val="P.L"/>
      <sheetName val="회사제시"/>
      <sheetName val="통계자료"/>
      <sheetName val="total"/>
      <sheetName val="Check"/>
      <sheetName val="외화금융(97-03)"/>
      <sheetName val="lead"/>
      <sheetName val="Approved Renov Payment Schedule"/>
      <sheetName val="Mar 07"/>
      <sheetName val="Budget"/>
      <sheetName val="손익"/>
      <sheetName val="Income"/>
      <sheetName val="  조서의 워크시트"/>
      <sheetName val="Assumption"/>
      <sheetName val="재평가자산"/>
      <sheetName val="Menu_Link"/>
      <sheetName val="Cover"/>
      <sheetName val="현금흐름표"/>
      <sheetName val="drivers"/>
      <sheetName val="Sydney"/>
      <sheetName val="TELES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설계조건"/>
      <sheetName val="원가"/>
      <sheetName val="단면검토"/>
      <sheetName val="현금 및 예치금Lead"/>
      <sheetName val="현금및예치금 명세서"/>
      <sheetName val="미수수익"/>
      <sheetName val="현금및예치금집계표"/>
      <sheetName val="현금및등가물명세서"/>
      <sheetName val="5사남"/>
      <sheetName val="단기금융상품"/>
      <sheetName val="제조증빙"/>
      <sheetName val="8310"/>
      <sheetName val="Financials"/>
      <sheetName val="for disclosure"/>
      <sheetName val="Exec Overview"/>
      <sheetName val="Assumptions"/>
      <sheetName val="F-3"/>
      <sheetName val="X"/>
      <sheetName val="CAPTIONS"/>
      <sheetName val="Key Data_Y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Tickmarks "/>
      <sheetName val="감가상각누계액"/>
      <sheetName val="XREF"/>
      <sheetName val="유형"/>
      <sheetName val="고정부채"/>
      <sheetName val="Walsei"/>
      <sheetName val="7.31연체현황"/>
      <sheetName val="감사인검토내역(PAJE)"/>
      <sheetName val="1.외주공사"/>
      <sheetName val="감소Test"/>
      <sheetName val="0.총괄"/>
      <sheetName val="Rent Roll"/>
      <sheetName val="total"/>
      <sheetName val="Budget"/>
      <sheetName val="Initial Input Variable"/>
      <sheetName val="Template"/>
      <sheetName val="취득 처분명세_반기"/>
      <sheetName val="SUMMARY"/>
      <sheetName val="lead"/>
      <sheetName val="감가상각LS"/>
      <sheetName val="LS "/>
      <sheetName val="조회서"/>
      <sheetName val="감가상각"/>
      <sheetName val="손익"/>
      <sheetName val="Sheet1"/>
      <sheetName val="기타의투자자산"/>
      <sheetName val="장기대여금"/>
      <sheetName val="600-4"/>
      <sheetName val="D620"/>
      <sheetName val="시산표"/>
      <sheetName val="매입채무"/>
      <sheetName val="SS10"/>
      <sheetName val="3110-2"/>
      <sheetName val="통계자료"/>
      <sheetName val="유형자산증감"/>
      <sheetName val="6120"/>
      <sheetName val="xxxxxx"/>
      <sheetName val="시산표(매출조정전)"/>
      <sheetName val="고정자산원본"/>
      <sheetName val="감액검토_x_"/>
      <sheetName val="매출채권"/>
      <sheetName val="기타당좌자산"/>
      <sheetName val="5300"/>
      <sheetName val="5500"/>
      <sheetName val="보증금"/>
      <sheetName val="1.LEAD"/>
      <sheetName val="MARCH 25"/>
      <sheetName val="손익계산서"/>
      <sheetName val="매출"/>
      <sheetName val="한세A4PL"/>
      <sheetName val="손익합산"/>
      <sheetName val="compare2"/>
      <sheetName val="관세"/>
      <sheetName val="인건비 내역서"/>
      <sheetName val="부외부채"/>
      <sheetName val="공사미수금"/>
      <sheetName val="유형자산증가"/>
      <sheetName val="5400-재고자산Lead"/>
      <sheetName val="상품매출원가"/>
      <sheetName val="RESULT"/>
      <sheetName val="만기"/>
      <sheetName val="99발견사항"/>
      <sheetName val="발견사항"/>
      <sheetName val="wbs"/>
      <sheetName val="wpl"/>
      <sheetName val="대차대조표"/>
      <sheetName val="정산표"/>
      <sheetName val="영원bs"/>
      <sheetName val="영원is"/>
      <sheetName val="SDF"/>
      <sheetName val="YSS"/>
      <sheetName val="연결분개99"/>
      <sheetName val="Sheet6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Sheet5"/>
      <sheetName val="Sheet4"/>
      <sheetName val="Sheet3"/>
      <sheetName val="Sheet2"/>
      <sheetName val="수정분개"/>
      <sheetName val="대차"/>
      <sheetName val="잉여금"/>
      <sheetName val="현금흐름표"/>
      <sheetName val="현금흐름표검증조서"/>
      <sheetName val="만기 (2)"/>
      <sheetName val="TB"/>
      <sheetName val="00'미수"/>
      <sheetName val="She_x0000__x0000_2"/>
      <sheetName val="꺐윂"/>
      <sheetName val="2.직영공사"/>
      <sheetName val="총괄(회사)"/>
      <sheetName val="무형자산"/>
      <sheetName val="전산기기최종"/>
      <sheetName val="집기비품최종"/>
      <sheetName val="만기0701"/>
      <sheetName val="99지분법평가ﾐ쟿"/>
      <sheetName val="자료"/>
      <sheetName val="INFO"/>
      <sheetName val="외환차손익"/>
      <sheetName val="회사제시"/>
      <sheetName val="거래처별매출비율_Interim"/>
      <sheetName val="1998 P &amp; L"/>
      <sheetName val="VXXXXX"/>
      <sheetName val="XXXX"/>
      <sheetName val="계정code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BA"/>
      <sheetName val="BB"/>
      <sheetName val="BC"/>
      <sheetName val="BD"/>
      <sheetName val="BE"/>
      <sheetName val="Module"/>
      <sheetName val="VAT reconcile"/>
      <sheetName val="비품(94이전)"/>
      <sheetName val="매출LS"/>
      <sheetName val="신기술(비상장)0412"/>
      <sheetName val="리드"/>
      <sheetName val="후순위채05.01.20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무형"/>
      <sheetName val="front"/>
      <sheetName val="재료비"/>
      <sheetName val="가공비"/>
      <sheetName val="판관비"/>
      <sheetName val="생판계획"/>
      <sheetName val="9월제조원가"/>
      <sheetName val="3"/>
      <sheetName val="DATA"/>
      <sheetName val="수정사항summary(반기)"/>
      <sheetName val="Worksheet in 5760 감가상각비(누계액)명세서"/>
      <sheetName val="동해title"/>
      <sheetName val="LS"/>
      <sheetName val="Seasonality"/>
      <sheetName val="#REF"/>
      <sheetName val="Balances"/>
      <sheetName val="WI"/>
      <sheetName val="PdmDesigner"/>
      <sheetName val="1_외주공사"/>
      <sheetName val="총괄"/>
      <sheetName val="5100-현금"/>
      <sheetName val="Menu_Link"/>
      <sheetName val="FN"/>
      <sheetName val="TB(BS)"/>
      <sheetName val="TB(PL)"/>
      <sheetName val="PAJE"/>
      <sheetName val="PRJE"/>
      <sheetName val="받을어음"/>
      <sheetName val="재무비율분석"/>
      <sheetName val="PL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건물"/>
      <sheetName val="분양미수금"/>
      <sheetName val="MatchCode"/>
      <sheetName val="X3"/>
      <sheetName val="제품분류코드"/>
      <sheetName val="차수"/>
      <sheetName val="경비"/>
      <sheetName val="P.L"/>
      <sheetName val="경기연합"/>
      <sheetName val="대외공문"/>
      <sheetName val="F12"/>
      <sheetName val="2.지분법적용주식Leadsheet(회사제시)"/>
      <sheetName val="4.지분법평가요약"/>
      <sheetName val="5.지분법분개"/>
      <sheetName val="Tickmarks"/>
      <sheetName val="종합_SP"/>
      <sheetName val="종합_MP"/>
      <sheetName val="무림SP_상세"/>
      <sheetName val="무림페이퍼_상세"/>
      <sheetName val="종합"/>
      <sheetName val="매출채권(집계)"/>
      <sheetName val="외상매출금 합계표(조회서 refer) "/>
      <sheetName val="대체적인 절차 refer(외상매출금)"/>
      <sheetName val="국내외상매출금(S)"/>
      <sheetName val="국내외상매출금(P)"/>
      <sheetName val="국내외상매출(B)"/>
      <sheetName val="외화외상매출금"/>
      <sheetName val="받을어음 합계표(조회서 refer)"/>
      <sheetName val="받을어음(S)"/>
      <sheetName val="받을어음(P)"/>
      <sheetName val="받을어음(B)"/>
      <sheetName val="구매카드"/>
      <sheetName val="부도어음"/>
      <sheetName val="memo"/>
      <sheetName val="BS"/>
      <sheetName val="MCS"/>
      <sheetName val="CF"/>
      <sheetName val="RE"/>
      <sheetName val="Start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9월"/>
      <sheetName val="채권9월"/>
      <sheetName val="입금9월"/>
      <sheetName val="10월"/>
      <sheetName val="채권10월"/>
      <sheetName val="입금10월"/>
      <sheetName val="11월"/>
      <sheetName val="채권11월"/>
      <sheetName val="입금11월"/>
      <sheetName val="12월"/>
      <sheetName val="12월채권"/>
      <sheetName val="입금12월"/>
      <sheetName val="당좌자산"/>
      <sheetName val="재고자산"/>
      <sheetName val="투자자산"/>
      <sheetName val="유형자산"/>
      <sheetName val="건설가계정명세서"/>
      <sheetName val="감가상각비"/>
      <sheetName val="감가상각충당금"/>
      <sheetName val="현금과예금"/>
      <sheetName val="현금명세서"/>
      <sheetName val="예금명세서"/>
      <sheetName val="외상매출금"/>
      <sheetName val="단기대여금&amp;주임종단기대여금"/>
      <sheetName val="미수금"/>
      <sheetName val="미수수익"/>
      <sheetName val="미착원재료"/>
      <sheetName val="선급금&amp;지사관리비"/>
      <sheetName val="선급비용"/>
      <sheetName val="지급보증금"/>
      <sheetName val="선급법인세"/>
      <sheetName val="투자유가증권&amp;출자금&amp;출자주식"/>
      <sheetName val="특정현금과 예금"/>
      <sheetName val="가입권"/>
      <sheetName val="전신전화가입권"/>
      <sheetName val="임차보증금"/>
      <sheetName val="상표권"/>
      <sheetName val="96상입"/>
      <sheetName val="전체"/>
      <sheetName val="매출1"/>
      <sheetName val="입금1"/>
      <sheetName val="채권1"/>
      <sheetName val="기일1"/>
      <sheetName val="매출2"/>
      <sheetName val="입금2"/>
      <sheetName val="채권2"/>
      <sheetName val="기일2"/>
      <sheetName val="매출3"/>
      <sheetName val="입금3"/>
      <sheetName val="채권3"/>
      <sheetName val="기일3"/>
      <sheetName val="매출4"/>
      <sheetName val="입금4"/>
      <sheetName val="채권4"/>
      <sheetName val="기일4"/>
      <sheetName val="매출5"/>
      <sheetName val="입금5"/>
      <sheetName val="채권5"/>
      <sheetName val="기일5"/>
      <sheetName val="매출6"/>
      <sheetName val="입금6"/>
      <sheetName val="채권6"/>
      <sheetName val="기일6"/>
      <sheetName val="매출7"/>
      <sheetName val="입금7"/>
      <sheetName val="채권7"/>
      <sheetName val="기일7"/>
      <sheetName val="07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비교"/>
      <sheetName val="2차분"/>
      <sheetName val="피벗"/>
      <sheetName val="기본데이터"/>
      <sheetName val="양식(최종)"/>
      <sheetName val="양식(최종) (2)"/>
      <sheetName val="분석적검토"/>
      <sheetName val="A4 BS"/>
      <sheetName val="FS96"/>
      <sheetName val="8월현금흐름표"/>
      <sheetName val="basic_info"/>
      <sheetName val="조회총괄"/>
      <sheetName val="XLUTIL"/>
      <sheetName val="96수표어음"/>
      <sheetName val="로케션"/>
      <sheetName val="master"/>
      <sheetName val="Estrazione"/>
      <sheetName val="Links"/>
      <sheetName val="Macro1"/>
      <sheetName val="COND"/>
      <sheetName val="5600"/>
      <sheetName val="Macro2"/>
      <sheetName val="영업"/>
      <sheetName val="종합일지"/>
      <sheetName val="대환취급"/>
      <sheetName val="분당임차변경"/>
      <sheetName val="Macro4"/>
      <sheetName val="Gen Assumptions"/>
      <sheetName val="관리대장(2001장비)"/>
      <sheetName val="4b Consolidated PL"/>
      <sheetName val="전체현황"/>
      <sheetName val="발생집계"/>
      <sheetName val="을"/>
      <sheetName val="INMD1198"/>
      <sheetName val="INFG1198"/>
      <sheetName val="Korea Sign-Internal"/>
      <sheetName val="pre-anal손익계산서"/>
      <sheetName val="pre-anal대차대조표"/>
      <sheetName val="calendar"/>
      <sheetName val="HEADER"/>
      <sheetName val="language"/>
      <sheetName val="Borrower"/>
      <sheetName val="Property"/>
      <sheetName val="공문"/>
      <sheetName val="Cover"/>
      <sheetName val="Priorities"/>
      <sheetName val="Rate"/>
      <sheetName val="Date"/>
      <sheetName val="월별수입"/>
      <sheetName val="유통망계획"/>
      <sheetName val="Index"/>
      <sheetName val="선수금"/>
      <sheetName val="폐토수익화 "/>
      <sheetName val="Com-Button"/>
      <sheetName val="총괄KD"/>
      <sheetName val="공통부대비"/>
      <sheetName val="TEL"/>
      <sheetName val="지분법(AK) (2)"/>
      <sheetName val="한일자야(감액손실) (2)"/>
      <sheetName val="원판매입"/>
      <sheetName val="Secured Master"/>
      <sheetName val="1_當期시산표"/>
      <sheetName val="손익분석"/>
      <sheetName val="정부노임단가"/>
      <sheetName val="3분기"/>
      <sheetName val="구동"/>
      <sheetName val="PLarp"/>
      <sheetName val="9703"/>
      <sheetName val="801000"/>
      <sheetName val="Köpfe"/>
      <sheetName val="BAL.(TTL)"/>
      <sheetName val="총괄표"/>
      <sheetName val="MetaData"/>
      <sheetName val="9811 YTD"/>
      <sheetName val="流资汇总"/>
      <sheetName val=" 견적서"/>
      <sheetName val="제조원가"/>
      <sheetName val="001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118.세금과공과"/>
      <sheetName val="1.MDF1공장"/>
      <sheetName val="손익계산"/>
      <sheetName val="w't table"/>
      <sheetName val="000000"/>
      <sheetName val="당년매출"/>
      <sheetName val="당년매출집계"/>
      <sheetName val="전년매출"/>
      <sheetName val="전년매출집계"/>
      <sheetName val="당년예산"/>
      <sheetName val="당년예산집계"/>
      <sheetName val="예산실적비교"/>
      <sheetName val="관계매출 (2)"/>
      <sheetName val="관계매출"/>
      <sheetName val="관계회사"/>
      <sheetName val="tax1"/>
      <sheetName val="GENERAL"/>
      <sheetName val="Inv "/>
      <sheetName val="++++"/>
      <sheetName val="1"/>
      <sheetName val="시나리오"/>
      <sheetName val="순수통장"/>
      <sheetName val="적립수신"/>
      <sheetName val="TBclosing"/>
      <sheetName val="재무가정"/>
      <sheetName val="Æo°¡±aAØ"/>
      <sheetName val="2.대외공문"/>
      <sheetName val="중요성(출)"/>
      <sheetName val="전부인쇄"/>
      <sheetName val="경비분류(1)"/>
      <sheetName val="Oper Amount"/>
      <sheetName val="WBS98"/>
      <sheetName val="급여이체(농) (2)"/>
      <sheetName val="AL"/>
      <sheetName val="m_COA"/>
      <sheetName val="06년예상보험료 (2)"/>
      <sheetName val="1~10월실적"/>
      <sheetName val="에스피"/>
      <sheetName val="페이퍼"/>
      <sheetName val="코드Mapping"/>
      <sheetName val="신무림1"/>
      <sheetName val="DB"/>
      <sheetName val="급여"/>
      <sheetName val="Base"/>
      <sheetName val="기타주식-명세"/>
      <sheetName val="libor"/>
      <sheetName val="투자유가증권"/>
      <sheetName val="1-KUNDE.XLS"/>
      <sheetName val="main"/>
      <sheetName val="요약"/>
      <sheetName val="Serial"/>
      <sheetName val="Data Sheet"/>
      <sheetName val="DS-최종"/>
      <sheetName val="인천_계획"/>
      <sheetName val="고정자산-회사제시"/>
      <sheetName val="JUYO"/>
      <sheetName val="Intercompany AR &amp; AP"/>
      <sheetName val="Ctrl"/>
      <sheetName val="환율-LIBOR"/>
      <sheetName val="2_직영공사"/>
      <sheetName val="Korea_Sign-Internal"/>
      <sheetName val="4b_Consolidated_PL"/>
      <sheetName val="Gen_Assumptions"/>
      <sheetName val="1998_P_&amp;_L"/>
      <sheetName val="정의"/>
      <sheetName val="변제"/>
      <sheetName val="이자"/>
      <sheetName val="상환대상"/>
      <sheetName val="가정"/>
      <sheetName val="여신현황"/>
      <sheetName val="소비자가"/>
      <sheetName val="argl(1)"/>
      <sheetName val="재고"/>
      <sheetName val="2-2.매출분석"/>
      <sheetName val="graph data1"/>
      <sheetName val="graph data2"/>
      <sheetName val="경영현황"/>
      <sheetName val="일보_생산"/>
      <sheetName val="수출제비"/>
      <sheetName val="용역비"/>
      <sheetName val="교제비"/>
      <sheetName val="Code"/>
      <sheetName val="P6.작업선박시간표"/>
      <sheetName val="P2.breakdown"/>
      <sheetName val="원데이타(1)"/>
      <sheetName val="여담"/>
      <sheetName val="99년(원본) "/>
      <sheetName val="사업부별"/>
      <sheetName val="3.1수율첨부"/>
      <sheetName val="Income Statement"/>
      <sheetName val="Ratios"/>
      <sheetName val="A(1)"/>
      <sheetName val="A (3)"/>
      <sheetName val="R(BS-PL-RE)"/>
      <sheetName val="감가상각비재계산_08"/>
      <sheetName val="mm10"/>
      <sheetName val="지분법평가"/>
      <sheetName val="기초데이타"/>
      <sheetName val="공정가치"/>
      <sheetName val="F456"/>
      <sheetName val="수정시산표"/>
      <sheetName val=""/>
      <sheetName val="토지"/>
      <sheetName val="She"/>
      <sheetName val="F3"/>
      <sheetName val="Material Service Orders All"/>
      <sheetName val="Valid Values"/>
      <sheetName val="T&amp;C"/>
      <sheetName val="불량Database"/>
      <sheetName val="차액보증"/>
      <sheetName val="cable-data"/>
      <sheetName val="CTEMCOST"/>
      <sheetName val="Sheet14"/>
      <sheetName val="Sheet13"/>
      <sheetName val="대손설정"/>
      <sheetName val="이자율"/>
      <sheetName val="2-2매장별매출계획"/>
      <sheetName val="개인별_최종"/>
      <sheetName val="BASIS(Pre)"/>
      <sheetName val="Revenue Link"/>
      <sheetName val="enums"/>
      <sheetName val="설계명세서"/>
      <sheetName val="예산명세서"/>
      <sheetName val="자료입력"/>
      <sheetName val="Values"/>
      <sheetName val="교육계획"/>
      <sheetName val="내역서1"/>
      <sheetName val="Profile"/>
      <sheetName val="Parameters"/>
      <sheetName val="97(US,EP,PCT,KR)"/>
      <sheetName val="제안서입력"/>
      <sheetName val="기안"/>
      <sheetName val="04LS"/>
      <sheetName val="진행 현황표(45주)"/>
      <sheetName val="DETAIL"/>
      <sheetName val="Tbom-tot"/>
      <sheetName val="She??2"/>
      <sheetName val="Claim Hrs"/>
      <sheetName val="SS20"/>
      <sheetName val="HT_1"/>
      <sheetName val="BRAKE"/>
      <sheetName val="금융자산 control"/>
      <sheetName val="금융부채 control"/>
      <sheetName val="p5. 유무형자산"/>
      <sheetName val="CS"/>
      <sheetName val="LeadSchedule"/>
      <sheetName val="현금및예치금집계표"/>
      <sheetName val="WTB"/>
      <sheetName val="PAJE,PRJE"/>
      <sheetName val="F12_BS"/>
      <sheetName val="F3_PL"/>
      <sheetName val="Income"/>
      <sheetName val="label"/>
      <sheetName val="forecasting"/>
      <sheetName val="C_Lead"/>
      <sheetName val="8월 예상"/>
      <sheetName val="달성 상황  분석(8월)"/>
      <sheetName val="년계획"/>
      <sheetName val="수금"/>
      <sheetName val="계획"/>
      <sheetName val="갑지"/>
      <sheetName val="Table"/>
      <sheetName val="수량산출"/>
      <sheetName val="Steam Table"/>
      <sheetName val="Intl def"/>
      <sheetName val="Fed'l Taxable Inc"/>
      <sheetName val="Fx Assumptions"/>
      <sheetName val="Prov. Vac."/>
      <sheetName val="ISI W2s"/>
      <sheetName val="US Paid"/>
      <sheetName val="Schedule"/>
      <sheetName val="Summary-Final"/>
      <sheetName val="Rollforward to Final"/>
      <sheetName val="Pref B"/>
      <sheetName val="F-4,5"/>
      <sheetName val="현금"/>
      <sheetName val="CAUDIT"/>
      <sheetName val="현금및현금등가물"/>
      <sheetName val="Sydney"/>
      <sheetName val=".1 BS Consolidated 2009"/>
      <sheetName val=".2 IS Consolidated 2009"/>
      <sheetName val="table3 bottles"/>
      <sheetName val="table4RM"/>
      <sheetName val="Original Cap Table"/>
      <sheetName val="fasb 123 calc"/>
      <sheetName val="WDV Workings"/>
      <sheetName val="worksheet"/>
      <sheetName val="detail9'96_oh"/>
      <sheetName val="vendorList"/>
      <sheetName val="Final ProvisionWorking"/>
      <sheetName val=" lease agrmts &amp; lease liab."/>
      <sheetName val="WW_V"/>
      <sheetName val="CSI"/>
      <sheetName val="STATISTICS"/>
      <sheetName val="China"/>
      <sheetName val="CashPro (2)"/>
      <sheetName val="Option Activity '01"/>
      <sheetName val="Share Buyback Calcs"/>
      <sheetName val="7120(A) Rollforward"/>
      <sheetName val="Balance shet"/>
      <sheetName val="WKS"/>
      <sheetName val="080800"/>
      <sheetName val="K Wood DE"/>
      <sheetName val="AUTO By Cost Center"/>
      <sheetName val="Property Names"/>
      <sheetName val="Aug xrates"/>
      <sheetName val="xRate for 1H Bonus Planning"/>
      <sheetName val="Supporting Settings"/>
      <sheetName val="1. Lead"/>
      <sheetName val="TOP 10 CUST (L)"/>
      <sheetName val="XLR_NoRangeSheet"/>
      <sheetName val="Sponsor as Beneficiary (Burl)"/>
      <sheetName val="Rent Analysis"/>
      <sheetName val="xrates"/>
      <sheetName val="Maintenance Plan(설비)"/>
      <sheetName val="F4.2"/>
      <sheetName val="F4.3"/>
      <sheetName val="FF20"/>
      <sheetName val="CAJE.CRJE"/>
      <sheetName val="O 100 Lead"/>
      <sheetName val="PC%계산"/>
      <sheetName val="126.255"/>
      <sheetName val="JT3.0견적-구1"/>
      <sheetName val="제조부문배부"/>
      <sheetName val="inus영업BACKUP"/>
      <sheetName val="Assumption"/>
      <sheetName val="TDTKP"/>
      <sheetName val="DK-KH"/>
      <sheetName val="MAT"/>
      <sheetName val="Flowchart"/>
      <sheetName val="2001"/>
      <sheetName val="제조경비"/>
      <sheetName val="산출근거"/>
      <sheetName val="간지"/>
      <sheetName val="집수정(600-700)"/>
      <sheetName val="City St"/>
      <sheetName val="Fragen"/>
      <sheetName val="인원Detail"/>
      <sheetName val="She_x005f_x0000__x005f_x0000_2"/>
      <sheetName val="note"/>
      <sheetName val="THEME CODE"/>
      <sheetName val="CR CODE"/>
      <sheetName val="부서CODE"/>
      <sheetName val="SUM"/>
      <sheetName val="64164"/>
      <sheetName val="设备保全T汇总"/>
      <sheetName val="PT_ED"/>
      <sheetName val=" 斑利辑"/>
      <sheetName val="B053 (990701)공정실적PP%계산"/>
      <sheetName val="목표세부명세"/>
      <sheetName val="091002"/>
      <sheetName val="NewMarketSelector"/>
      <sheetName val="언양"/>
      <sheetName val="Assumptions"/>
      <sheetName val="Labor"/>
      <sheetName val="Control Download"/>
      <sheetName val="Intro"/>
      <sheetName val="She__2"/>
      <sheetName val="수소로COS"/>
      <sheetName val="TOT"/>
      <sheetName val="p.1 Lead"/>
      <sheetName val="data validation HIDE"/>
      <sheetName val="재료비 아이템별 내역"/>
      <sheetName val="ProvMs"/>
      <sheetName val="TI"/>
      <sheetName val="AL Franchise"/>
      <sheetName val="GA Net Worth"/>
      <sheetName val="LA Franchise Tax"/>
      <sheetName val="Michigan Return Calc"/>
      <sheetName val="MS Franchise Tax"/>
      <sheetName val="NY Capital Base Calc."/>
      <sheetName val="NC Franchise Tax"/>
      <sheetName val="SC License Fee"/>
      <sheetName val="TN Franchise Tax"/>
      <sheetName val="Texas Earned Surplus"/>
      <sheetName val="InvComp"/>
      <sheetName val="InvComp-Loc"/>
      <sheetName val="InvComp-Loc (2)"/>
      <sheetName val="graph"/>
      <sheetName val="aging"/>
      <sheetName val="Vendor-UK"/>
      <sheetName val="Vendor"/>
      <sheetName val="Vendor (2)"/>
      <sheetName val="Cntmrs-Recruit"/>
      <sheetName val="울산시산표"/>
      <sheetName val="5530"/>
      <sheetName val="5230"/>
      <sheetName val="Multiples Data"/>
      <sheetName val="Normal Tax"/>
      <sheetName val="IMSS"/>
      <sheetName val="현금 및 예치금Lead"/>
      <sheetName val="현금및예치금 명세서"/>
      <sheetName val="제조증빙"/>
      <sheetName val="She_x005f_x005f_x005f_x0000__x005f_x005f_x005f_x0000_2"/>
      <sheetName val="감가상각비대체내역"/>
      <sheetName val="Mar 07"/>
      <sheetName val="DISP96"/>
      <sheetName val="Comps' Current &amp; Former Owners "/>
      <sheetName val="T-Book - Tax Reconciliation"/>
      <sheetName val="ONT_PLD_M255_R"/>
      <sheetName val="Key Equip Finance"/>
      <sheetName val="First Corp"/>
      <sheetName val="Option Activity"/>
      <sheetName val="노동부"/>
      <sheetName val="GL Codes &amp; Dimension Rules"/>
      <sheetName val="Week"/>
      <sheetName val="PopCache"/>
      <sheetName val="Tax accounts WW value "/>
      <sheetName val="Input"/>
      <sheetName val="Cash Flow Tieout"/>
      <sheetName val="기타유동LS"/>
      <sheetName val="Stmt_of_Ops"/>
      <sheetName val="BS Schedules 04"/>
      <sheetName val="TB Calculation Sheet PY"/>
      <sheetName val="Contracts"/>
      <sheetName val="Prix marché, shipments"/>
      <sheetName val=".2 IS Consolidated 2008"/>
      <sheetName val="Statement"/>
      <sheetName val="VLOOKUP Data"/>
      <sheetName val="Control"/>
      <sheetName val="Matrix"/>
      <sheetName val="PYTHON1"/>
      <sheetName val="FTE Schedule"/>
      <sheetName val="Form"/>
      <sheetName val="품의서(TL)"/>
      <sheetName val="존4"/>
      <sheetName val="N賃率-職"/>
      <sheetName val="대구"/>
      <sheetName val="validationInfo"/>
      <sheetName val="CAPVC"/>
      <sheetName val="KXV01"/>
      <sheetName val="Additions"/>
      <sheetName val="Parm"/>
      <sheetName val="COMB3"/>
      <sheetName val="May"/>
      <sheetName val="payor mix"/>
      <sheetName val="이름관리자"/>
      <sheetName val="34"/>
      <sheetName val="신한은행보통예금"/>
      <sheetName val="신한은행부가가치세통장"/>
      <sheetName val="7월 은행잔고"/>
      <sheetName val="7월 입출금현황"/>
      <sheetName val="7월 매출입금내역"/>
      <sheetName val="매출입금상세내역"/>
      <sheetName val="매출발행내역"/>
      <sheetName val="7월내역서"/>
      <sheetName val="7월세금계산서외 "/>
      <sheetName val="8월2일기준-매입세금계산서"/>
      <sheetName val="7월법인카드내역"/>
      <sheetName val="7월급여대장"/>
      <sheetName val="JP"/>
      <sheetName val="HP"/>
      <sheetName val="Sch9"/>
      <sheetName val="MCSI"/>
      <sheetName val="전체지분도"/>
      <sheetName val="4b. SO Deductions"/>
      <sheetName val="Variance"/>
      <sheetName val="내역서"/>
      <sheetName val="折现率测算表"/>
      <sheetName val="Movement"/>
      <sheetName val="Income Tax"/>
      <sheetName val="NJFMA"/>
      <sheetName val="WHFMA"/>
      <sheetName val="HZFMA"/>
      <sheetName val="기준시가"/>
      <sheetName val="을지"/>
      <sheetName val="도입리스트"/>
      <sheetName val="유통조직현황"/>
      <sheetName val="Mapping Accumulative Visual"/>
      <sheetName val="총괄집계표"/>
      <sheetName val="G&amp;A"/>
      <sheetName val="현금및등가물명세서"/>
      <sheetName val="Approved Renov Payment Schedule"/>
      <sheetName val="금융자산 con︀뻕ԯ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>
        <row r="2">
          <cell r="A2">
            <v>120195</v>
          </cell>
        </row>
      </sheetData>
      <sheetData sheetId="596">
        <row r="2">
          <cell r="A2">
            <v>120195</v>
          </cell>
        </row>
      </sheetData>
      <sheetData sheetId="597">
        <row r="2">
          <cell r="A2">
            <v>120195</v>
          </cell>
        </row>
      </sheetData>
      <sheetData sheetId="598">
        <row r="2">
          <cell r="A2">
            <v>120195</v>
          </cell>
        </row>
      </sheetData>
      <sheetData sheetId="599">
        <row r="2">
          <cell r="A2">
            <v>120195</v>
          </cell>
        </row>
      </sheetData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2">
          <cell r="A2">
            <v>120195</v>
          </cell>
        </row>
      </sheetData>
      <sheetData sheetId="716">
        <row r="2">
          <cell r="G2">
            <v>0</v>
          </cell>
        </row>
      </sheetData>
      <sheetData sheetId="717">
        <row r="2">
          <cell r="A2">
            <v>120195</v>
          </cell>
        </row>
      </sheetData>
      <sheetData sheetId="718" refreshError="1"/>
      <sheetData sheetId="719"/>
      <sheetData sheetId="720" refreshError="1"/>
      <sheetData sheetId="721"/>
      <sheetData sheetId="722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eed"/>
      <sheetName val="Links"/>
      <sheetName val="XREF"/>
      <sheetName val="Tickmarks"/>
      <sheetName val="유형"/>
      <sheetName val="고정부채"/>
      <sheetName val="Rent Roll"/>
      <sheetName val="total"/>
      <sheetName val="Budget"/>
      <sheetName val="Initial Input Variable"/>
      <sheetName val="P.L"/>
      <sheetName val="Template"/>
      <sheetName val="Check"/>
      <sheetName val="Income"/>
      <sheetName val="5710 유형자산 Leadsheet"/>
      <sheetName val="Walsei"/>
      <sheetName val="label"/>
      <sheetName val="TB"/>
      <sheetName val="Assumption"/>
      <sheetName val="2004CJ"/>
      <sheetName val="Id"/>
      <sheetName val="Rent_Roll"/>
      <sheetName val="Initial_Input_Variable"/>
      <sheetName val="P_L"/>
      <sheetName val="Breakdown "/>
      <sheetName val="Acsis Comm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XREF"/>
      <sheetName val="Tickmarks"/>
      <sheetName val="유형자산명세서"/>
      <sheetName val="Sheet1"/>
      <sheetName val="Leadsheet"/>
      <sheetName val="유형"/>
      <sheetName val="고정부채"/>
      <sheetName val="Rent Roll"/>
      <sheetName val="total"/>
      <sheetName val="Budget"/>
      <sheetName val="FN"/>
      <sheetName val="원재료 단가 test"/>
      <sheetName val="은행조회서CS"/>
      <sheetName val="BA"/>
      <sheetName val="PL"/>
      <sheetName val="채권조회서 Roll-forward test"/>
      <sheetName val="노무비"/>
      <sheetName val="감가상각누계액"/>
      <sheetName val="이자비용Overall"/>
      <sheetName val="T4. 재공-2"/>
      <sheetName val="1.외주공사"/>
      <sheetName val="p.1 sub_lead"/>
      <sheetName val="상품매출원가"/>
      <sheetName val="투자유가증권명세서"/>
      <sheetName val="5630-해외투유평가"/>
      <sheetName val="5100-현금및등가물lead"/>
      <sheetName val="6400-고정부채lead"/>
      <sheetName val="Template"/>
      <sheetName val="현금및예치금집계표"/>
      <sheetName val="현금및등가물명세서"/>
      <sheetName val="승용"/>
      <sheetName val="Turkey"/>
      <sheetName val="QRY_EXPORT_FOR_ANALYSIS"/>
      <sheetName val="6120"/>
      <sheetName val="Lead"/>
      <sheetName val="유형자산증가"/>
      <sheetName val="2.직영공사"/>
      <sheetName val="무형"/>
      <sheetName val="국고보조금"/>
      <sheetName val="TB(PL)"/>
      <sheetName val="PAJE"/>
      <sheetName val="TB(BS)"/>
      <sheetName val="PRJE"/>
      <sheetName val="LS"/>
      <sheetName val="공사미수금"/>
      <sheetName val="0.총괄"/>
      <sheetName val="수정분개"/>
      <sheetName val="Significant Processes"/>
      <sheetName val="R(BS-PL-RE)"/>
      <sheetName val="회계처리요약"/>
      <sheetName val="환율금리"/>
      <sheetName val="투자자별매매비중_2"/>
      <sheetName val="투자자별매매비중"/>
      <sheetName val="증시자금 신용공여"/>
      <sheetName val="지수"/>
      <sheetName val="97(US,EP,PCT,KR)"/>
      <sheetName val="언양"/>
      <sheetName val="CTEMCOST"/>
      <sheetName val="Worksheet in 5720 유형자산 LEAD"/>
      <sheetName val="Revenue Link"/>
      <sheetName val="Sheet14"/>
      <sheetName val="Sheet13"/>
      <sheetName val="RG_CARDEALER"/>
      <sheetName val="cable-data"/>
      <sheetName val="개인별_최종"/>
      <sheetName val="시산표"/>
      <sheetName val="참고_ 카본단가 비교"/>
      <sheetName val="TP지원 (2)"/>
      <sheetName val="분양미수금"/>
      <sheetName val="심리RN"/>
      <sheetName val="공통"/>
      <sheetName val="업무분장 "/>
      <sheetName val="B-90"/>
      <sheetName val="기말요약"/>
      <sheetName val="중요성기준"/>
      <sheetName val="A9-1~5 "/>
      <sheetName val="A9-3"/>
      <sheetName val="경영분석"/>
      <sheetName val="98경영"/>
      <sheetName val="A9-부2 "/>
      <sheetName val="A9"/>
      <sheetName val="A9-2(구)"/>
      <sheetName val="주석자료A7"/>
      <sheetName val="주총요약"/>
      <sheetName val="지급보증"/>
      <sheetName val="(법인,토지)등기부등본요약"/>
      <sheetName val="보험가입"/>
      <sheetName val="계속기업검토표"/>
      <sheetName val="A7"/>
      <sheetName val="등본요약"/>
      <sheetName val="계속기업"/>
      <sheetName val="원가"/>
      <sheetName val="매입채무"/>
      <sheetName val="미수이자"/>
      <sheetName val="받을어음"/>
      <sheetName val="매출채권 lead"/>
      <sheetName val="Income"/>
      <sheetName val="Walsei"/>
      <sheetName val="label"/>
      <sheetName val="제안서입력"/>
      <sheetName val="감가상각"/>
      <sheetName val="04LS"/>
      <sheetName val="차액보증"/>
      <sheetName val="2001"/>
      <sheetName val="현금및현금등가물"/>
      <sheetName val="B - Income Statement"/>
      <sheetName val="Warrants"/>
      <sheetName val="Key Equip Finance"/>
      <sheetName val="Gross Receipts"/>
      <sheetName val="RF TB"/>
      <sheetName val="Group Breakdown"/>
      <sheetName val="Equity Roll (1)"/>
      <sheetName val="FA Roll"/>
      <sheetName val="A-DTA Samples"/>
      <sheetName val="130.1 - Tax Account RF"/>
      <sheetName val="Prueba Global"/>
      <sheetName val="IS_CY"/>
      <sheetName val="1. Option FV "/>
      <sheetName val="Gastos"/>
      <sheetName val="FAS 123"/>
      <sheetName val="Summary"/>
      <sheetName val="Inputs"/>
      <sheetName val="Grants"/>
      <sheetName val="Intl def"/>
      <sheetName val=".1 Subsequent Disbursements"/>
      <sheetName val="GAAP Summary Rollforward "/>
      <sheetName val="1. Lead"/>
      <sheetName val="Q1 2007"/>
      <sheetName val="Rent Analysis"/>
      <sheetName val="2003"/>
      <sheetName val="TOP 10 CUST (L)"/>
      <sheetName val="MAIN"/>
      <sheetName val="Summary-Final"/>
      <sheetName val="Sponsor as Beneficiary (Burl)"/>
      <sheetName val="Suficiencia de Pasivos"/>
      <sheetName val="Lookup"/>
      <sheetName val="14-020 Well Depreciation UOP"/>
      <sheetName val="Exec"/>
      <sheetName val=".2 Rollfwd"/>
      <sheetName val="BS-이연차수정"/>
      <sheetName val="PL-이연차수정"/>
      <sheetName val="비품(94이전)"/>
      <sheetName val="P&amp;L"/>
      <sheetName val="감가상각LS"/>
      <sheetName val="LS "/>
      <sheetName val="3. Temp Analysis"/>
      <sheetName val="디지아이(0303)"/>
      <sheetName val="F456"/>
      <sheetName val="F12"/>
      <sheetName val="F3"/>
      <sheetName val="F12_BS"/>
      <sheetName val="F3_PL"/>
      <sheetName val="Assumption"/>
      <sheetName val="Budget 2005(DW)"/>
      <sheetName val="Maintenance Plan(설비)"/>
      <sheetName val="총괄집계표"/>
      <sheetName val="설계명세서"/>
      <sheetName val="예산명세서"/>
      <sheetName val="자료입력"/>
      <sheetName val="토공총괄표"/>
      <sheetName val="Rent Comp (2)"/>
      <sheetName val="carryover"/>
      <sheetName val="K - FA Tax"/>
      <sheetName val="Admin"/>
      <sheetName val="Finsum"/>
      <sheetName val="YieldCo WTI"/>
      <sheetName val="급여대장(관리)"/>
      <sheetName val="Index"/>
      <sheetName val="detail"/>
      <sheetName val="XLR_NoRangeSheet"/>
      <sheetName val="ÐLists"/>
      <sheetName val="Control"/>
      <sheetName val="Taxes"/>
      <sheetName val="1-People 12.30"/>
      <sheetName val="Signoff"/>
      <sheetName val="1. Exercised"/>
      <sheetName val="Breakdown "/>
      <sheetName val="PT_ED"/>
      <sheetName val="2.대외공문"/>
      <sheetName val="B053 (990701)공정실적PP%계산"/>
      <sheetName val="Claim Hrs"/>
      <sheetName val="Fragen"/>
      <sheetName val="현금&amp;현금등가(K)"/>
      <sheetName val="퇴충(K)"/>
      <sheetName val="Summary cap table"/>
      <sheetName val="Assistance"/>
      <sheetName val="Gross Revenue"/>
      <sheetName val="5-WF detail"/>
      <sheetName val="Calculations"/>
      <sheetName val="Variables"/>
      <sheetName val="WP_Hist ABC"/>
      <sheetName val="Week"/>
      <sheetName val="Customer gross sales by genre"/>
      <sheetName val="Deferred tax Summary"/>
      <sheetName val="Consolidated by Co"/>
      <sheetName val="J-1.Environment"/>
      <sheetName val="Rejects PPM"/>
      <sheetName val="Customer Ratings"/>
      <sheetName val="Prem Freight Summary"/>
      <sheetName val="Sens"/>
      <sheetName val="EQUIPO DE DESPACHO"/>
      <sheetName val="리드"/>
      <sheetName val="Issue Log"/>
      <sheetName val="Sheet9"/>
      <sheetName val="Asset Transfer_Screen Shot"/>
      <sheetName val="Asset Proposal List"/>
      <sheetName val="Asset Proposal-Screen Shots"/>
      <sheetName val="Data Import Template"/>
      <sheetName val="New Asset List"/>
      <sheetName val="New Asset_Screen Shots"/>
      <sheetName val="FAMAsset_as of 12.31.18"/>
      <sheetName val="S-S Curve"/>
      <sheetName val="현금흐름표"/>
      <sheetName val="수량산출"/>
      <sheetName val="Resumen - DDJJ IVA "/>
      <sheetName val="Assumptions"/>
      <sheetName val="감가상각TEST"/>
      <sheetName val="BASIS(Pre)"/>
      <sheetName val="F1,2"/>
      <sheetName val="F45"/>
      <sheetName val=".1 Rollforward"/>
      <sheetName val="S-3"/>
      <sheetName val="N賃率-職"/>
      <sheetName val="#1 분석적검토"/>
      <sheetName val="FA Movement Schedule"/>
      <sheetName val="Opening Balance &amp; Additions"/>
      <sheetName val="FA Breakdown"/>
      <sheetName val="Sale breakdown"/>
      <sheetName val="교제비"/>
      <sheetName val="5300"/>
      <sheetName val="매출채권"/>
      <sheetName val="기타당좌자산"/>
      <sheetName val="5500"/>
      <sheetName val="8210"/>
      <sheetName val="Schedule"/>
      <sheetName val="노동부"/>
      <sheetName val="半制品不适合"/>
      <sheetName val="1월 내역서 "/>
      <sheetName val="1월세금계산서 외"/>
      <sheetName val="2월내역서 "/>
      <sheetName val="2월세금계산서외"/>
      <sheetName val="3월내역서 "/>
      <sheetName val="3월세금계산서외 "/>
      <sheetName val="4월내역서 "/>
      <sheetName val="4월세금계산서외"/>
      <sheetName val="5월 내역서"/>
      <sheetName val="5월세금계산서외"/>
      <sheetName val="6월내역서"/>
      <sheetName val="6월세금계산서외 "/>
      <sheetName val="6월내역서 (2)"/>
      <sheetName val="Sheet5"/>
      <sheetName val="7월 내역서"/>
      <sheetName val="8월 내역서"/>
      <sheetName val="9월 내역서"/>
      <sheetName val="10월 내역서"/>
      <sheetName val="11월 내역서"/>
      <sheetName val="12월 내역서 "/>
      <sheetName val="Sheet2"/>
      <sheetName val="Sheet3"/>
      <sheetName val="sheet1 (2)"/>
      <sheetName val="Sheet4"/>
      <sheetName val="Links"/>
      <sheetName val="10월판관"/>
      <sheetName val="8340"/>
      <sheetName val="FF20"/>
      <sheetName val="PL10-20"/>
      <sheetName val="Sub 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1">
          <cell r="A1" t="str">
            <v>감 사 업 무 분 담 표</v>
          </cell>
        </row>
      </sheetData>
      <sheetData sheetId="71">
        <row r="1">
          <cell r="A1" t="str">
            <v>감 사 업 무 분 담 표</v>
          </cell>
        </row>
      </sheetData>
      <sheetData sheetId="72">
        <row r="1">
          <cell r="A1" t="str">
            <v>감 사 업 무 분 담 표</v>
          </cell>
        </row>
      </sheetData>
      <sheetData sheetId="73">
        <row r="1">
          <cell r="A1" t="str">
            <v>감 사 업 무 분 담 표</v>
          </cell>
        </row>
      </sheetData>
      <sheetData sheetId="74">
        <row r="1">
          <cell r="A1" t="str">
            <v>감 사 업 무 분 담 표</v>
          </cell>
        </row>
      </sheetData>
      <sheetData sheetId="75">
        <row r="1">
          <cell r="A1" t="str">
            <v>감 사 업 무 분 담 표</v>
          </cell>
        </row>
      </sheetData>
      <sheetData sheetId="76">
        <row r="1">
          <cell r="A1" t="str">
            <v>감 사 업 무 분 담 표</v>
          </cell>
        </row>
      </sheetData>
      <sheetData sheetId="77">
        <row r="1">
          <cell r="A1" t="str">
            <v>감 사 업 무 분 담 표</v>
          </cell>
        </row>
      </sheetData>
      <sheetData sheetId="78">
        <row r="1">
          <cell r="A1" t="str">
            <v>감 사 업 무 분 담 표</v>
          </cell>
        </row>
      </sheetData>
      <sheetData sheetId="79">
        <row r="1">
          <cell r="A1" t="str">
            <v>감 사 업 무 분 담 표</v>
          </cell>
        </row>
      </sheetData>
      <sheetData sheetId="80">
        <row r="1">
          <cell r="A1" t="str">
            <v>감 사 업 무 분 담 표</v>
          </cell>
        </row>
      </sheetData>
      <sheetData sheetId="81">
        <row r="1">
          <cell r="A1" t="str">
            <v>감 사 업 무 분 담 표</v>
          </cell>
        </row>
      </sheetData>
      <sheetData sheetId="82">
        <row r="1">
          <cell r="A1" t="str">
            <v>감 사 업 무 분 담 표</v>
          </cell>
        </row>
      </sheetData>
      <sheetData sheetId="83">
        <row r="1">
          <cell r="A1" t="str">
            <v>감 사 업 무 분 담 표</v>
          </cell>
        </row>
      </sheetData>
      <sheetData sheetId="84">
        <row r="1">
          <cell r="A1" t="str">
            <v>감 사 업 무 분 담 표</v>
          </cell>
        </row>
      </sheetData>
      <sheetData sheetId="85">
        <row r="1">
          <cell r="A1" t="str">
            <v>감 사 업 무 분 담 표</v>
          </cell>
        </row>
      </sheetData>
      <sheetData sheetId="86">
        <row r="1">
          <cell r="A1" t="str">
            <v>감 사 업 무 분 담 표</v>
          </cell>
        </row>
      </sheetData>
      <sheetData sheetId="87">
        <row r="1">
          <cell r="A1" t="str">
            <v>감 사 업 무 분 담 표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지급어음(일별)"/>
      <sheetName val="동원인원"/>
      <sheetName val="인원계획-미화"/>
      <sheetName val="CHECK LIST"/>
      <sheetName val="한일자야(감액손실) (2)"/>
      <sheetName val="入力用(家賃)"/>
      <sheetName val="入力用(駐車)"/>
      <sheetName val="노무비"/>
      <sheetName val="Template"/>
      <sheetName val="Budget"/>
      <sheetName val="(Monthly)"/>
      <sheetName val="INPUT"/>
      <sheetName val="지분법(지분수정전)"/>
      <sheetName val="הגדרה"/>
      <sheetName val="일위대가"/>
      <sheetName val="지수산출"/>
      <sheetName val="I. Assumptions"/>
      <sheetName val="지분법(AK) (2)"/>
      <sheetName val="익월작업계힉"/>
      <sheetName val="지급어음"/>
      <sheetName val="conclusion"/>
      <sheetName val="결정단가"/>
      <sheetName val="comparables"/>
      <sheetName val="Deduction"/>
      <sheetName val="other"/>
      <sheetName val="issued"/>
      <sheetName val="계정분류"/>
      <sheetName val="회사정보"/>
      <sheetName val="감가상각"/>
      <sheetName val="Sheet1"/>
      <sheetName val="C図面拾い"/>
      <sheetName val="Journal"/>
      <sheetName val="準備ｼｰﾄ"/>
      <sheetName val="賃料等一覧"/>
      <sheetName val="1Month+Sheet2!"/>
      <sheetName val="Data(인원)"/>
      <sheetName val="Summary"/>
      <sheetName val="투자자산종합"/>
      <sheetName val="데이타"/>
      <sheetName val="손익분기점 데이터"/>
      <sheetName val="건축개요"/>
      <sheetName val="직재"/>
      <sheetName val="재집"/>
      <sheetName val="drivers"/>
      <sheetName val="현금흐름표"/>
      <sheetName val="고가수조"/>
      <sheetName val="구분"/>
      <sheetName val="재무가정"/>
      <sheetName val="상가매매0115"/>
      <sheetName val="상가임대0115"/>
      <sheetName val="목록"/>
      <sheetName val="중기"/>
      <sheetName val="빌딩코드"/>
      <sheetName val="データ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가격비"/>
      <sheetName val="Initial Input Variable"/>
      <sheetName val="24.보증금(전신전화가입권)"/>
      <sheetName val="식재인부"/>
      <sheetName val="추가예산"/>
      <sheetName val="ベース"/>
      <sheetName val="작성"/>
      <sheetName val="土地建物"/>
      <sheetName val="이자수익수정사항"/>
      <sheetName val="物件概要"/>
      <sheetName val="Collateral"/>
      <sheetName val="식음료"/>
      <sheetName val="Tax"/>
      <sheetName val="청천내"/>
      <sheetName val="첨"/>
      <sheetName val="BID"/>
      <sheetName val="TOEIC기준점수"/>
      <sheetName val="OPREV(대한)"/>
      <sheetName val="총무팀"/>
      <sheetName val="마포-임현"/>
      <sheetName val="util"/>
      <sheetName val="총괄표"/>
      <sheetName val="단가"/>
      <sheetName val="MOTOR"/>
      <sheetName val="설계조건"/>
      <sheetName val="관계회사거래내역및 채권채무잔액 99"/>
      <sheetName val="공통"/>
      <sheetName val="대구은행"/>
      <sheetName val="대동은행"/>
      <sheetName val="하나은행"/>
      <sheetName val="단가산출"/>
      <sheetName val="외동,공시지가"/>
      <sheetName val="Tables"/>
      <sheetName val="Macro1"/>
      <sheetName val="연차1"/>
      <sheetName val="2.대외공문"/>
      <sheetName val="수정시산표"/>
      <sheetName val="단가산출(T)"/>
      <sheetName val="산출내역서"/>
      <sheetName val="수지차(년)"/>
      <sheetName val="민감도"/>
      <sheetName val="XREF"/>
      <sheetName val="Assumptions"/>
      <sheetName val="조명시설"/>
      <sheetName val="건물대사"/>
      <sheetName val="양식"/>
      <sheetName val="손익"/>
      <sheetName val="예수금"/>
      <sheetName val="연구인원내역"/>
      <sheetName val="기본"/>
      <sheetName val="요약"/>
      <sheetName val="일반(본사)"/>
      <sheetName val="일반(의성)"/>
      <sheetName val="미수금(공동공사비)"/>
      <sheetName val="3ND 64M"/>
      <sheetName val="9703"/>
      <sheetName val="기계"/>
      <sheetName val="비품"/>
      <sheetName val="영업외손"/>
      <sheetName val="일반관리"/>
      <sheetName val="특별손익"/>
      <sheetName val="Output"/>
      <sheetName val="CALENDAR"/>
      <sheetName val="여과지동"/>
      <sheetName val="기초자료"/>
      <sheetName val="수주단가"/>
      <sheetName val="기말재공품opc"/>
      <sheetName val="대외공문"/>
      <sheetName val="기초코드"/>
      <sheetName val="예수금(일반)"/>
      <sheetName val="차액보증"/>
      <sheetName val="직접경비"/>
      <sheetName val="직접인건비"/>
      <sheetName val="실행철강하도"/>
      <sheetName val="시장"/>
      <sheetName val="캔개발배경"/>
      <sheetName val="일정표"/>
      <sheetName val="공정"/>
      <sheetName val="CODE"/>
      <sheetName val="9710"/>
      <sheetName val="상품입고집계"/>
      <sheetName val="업무분장 "/>
      <sheetName val="リスト"/>
      <sheetName val="유림골조"/>
      <sheetName val="이익잉여금처분계산서"/>
      <sheetName val="변수"/>
      <sheetName val="6. 안전관리비"/>
      <sheetName val="ASSIGN"/>
      <sheetName val="회사BS"/>
      <sheetName val="TEMP1"/>
      <sheetName val="공급설비"/>
      <sheetName val="#REF"/>
      <sheetName val="GRACE"/>
      <sheetName val="총괄"/>
      <sheetName val="1-1-1-2"/>
      <sheetName val="control sheet"/>
      <sheetName val="거래선"/>
      <sheetName val="3-4현"/>
      <sheetName val="3-3현"/>
      <sheetName val="97KJIST"/>
      <sheetName val="생산직"/>
      <sheetName val="BM_NEW2"/>
      <sheetName val="채권(하반기)"/>
      <sheetName val="연체대출"/>
      <sheetName val="주당순이익"/>
      <sheetName val="주주명부&lt;끝&gt;"/>
      <sheetName val="Jul"/>
      <sheetName val="업체손실공수.xls"/>
      <sheetName val="현금및현금등가물1"/>
      <sheetName val="Macro2"/>
      <sheetName val="CAUDIT"/>
      <sheetName val="2005 AR"/>
      <sheetName val="2005advance"/>
      <sheetName val="2005advance to suppliers"/>
      <sheetName val="AP 2005"/>
      <sheetName val="품목단가"/>
      <sheetName val="출납계획"/>
      <sheetName val="Cash Flow"/>
      <sheetName val="선급금"/>
      <sheetName val="집계표"/>
      <sheetName val="Fut_Perf"/>
      <sheetName val="대손충당금설정 02.12월"/>
      <sheetName val="회전일수별 채권"/>
      <sheetName val="Page 2"/>
      <sheetName val="CHECK_LIST"/>
      <sheetName val="한일자야(감액손실)_(2)"/>
      <sheetName val="I__Assumptions"/>
      <sheetName val="지분법(AK)_(2)"/>
      <sheetName val="24_보증금(전신전화가입권)"/>
      <sheetName val="손익분기점_데이터"/>
      <sheetName val="Initial_Input_Variable"/>
      <sheetName val="사업개요&amp;수지분석"/>
      <sheetName val="차입금현황"/>
      <sheetName val="예금총계"/>
      <sheetName val="Sheet5"/>
      <sheetName val="Sheet6"/>
      <sheetName val="개요"/>
      <sheetName val="약품설비"/>
      <sheetName val="산근"/>
      <sheetName val="투입비"/>
      <sheetName val="예산총괄"/>
      <sheetName val="코드표"/>
      <sheetName val="현황표-원래"/>
      <sheetName val="지급(진행중)"/>
      <sheetName val="1-최종안"/>
      <sheetName val="사업분석-분양가결정"/>
      <sheetName val="価格変動率"/>
      <sheetName val="중강당 내역"/>
      <sheetName val="수량산출"/>
      <sheetName val="3.시설관리_F"/>
      <sheetName val="감사회사"/>
      <sheetName val="갑지(추정)"/>
      <sheetName val="거래처명"/>
      <sheetName val="14.1부"/>
      <sheetName val="FAB별"/>
      <sheetName val="정화조동내역"/>
      <sheetName val="대차대조표"/>
      <sheetName val="1.외주공사"/>
      <sheetName val="2.직영공사"/>
      <sheetName val="3ND_64M"/>
      <sheetName val="터파기및재료"/>
      <sheetName val="내수분석 및 부가세 대조"/>
      <sheetName val="원판매입"/>
      <sheetName val="조류인플루엔자 매몰지 현황"/>
      <sheetName val="기본단가표"/>
      <sheetName val="사회복지관"/>
      <sheetName val="인사자료총집계"/>
      <sheetName val="CASHPROJ"/>
      <sheetName val="Pg 2-NA "/>
      <sheetName val="Inputs II"/>
      <sheetName val="설계내역서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资产负债表"/>
      <sheetName val="마북 손익분석(CATIA)"/>
      <sheetName val="보관문서목록표 기획"/>
      <sheetName val="A1"/>
      <sheetName val="간이연락"/>
      <sheetName val="내역서1999.8최종"/>
      <sheetName val="일위"/>
      <sheetName val="초기화면"/>
      <sheetName val="관급자재"/>
      <sheetName val="공사비"/>
      <sheetName val="정의"/>
      <sheetName val="CON'C"/>
      <sheetName val="8월차잔"/>
      <sheetName val="Details"/>
      <sheetName val="Label"/>
      <sheetName val="HR Final"/>
      <sheetName val="HR"/>
      <sheetName val="I一般比"/>
      <sheetName val="1_當期시산표"/>
      <sheetName val="개선안2"/>
      <sheetName val="개선안4"/>
      <sheetName val="배경"/>
      <sheetName val="목적"/>
      <sheetName val="매출분석적검토"/>
      <sheetName val="호표"/>
      <sheetName val="날개벽수량표"/>
      <sheetName val="피보험자명세(럭키확정분)"/>
      <sheetName val="CashFlow(중간집계)"/>
      <sheetName val="LoanList"/>
      <sheetName val="환경평가"/>
      <sheetName val="인구"/>
      <sheetName val="2_대외공문"/>
      <sheetName val="DAT(목표)"/>
      <sheetName val="설계기준"/>
      <sheetName val="내역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옥포"/>
      <sheetName val="서울"/>
      <sheetName val="XREF"/>
      <sheetName val="Tickmarks"/>
      <sheetName val="유형"/>
      <sheetName val="고정부채"/>
      <sheetName val="Rent Roll"/>
      <sheetName val="total"/>
      <sheetName val="판관비"/>
      <sheetName val="시산표"/>
      <sheetName val="1998 P &amp; L"/>
      <sheetName val="Income"/>
      <sheetName val="5712 유형자산리드"/>
      <sheetName val="Walsei"/>
      <sheetName val="label"/>
      <sheetName val="Assumptions"/>
      <sheetName val="Rent Comp (2)"/>
      <sheetName val="Validation"/>
      <sheetName val="Rent_Roll"/>
      <sheetName val="1998_P_&amp;_L"/>
      <sheetName val="SF OR2"/>
      <sheetName val="企业表一"/>
      <sheetName val="summary "/>
      <sheetName val="5712_유형자산리드"/>
      <sheetName val="SF_OR2"/>
      <sheetName val="summary_"/>
      <sheetName val="시그마2취득"/>
      <sheetName val="Sheet3 (2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rofit Reco"/>
      <sheetName val="BS"/>
      <sheetName val="P&amp;L"/>
      <sheetName val="Schedules"/>
      <sheetName val="FA"/>
      <sheetName val="IT Depn"/>
      <sheetName val="ANN2 C"/>
      <sheetName val="ANN4"/>
      <sheetName val="ANN2"/>
      <sheetName val="RBI Timeline"/>
      <sheetName val="ANN1 A"/>
      <sheetName val="Lead"/>
      <sheetName val="Links"/>
      <sheetName val="Normal"/>
      <sheetName val="Tickmarks"/>
      <sheetName val="Sheet3 (2)"/>
      <sheetName val="LISTS"/>
      <sheetName val="1900"/>
      <sheetName val="Assupmtion"/>
      <sheetName val="Budget"/>
      <sheetName val="Sch to PL"/>
      <sheetName val="Worksheet in 2261"/>
      <sheetName val="Addition"/>
      <sheetName val="HEAD"/>
      <sheetName val="Sch 1-11"/>
      <sheetName val="ANALYSIS"/>
      <sheetName val="co lease rental"/>
      <sheetName val="Assumptions"/>
      <sheetName val="O2"/>
      <sheetName val="drivers"/>
      <sheetName val="Instructions"/>
      <sheetName val="Cost Summary - SOP"/>
      <sheetName val="Project Overview Input"/>
      <sheetName val="Benefit Input"/>
      <sheetName val="wordsdata"/>
      <sheetName val="Construction"/>
      <sheetName val="Expectation and Summary"/>
      <sheetName val="Jackets"/>
      <sheetName val="Shirts"/>
      <sheetName val="Accessories"/>
      <sheetName val="Summ"/>
      <sheetName val="std.wt."/>
      <sheetName val="Grouping"/>
      <sheetName val="WDV Workings"/>
      <sheetName val="0. Data Validation List"/>
      <sheetName val="Crest"/>
      <sheetName val="Pinnacle"/>
      <sheetName val="Zenith"/>
      <sheetName val="stacking sheet"/>
      <sheetName val="Consolidated"/>
      <sheetName val="IOU-factory-9"/>
      <sheetName val="IOU-sales-9"/>
      <sheetName val="Proj Assum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실행내역"/>
      <sheetName val="내역서"/>
      <sheetName val="대치판정"/>
      <sheetName val="데이타"/>
      <sheetName val="식재인부"/>
      <sheetName val="costing_CV"/>
      <sheetName val="인부신상자료"/>
      <sheetName val="#REF"/>
      <sheetName val="을"/>
      <sheetName val="XREF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準備ｼｰﾄ"/>
      <sheetName val="損益計算表"/>
      <sheetName val="入金・未入金明細表"/>
      <sheetName val="未払・延納"/>
      <sheetName val="支払明細"/>
      <sheetName val="予算→実績"/>
      <sheetName val="予算"/>
      <sheetName val="委託手数料"/>
      <sheetName val="添付資料（１）"/>
      <sheetName val="지급어음(일별)"/>
      <sheetName val="인원계획-미화"/>
      <sheetName val="Initial Input Variable"/>
      <sheetName val="노무비"/>
      <sheetName val="현장"/>
      <sheetName val="출자한도"/>
      <sheetName val="BOJUNGGM"/>
      <sheetName val="(Monthly)"/>
      <sheetName val="변수"/>
      <sheetName val="Mito"/>
      <sheetName val="Cost Link"/>
      <sheetName val="util"/>
      <sheetName val="ベース"/>
      <sheetName val="CAPTIONS"/>
      <sheetName val="issued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공통매입원장"/>
      <sheetName val="Sheet1"/>
      <sheetName val="공통매입원장 (2)"/>
      <sheetName val="Initial Input Variabl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내역표지"/>
      <sheetName val="견적조건"/>
      <sheetName val="공사총괄-2"/>
      <sheetName val="유림골조"/>
      <sheetName val="비교1"/>
      <sheetName val="유림총괄"/>
      <sheetName val="공기"/>
      <sheetName val="새공통(97년3월)"/>
      <sheetName val="협력업체"/>
      <sheetName val="외주업체list (3)"/>
      <sheetName val="FAX양식"/>
      <sheetName val="FAX양식 (2)"/>
      <sheetName val="Sheet1"/>
      <sheetName val="Sheet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새공통(96임금인상기준)"/>
      <sheetName val="공사개요"/>
      <sheetName val="분당코아"/>
      <sheetName val="물가"/>
      <sheetName val="물가 (2)"/>
      <sheetName val="옥외공사"/>
      <sheetName val="변경연면적"/>
      <sheetName val="품의서"/>
      <sheetName val="건축대비"/>
      <sheetName val="부대골조"/>
      <sheetName val="아파트파일공사"/>
      <sheetName val="부대파일공사"/>
      <sheetName val="공제분"/>
      <sheetName val="상승요인분석"/>
      <sheetName val="토목공사"/>
      <sheetName val="옥외"/>
      <sheetName val="물가상승변경(960827)"/>
      <sheetName val="건축부대공사대비"/>
      <sheetName val="제출표지"/>
      <sheetName val="특수조건"/>
      <sheetName val="분책"/>
      <sheetName val="실행대비"/>
      <sheetName val="평단가비교"/>
      <sheetName val="OPTION비교"/>
      <sheetName val="실행원안對현장통보실행안"/>
      <sheetName val="의뢰"/>
      <sheetName val="의뢰서"/>
      <sheetName val="품의서(A3-3장)"/>
      <sheetName val="NEW비교"/>
      <sheetName val="계단실,로비"/>
      <sheetName val="주방가구外"/>
      <sheetName val="빌라트대비"/>
      <sheetName val="공통비대비"/>
      <sheetName val="공통비대비분석"/>
      <sheetName val="새공통(97년1월)"/>
      <sheetName val="직원투입계획"/>
      <sheetName val="현채투입계획"/>
      <sheetName val="전체총괄표"/>
      <sheetName val="산출내역서"/>
      <sheetName val="항목별총괄표"/>
      <sheetName val="공사현황"/>
      <sheetName val="건축실행대비"/>
      <sheetName val="가설공사"/>
      <sheetName val="철근콘크리트공사"/>
      <sheetName val="타일공사"/>
      <sheetName val="창호공사"/>
      <sheetName val="AL창호"/>
      <sheetName val="수장공사"/>
      <sheetName val="철골공사"/>
      <sheetName val="증가요인"/>
      <sheetName val="감사실"/>
      <sheetName val="물량증가"/>
      <sheetName val="9604000"/>
      <sheetName val="960503"/>
      <sheetName val="새공통(96년12월) "/>
      <sheetName val="협조문"/>
      <sheetName val="안양코아"/>
      <sheetName val="COLUMN"/>
      <sheetName val="공통비비교"/>
      <sheetName val="부지조성"/>
      <sheetName val="투입인원대비"/>
      <sheetName val="형틀분개"/>
      <sheetName val="시행대비"/>
      <sheetName val="마감범위"/>
      <sheetName val="추가예산"/>
      <sheetName val="TEMP철골"/>
      <sheetName val="기계기초"/>
      <sheetName val="안양코아최종대비"/>
      <sheetName val="최종건축대비"/>
      <sheetName val="A급현장"/>
      <sheetName val="A급현장 (2)"/>
      <sheetName val="B급현장"/>
      <sheetName val="B급현장 (2)"/>
      <sheetName val="C급현장"/>
      <sheetName val="C급현장 (2)"/>
      <sheetName val="D급현장"/>
      <sheetName val="D급현장 (2)"/>
      <sheetName val="공통비산출근거"/>
      <sheetName val="0831"/>
      <sheetName val="0915"/>
      <sheetName val="0915 (2)"/>
      <sheetName val="유림공통"/>
      <sheetName val="견적의뢰서"/>
      <sheetName val="새공통97.4"/>
      <sheetName val="품의서(97.4)"/>
      <sheetName val="현.종.목"/>
      <sheetName val="창호,가구"/>
      <sheetName val="system"/>
      <sheetName val="목재창호"/>
      <sheetName val="물가상승"/>
      <sheetName val="옥외 (적용)"/>
      <sheetName val="토목"/>
      <sheetName val="재료마감표"/>
      <sheetName val="비교(기존)"/>
      <sheetName val="비교(변경)"/>
      <sheetName val="금액대비표"/>
      <sheetName val="건축-옥외"/>
      <sheetName val="공사집계(기존)"/>
      <sheetName val="공사집계(변경)"/>
      <sheetName val="건축집계"/>
      <sheetName val="분당협조"/>
      <sheetName val="집계2"/>
      <sheetName val="2001년"/>
      <sheetName val="2001년변형"/>
      <sheetName val="2002년"/>
      <sheetName val="2003년"/>
      <sheetName val="3안신촉진안실적반영"/>
      <sheetName val="11월"/>
      <sheetName val="12월"/>
      <sheetName val="1월"/>
      <sheetName val="2월"/>
      <sheetName val="3월"/>
      <sheetName val="4월"/>
      <sheetName val="5월"/>
      <sheetName val="6월"/>
      <sheetName val="7월"/>
      <sheetName val="8월"/>
      <sheetName val="실행율"/>
      <sheetName val="분양수입금일정"/>
      <sheetName val="삭제금지단가"/>
      <sheetName val="신대방33(적용)"/>
      <sheetName val="총투입계"/>
      <sheetName val="단위세대 개요"/>
      <sheetName val="목록"/>
      <sheetName val="표지"/>
      <sheetName val="표지(수정)"/>
      <sheetName val="표지(적용)"/>
      <sheetName val="1공사개요"/>
      <sheetName val="2공정계획"/>
      <sheetName val="2공정계획 (2)"/>
      <sheetName val="2공정계획(미표기_미적용)"/>
      <sheetName val="3자금운용(최종)"/>
      <sheetName val="3손익분석"/>
      <sheetName val="3자금운용(수정)"/>
      <sheetName val="3자금운용(당초)"/>
      <sheetName val="4직원투입(적용)"/>
      <sheetName val="4_1직원투입(미적용)"/>
      <sheetName val="5안전환경"/>
      <sheetName val="6인허가"/>
      <sheetName val="7본사관련부서"/>
      <sheetName val="초기예산표지"/>
      <sheetName val="결재인"/>
      <sheetName val="계약고대비"/>
      <sheetName val="예산집계"/>
      <sheetName val="산재매입세"/>
      <sheetName val="변경대비(적용)"/>
      <sheetName val="변경대비(미적용)"/>
      <sheetName val="플랜트 설치"/>
      <sheetName val="도곡동빌라트보관"/>
      <sheetName val="공사비대비"/>
      <sheetName val="골조물량"/>
      <sheetName val="동바리外"/>
      <sheetName val="공사비총괄표"/>
      <sheetName val="내역총괄표 "/>
      <sheetName val="D급현장 (2)_x0000__x0000__x0000__x0000__x0000__x0000__x0000__x0000__x0000__x0009__x0000_飰ঊ_x0000__x0004__x0000__x0000__x0000__x0000__x0000__x0000_ϸঈ"/>
      <sheetName val="새공통"/>
      <sheetName val="투입"/>
      <sheetName val="수입"/>
      <sheetName val="pier(각형)"/>
      <sheetName val="부산제일극장"/>
      <sheetName val="D급현장 (2)_x0000__x0009_飰ঊ_x0004__x0000_ϸঈ餘ঊn_x0000__x0011_[유림콘도.XLS]"/>
      <sheetName val="여과지동"/>
      <sheetName val="기초자료"/>
      <sheetName val="와동25-3(변경)"/>
      <sheetName val="Sheet2 (2)"/>
      <sheetName val="#REF"/>
      <sheetName val="구의33고"/>
      <sheetName val="손익차9월2"/>
      <sheetName val="견적정보"/>
      <sheetName val="D급현장 (2)_x0000__x0000__x0000__x0000__x0000__x0000__x0000__x0000__x0000_ _x0000_飰ঊ_x0000__x0004__x0000__x0000__x0000__x0000__x0000__x0000_ϸঈ"/>
      <sheetName val="D급현장 (2)_x0000_ 飰ঊ_x0004__x0000_ϸঈ餘ঊn_x0000__x0011_[유림콘도.XLS]"/>
      <sheetName val="SG"/>
      <sheetName val="유림콘도"/>
      <sheetName val="목표세부명세"/>
      <sheetName val="일위대가"/>
      <sheetName val="MIJIBI"/>
      <sheetName val="자재단가"/>
      <sheetName val="OE"/>
      <sheetName val="마감LIST-1"/>
      <sheetName val="경비"/>
      <sheetName val="1.약산개요입력"/>
      <sheetName val="시장성초안camera"/>
      <sheetName val="투입비"/>
      <sheetName val="01"/>
      <sheetName val="변경비교-을"/>
      <sheetName val="터파기및재료"/>
      <sheetName val="현장관리비"/>
      <sheetName val="공통비(전체)"/>
      <sheetName val="경산"/>
      <sheetName val="내역"/>
      <sheetName val="입찰안"/>
      <sheetName val="설계내역서"/>
      <sheetName val="전기"/>
      <sheetName val="산출금액내역"/>
      <sheetName val="2000년1차"/>
      <sheetName val="차액보증"/>
      <sheetName val="도기류"/>
      <sheetName val="PAINT"/>
      <sheetName val="파일의이용"/>
      <sheetName val="조건"/>
      <sheetName val="청산공사"/>
      <sheetName val="ETC"/>
      <sheetName val="마산월령동골조물량변경"/>
      <sheetName val="0"/>
      <sheetName val="가정 및 결과"/>
      <sheetName val="내역_FILE"/>
      <sheetName val="공사단가"/>
      <sheetName val="조직"/>
      <sheetName val="실행내역서"/>
      <sheetName val="4.본실행통합내역서"/>
      <sheetName val="아파트-가설"/>
      <sheetName val="원가서"/>
      <sheetName val="산출내역서집계표"/>
      <sheetName val="일위대가(가설)"/>
      <sheetName val="기초코드"/>
      <sheetName val="원가"/>
      <sheetName val="9GNG운반"/>
      <sheetName val="내역서"/>
      <sheetName val="Eq. Mobilization"/>
      <sheetName val="명세표"/>
      <sheetName val="데이타"/>
      <sheetName val="단가"/>
      <sheetName val="단가결정"/>
      <sheetName val="현관비DATA"/>
      <sheetName val="bid"/>
      <sheetName val="갑지(추정)"/>
      <sheetName val="일위대가표"/>
      <sheetName val="DATE"/>
      <sheetName val="실행간접비"/>
      <sheetName val="집계표"/>
      <sheetName val="변경명신물량 (2)"/>
      <sheetName val="공사"/>
      <sheetName val="자판실행"/>
      <sheetName val="대비표(토공1안)"/>
      <sheetName val="산출서"/>
      <sheetName val="Total"/>
      <sheetName val="8.식재일위"/>
      <sheetName val="B시설가격"/>
      <sheetName val="기초일위"/>
      <sheetName val="일반수량총괄집계"/>
      <sheetName val="45,46"/>
      <sheetName val="코드표"/>
      <sheetName val="4차원가계산서"/>
      <sheetName val="기계경비(시간당)"/>
      <sheetName val="램머"/>
      <sheetName val="대림경상68억"/>
      <sheetName val="수목데이타 "/>
      <sheetName val="일위대가-01"/>
      <sheetName val="빗물받이(910-510-410)"/>
      <sheetName val="실행철강하도"/>
      <sheetName val="일산실행내역"/>
      <sheetName val="database"/>
      <sheetName val="본사공가현황"/>
      <sheetName val="미드수량"/>
      <sheetName val="선정요령"/>
      <sheetName val="교통대책내역"/>
      <sheetName val="2002하반기노임기준"/>
      <sheetName val="일위대가(1)"/>
      <sheetName val="품목납기"/>
      <sheetName val="사업분석"/>
      <sheetName val="매출 (3)"/>
      <sheetName val="WELDING"/>
      <sheetName val="Assumption_Gen"/>
      <sheetName val="기본일위"/>
      <sheetName val="첨"/>
      <sheetName val="선수금"/>
      <sheetName val="소방"/>
      <sheetName val="현장경비"/>
      <sheetName val="카메라"/>
      <sheetName val="공통가설"/>
      <sheetName val="3.공통공사대비"/>
      <sheetName val="1.설계조건"/>
      <sheetName val="단면치수"/>
      <sheetName val="내역서01"/>
      <sheetName val="설계명세서"/>
      <sheetName val="자료입력"/>
      <sheetName val="급여관련자료"/>
      <sheetName val="연결임시"/>
      <sheetName val="요율"/>
      <sheetName val="자재대"/>
      <sheetName val="공종단가"/>
      <sheetName val="Customer Databas"/>
      <sheetName val="소비자가"/>
      <sheetName val="입력"/>
      <sheetName val="대전(세창동)"/>
      <sheetName val="공통비총괄표"/>
      <sheetName val="1차 내역서"/>
      <sheetName val="APT"/>
      <sheetName val="48신설단가"/>
      <sheetName val="데이타입력"/>
      <sheetName val="물량표"/>
      <sheetName val="견적"/>
      <sheetName val="노임"/>
      <sheetName val="확약서"/>
      <sheetName val="자재"/>
      <sheetName val="계수시트"/>
      <sheetName val="평가데이터"/>
      <sheetName val="소방일위 "/>
      <sheetName val="C1.공사개요"/>
      <sheetName val="실행(1)"/>
      <sheetName val="6호기"/>
      <sheetName val="A1.스케쥴"/>
      <sheetName val="면적입력"/>
      <sheetName val="공사기본내용입력"/>
      <sheetName val="DB"/>
      <sheetName val="연습"/>
      <sheetName val="설계예산서"/>
      <sheetName val="2-1. 경관조명 내역총괄표"/>
      <sheetName val="수량집계"/>
      <sheetName val="최초 bpm"/>
      <sheetName val="설계내역2"/>
      <sheetName val="사유서제출현황-2"/>
      <sheetName val="Sens&amp;Anal"/>
      <sheetName val="IS&lt;양식27&gt;"/>
      <sheetName val="총투자비산정"/>
      <sheetName val="임대견적서"/>
      <sheetName val="수량산출"/>
      <sheetName val="개요"/>
      <sheetName val="실행기초"/>
      <sheetName val="울산자동제어"/>
      <sheetName val="중기"/>
      <sheetName val="EQT-ESTN"/>
      <sheetName val="갑지"/>
      <sheetName val="콘크리트타설집계표"/>
      <sheetName val="편성절차"/>
      <sheetName val="48일위"/>
      <sheetName val="집계"/>
      <sheetName val="단가산출"/>
      <sheetName val="현장경상비"/>
      <sheetName val="주관사업"/>
      <sheetName val="세금자료"/>
      <sheetName val="예산명세서"/>
      <sheetName val="공량산출서"/>
      <sheetName val="골조시행"/>
      <sheetName val="하수급견적대비"/>
      <sheetName val="공용(현대건설공구)"/>
      <sheetName val="현대건설공구(UNIT)"/>
      <sheetName val="도급내역"/>
      <sheetName val="개산공사비"/>
      <sheetName val="토적표"/>
      <sheetName val="자재단가비교표"/>
      <sheetName val="ELECTRIC"/>
      <sheetName val="건축개요"/>
      <sheetName val="일위"/>
      <sheetName val="0.목록1"/>
      <sheetName val="총괄표"/>
      <sheetName val="Xunit (단위환산)"/>
      <sheetName val="본실행경비"/>
      <sheetName val="ITC현황"/>
      <sheetName val="관리,공감"/>
      <sheetName val="wall"/>
      <sheetName val="유리"/>
      <sheetName val="CTEMCOST"/>
      <sheetName val="부대집계"/>
      <sheetName val="(2)자금(신용)"/>
      <sheetName val="청천내"/>
      <sheetName val="DATA입력"/>
      <sheetName val="TYPE-A"/>
      <sheetName val="48전력선로일위"/>
      <sheetName val="48평형"/>
      <sheetName val="62평형"/>
      <sheetName val="견적서"/>
      <sheetName val="적현로"/>
      <sheetName val="b_balju"/>
      <sheetName val="대가목록"/>
      <sheetName val="원가계산서"/>
      <sheetName val="토사(PE)"/>
      <sheetName val="XL4Poppy"/>
      <sheetName val="대운산출"/>
      <sheetName val="예총"/>
      <sheetName val="공예을"/>
      <sheetName val="증감대비"/>
      <sheetName val="시행예산"/>
      <sheetName val="설계예시"/>
      <sheetName val="D급현장 (2)_x005f_x0000__x005f_x0000__x005f_x0000__x"/>
      <sheetName val="D급현장 (2)_x005f_x0000__x005f_x0009_飰ঊ_x005f_x0004_"/>
      <sheetName val="D급현장 (2)_x005f_x0000_ 飰ঊ_x005f_x0004__x0000"/>
      <sheetName val="상하차비용(기계상차)"/>
      <sheetName val="수간보호"/>
      <sheetName val="운반비"/>
      <sheetName val="변경명신물량_(2)"/>
      <sheetName val="외주업체list_(3)"/>
      <sheetName val="FAX양식_(2)"/>
      <sheetName val="물가_(2)"/>
      <sheetName val="새공통(96년12월)_"/>
      <sheetName val="A급현장_(2)"/>
      <sheetName val="B급현장_(2)"/>
      <sheetName val="C급현장_(2)"/>
      <sheetName val="D급현장_(2)"/>
      <sheetName val="새공통97_4"/>
      <sheetName val="품의서(97_4)"/>
      <sheetName val="현_종_목"/>
      <sheetName val="옥외_(적용)"/>
      <sheetName val="0915_(2)"/>
      <sheetName val="플랜트_설치"/>
      <sheetName val="2공정계획_(2)"/>
      <sheetName val="8_식재일위"/>
      <sheetName val="Eq__Mobilization"/>
      <sheetName val="시화점실행"/>
      <sheetName val="집계표(공종별)"/>
      <sheetName val="설-원가"/>
      <sheetName val="민감도"/>
      <sheetName val="P.M 별"/>
      <sheetName val="03전반노무비"/>
      <sheetName val="비교"/>
      <sheetName val="공문"/>
      <sheetName val="1.총괄현황"/>
      <sheetName val="1"/>
      <sheetName val="2"/>
      <sheetName val="3"/>
      <sheetName val="4"/>
      <sheetName val="5"/>
      <sheetName val="6"/>
      <sheetName val="업무연락"/>
      <sheetName val="01AC"/>
      <sheetName val="건설fs"/>
      <sheetName val="정부노임단가"/>
      <sheetName val="상세손익"/>
      <sheetName val="노임단가"/>
      <sheetName val="판매시설"/>
      <sheetName val="001"/>
      <sheetName val="기안"/>
      <sheetName val="공통가설(기준안)"/>
      <sheetName val="비교표"/>
      <sheetName val="토공"/>
      <sheetName val="시설물일위"/>
      <sheetName val="내역아"/>
      <sheetName val="울타리"/>
      <sheetName val="시운전연료"/>
      <sheetName val="guard(mac)"/>
      <sheetName val="0215"/>
      <sheetName val="총괄내역서"/>
      <sheetName val="도급"/>
      <sheetName val="효성CB 1P기초"/>
      <sheetName val="D급현장 (2)?????????_x0009_?飰ঊ?_x0004_??????ϸঈ"/>
      <sheetName val="내역(중앙)"/>
      <sheetName val="내역(창신)"/>
      <sheetName val="계획고"/>
      <sheetName val="c_balju"/>
      <sheetName val="중기일위대가"/>
      <sheetName val="D급현장 (2)????????? ?飰ঊ?_x0004_??????ϸঈ"/>
      <sheetName val="지급제한자"/>
      <sheetName val="본공사"/>
      <sheetName val="범례표"/>
      <sheetName val="이름표"/>
      <sheetName val="부재료입고집계"/>
      <sheetName val="납부내역"/>
      <sheetName val="STAND20"/>
      <sheetName val="조합기초"/>
      <sheetName val="내역서(기존내역-수정금지)"/>
      <sheetName val="KOGAS"/>
      <sheetName val="계정"/>
      <sheetName val="예산M6-B"/>
      <sheetName val="진주방향"/>
      <sheetName val="FB25JN"/>
      <sheetName val="FOB발"/>
      <sheetName val="중기사용료산출근거"/>
      <sheetName val="단가 및 재료비"/>
      <sheetName val="실행"/>
      <sheetName val="실행(ALT1)"/>
      <sheetName val="단가(자재)"/>
      <sheetName val="단가(노임)"/>
      <sheetName val="기초목록"/>
      <sheetName val="견적갑지"/>
      <sheetName val="총 원가계산"/>
      <sheetName val="콘크리트타설입력"/>
      <sheetName val="레미콘입고현황"/>
      <sheetName val="지수"/>
      <sheetName val="재노경"/>
      <sheetName val="5사남"/>
      <sheetName val="고정자산"/>
      <sheetName val="매출원가추정"/>
      <sheetName val="매출추정"/>
      <sheetName val="5-3.기성연체이자"/>
      <sheetName val="금액중량"/>
      <sheetName val="월,누계 (2)"/>
      <sheetName val="48신설수량"/>
      <sheetName val="48철거수량"/>
      <sheetName val="22신설수량"/>
      <sheetName val="아침햇쌀"/>
      <sheetName val="참고"/>
      <sheetName val="인구(2002년통계자료)"/>
      <sheetName val="시설DB"/>
      <sheetName val="96월별PL"/>
      <sheetName val="SV점수"/>
      <sheetName val="지점장점수"/>
      <sheetName val="***********************00"/>
      <sheetName val="주간계획"/>
      <sheetName val="월별수입"/>
      <sheetName val="수량산출내역1115"/>
      <sheetName val="공리일"/>
      <sheetName val="사다리"/>
      <sheetName val="중기사용료"/>
      <sheetName val="친환경주택"/>
      <sheetName val="PIPE(UG)내역"/>
      <sheetName val="신우"/>
      <sheetName val=""/>
      <sheetName val="대우2월"/>
      <sheetName val="단위세대_개요"/>
      <sheetName val="Sheet2_(2)"/>
      <sheetName val="내역총괄표_"/>
      <sheetName val="D급현장_(2) 飰ঊϸঈ"/>
      <sheetName val="D급현장_(2) 飰ঊϸঈ餘ঊn[유림콘도_XLS]"/>
      <sheetName val="1_약산개요입력"/>
      <sheetName val="매출_(3)"/>
      <sheetName val="가정_및_결과"/>
      <sheetName val="D급현장_(2)_飰ঊϸঈ"/>
      <sheetName val="D급현장_(2)_飰ঊϸঈ餘ঊn[유림콘도_XLS]"/>
      <sheetName val="공통매입원장"/>
      <sheetName val="총괄"/>
      <sheetName val="간접비"/>
      <sheetName val="조경"/>
      <sheetName val="산출"/>
      <sheetName val="L_RPTA05_목록"/>
      <sheetName val="인적사항3"/>
      <sheetName val="집계표a"/>
      <sheetName val="최초_bpm"/>
      <sheetName val="3_공통공사대비"/>
      <sheetName val="1_설계조건"/>
      <sheetName val="소방일위_"/>
      <sheetName val="C1_공사개요"/>
      <sheetName val="A1_스케쥴"/>
      <sheetName val="0_목록1"/>
      <sheetName val="조명시설"/>
      <sheetName val="FAB별"/>
      <sheetName val="분양금할인"/>
      <sheetName val="산출근거"/>
      <sheetName val="4.2유효폭의 계산"/>
      <sheetName val="단가 (2)"/>
      <sheetName val="옹벽수량집계"/>
      <sheetName val="테이블"/>
      <sheetName val="0226"/>
      <sheetName val="견적공통"/>
      <sheetName val="단가표"/>
      <sheetName val="F4-F7"/>
      <sheetName val="B"/>
      <sheetName val="A"/>
      <sheetName val="공용정보"/>
      <sheetName val="설비(제출)"/>
      <sheetName val="을지"/>
      <sheetName val="D급현장 (2)?_x0009_飰ঊ_x0004_?ϸঈ餘ঊn?_x0011_[유림콘도.XLS]"/>
      <sheetName val="분류표"/>
      <sheetName val="공통가설_8"/>
      <sheetName val="아파트_9"/>
      <sheetName val="주민복지관"/>
      <sheetName val="지하주차장"/>
      <sheetName val="0000"/>
      <sheetName val="견적산출"/>
      <sheetName val="예가표"/>
      <sheetName val="일위_파일"/>
      <sheetName val="소방사항"/>
      <sheetName val="간접"/>
      <sheetName val="실적공사비"/>
      <sheetName val="시중노임"/>
      <sheetName val="매출"/>
      <sheetName val="98수문일위"/>
      <sheetName val="DOWEL(SLAB상)"/>
      <sheetName val="DOWEL(SLAB하)"/>
      <sheetName val="COVER"/>
      <sheetName val="덕전리"/>
      <sheetName val="견적의뢰"/>
      <sheetName val="지급자재"/>
      <sheetName val="15 문제점"/>
      <sheetName val="참고자료등록"/>
      <sheetName val="하자보수보증자료"/>
      <sheetName val="공사비"/>
      <sheetName val="토공(우물통,기타) "/>
      <sheetName val="설비"/>
      <sheetName val="대비표"/>
      <sheetName val="입찰내역 발주처 양식"/>
      <sheetName val="D급현장 (2)_x005f_x005f_x005f_x0000__x005f_x005f_x00"/>
      <sheetName val="D급현장 (2)_x005f_x005f_x005f_x0000_ 飰ঊ_x005f_x005f_"/>
      <sheetName val="단중표"/>
      <sheetName val="공사비 내역 (가)"/>
      <sheetName val="ESC (공정표기준)"/>
      <sheetName val="TEL"/>
      <sheetName val="정공공사"/>
      <sheetName val="추가일위대가"/>
      <sheetName val="GAEYO"/>
      <sheetName val="교각계산"/>
      <sheetName val="9-1차이내역"/>
      <sheetName val="코드"/>
      <sheetName val="VC2 10.99"/>
      <sheetName val="DESCRIPTION"/>
      <sheetName val="신공항A-9(원가수정)"/>
      <sheetName val="소화실적"/>
      <sheetName val="기술부대조건"/>
      <sheetName val="식재인부"/>
      <sheetName val="D급현장 (2)? 飰ঊ_x0004_?ϸঈ餘ঊn?_x0011_[유림콘도.XLS]"/>
      <sheetName val="단독"/>
      <sheetName val="계정code"/>
      <sheetName val="최적단면"/>
      <sheetName val="FitOutConfCentre"/>
      <sheetName val="프랜트면허"/>
      <sheetName val="1ST"/>
    </sheetNames>
    <sheetDataSet>
      <sheetData sheetId="0">
        <row r="36">
          <cell r="X36" t="str">
            <v>연  면  적</v>
          </cell>
        </row>
      </sheetData>
      <sheetData sheetId="1">
        <row r="36">
          <cell r="X36" t="str">
            <v>연  면  적</v>
          </cell>
        </row>
      </sheetData>
      <sheetData sheetId="2"/>
      <sheetData sheetId="3">
        <row r="36">
          <cell r="X36" t="str">
            <v>연  면  적</v>
          </cell>
        </row>
      </sheetData>
      <sheetData sheetId="4"/>
      <sheetData sheetId="5" refreshError="1"/>
      <sheetData sheetId="6">
        <row r="36">
          <cell r="X36" t="str">
            <v>연  면  적</v>
          </cell>
        </row>
      </sheetData>
      <sheetData sheetId="7">
        <row r="36">
          <cell r="X36" t="str">
            <v>연  면  적</v>
          </cell>
        </row>
      </sheetData>
      <sheetData sheetId="8">
        <row r="36">
          <cell r="X36" t="str">
            <v>연  면  적</v>
          </cell>
        </row>
      </sheetData>
      <sheetData sheetId="9">
        <row r="36">
          <cell r="X36" t="str">
            <v>연  면  적</v>
          </cell>
        </row>
      </sheetData>
      <sheetData sheetId="10">
        <row r="36">
          <cell r="X36" t="str">
            <v>연  면  적</v>
          </cell>
        </row>
      </sheetData>
      <sheetData sheetId="11">
        <row r="36">
          <cell r="X36" t="str">
            <v>연  면  적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36">
          <cell r="X36" t="str">
            <v>연  면  적</v>
          </cell>
        </row>
      </sheetData>
      <sheetData sheetId="34">
        <row r="36">
          <cell r="X36" t="str">
            <v>연  면  적</v>
          </cell>
        </row>
      </sheetData>
      <sheetData sheetId="35">
        <row r="36">
          <cell r="X36" t="str">
            <v>연  면  적</v>
          </cell>
        </row>
      </sheetData>
      <sheetData sheetId="36">
        <row r="36">
          <cell r="X36" t="str">
            <v>연  면  적</v>
          </cell>
        </row>
      </sheetData>
      <sheetData sheetId="37">
        <row r="36">
          <cell r="X36" t="str">
            <v>연  면  적</v>
          </cell>
        </row>
      </sheetData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 refreshError="1"/>
      <sheetData sheetId="533"/>
      <sheetData sheetId="534" refreshError="1"/>
      <sheetData sheetId="535" refreshError="1"/>
      <sheetData sheetId="536"/>
      <sheetData sheetId="537" refreshError="1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공통비비교"/>
      <sheetName val="공통비총괄표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유림골조"/>
      <sheetName val="15 문제점"/>
      <sheetName val="pier(각형)"/>
      <sheetName val="세금자료"/>
      <sheetName val="공통부대비"/>
      <sheetName val="공사손익"/>
      <sheetName val="고자현황"/>
      <sheetName val="Eq. Mobilization"/>
      <sheetName val="P.M 별"/>
      <sheetName val="예산서"/>
      <sheetName val="회사99"/>
      <sheetName val="YOEMAGUM"/>
      <sheetName val="정부노임단가"/>
      <sheetName val="내역서(기존내역-수정금지)"/>
      <sheetName val="매각(6)"/>
      <sheetName val="와동25-3(변경)"/>
      <sheetName val="Sheet1"/>
      <sheetName val="1월"/>
      <sheetName val="수입"/>
      <sheetName val="2.대외공문"/>
      <sheetName val="Sheet2 (2)"/>
      <sheetName val="삭제금지단가"/>
      <sheetName val="초기화면"/>
      <sheetName val="관급자재"/>
      <sheetName val="시행예산"/>
      <sheetName val="노암공통"/>
      <sheetName val="신대방33(적용)"/>
      <sheetName val="bid"/>
      <sheetName val="유림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골조"/>
      <sheetName val="PILE"/>
      <sheetName val="공통비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교동현장"/>
      <sheetName val="공사개요"/>
      <sheetName val="fax"/>
      <sheetName val="협조문"/>
      <sheetName val="협조전"/>
      <sheetName val="속초교동"/>
      <sheetName val="건축대비"/>
      <sheetName val="토목공사"/>
      <sheetName val="개략건축"/>
      <sheetName val="옵션물량분개"/>
      <sheetName val="목,창호공사"/>
      <sheetName val="목문틀단가"/>
      <sheetName val="미장대비"/>
      <sheetName val="시행대비"/>
      <sheetName val="시행대비 (2)"/>
      <sheetName val="도배공사(현장통보)"/>
      <sheetName val="유리분개"/>
      <sheetName val="#REF"/>
      <sheetName val="2공구산출내역"/>
      <sheetName val="유림골조"/>
      <sheetName val="마산월령동골조물량변경"/>
      <sheetName val="교통대책내역"/>
      <sheetName val="COVER"/>
      <sheetName val="COST"/>
      <sheetName val="N賃率-職"/>
      <sheetName val="도급견적가"/>
      <sheetName val="Sheet1"/>
      <sheetName val="Sheet2"/>
      <sheetName val="Sheet3"/>
      <sheetName val="정부노임단가"/>
      <sheetName val="01"/>
      <sheetName val="공사비예산서_토목분_"/>
      <sheetName val="건물"/>
      <sheetName val="돈암사업"/>
      <sheetName val="0_갑지"/>
      <sheetName val="8_현장관리비"/>
      <sheetName val="7_안전관리비"/>
      <sheetName val="건축내역"/>
      <sheetName val="수목표준대가"/>
      <sheetName val="매각(6)"/>
      <sheetName val="공통비총괄표"/>
      <sheetName val="공통부대비"/>
      <sheetName val="예산명세서"/>
      <sheetName val="설계명세서"/>
      <sheetName val="자료입력"/>
      <sheetName val="설비2차"/>
      <sheetName val="일위대가표"/>
      <sheetName val="2.대외공문"/>
      <sheetName val="사업부배부A"/>
      <sheetName val="상반기손익차2총괄"/>
      <sheetName val="경산"/>
      <sheetName val="매입가격"/>
      <sheetName val="공사비"/>
      <sheetName val="P.M 별"/>
      <sheetName val="간접비총괄"/>
      <sheetName val="노임이"/>
      <sheetName val="냉천부속동"/>
      <sheetName val="시설물기초"/>
      <sheetName val="JUCKEYK"/>
      <sheetName val="견적서"/>
      <sheetName val="Sheet2 (2)"/>
      <sheetName val="패널"/>
      <sheetName val="설계내역서"/>
      <sheetName val="EQT-ESTN"/>
      <sheetName val="AL공사(원)"/>
      <sheetName val="실행철강하도"/>
      <sheetName val="연결임시"/>
      <sheetName val="단"/>
      <sheetName val="1차 내역서"/>
      <sheetName val="3.건축(현장안)"/>
      <sheetName val="일위_파일"/>
      <sheetName val="현장관리비"/>
      <sheetName val="대비"/>
      <sheetName val="현장경비"/>
      <sheetName val="공문"/>
      <sheetName val="내역서"/>
      <sheetName val="변압기 및 발전기 용량"/>
      <sheetName val="증감대비"/>
      <sheetName val="입찰안"/>
      <sheetName val="을"/>
      <sheetName val="토목주소"/>
      <sheetName val="프랜트면허"/>
      <sheetName val="항목(1)"/>
      <sheetName val="BOOK4"/>
      <sheetName val="전문품의"/>
      <sheetName val="CTEMCOST"/>
      <sheetName val="공통비(전체)"/>
      <sheetName val="배수내역"/>
      <sheetName val="Total"/>
      <sheetName val="FRP PIPING 일위대가"/>
      <sheetName val="노임단가"/>
      <sheetName val="내역서2안"/>
      <sheetName val="2.1  노무비 평균단가산출"/>
      <sheetName val="내역"/>
      <sheetName val="데이타"/>
      <sheetName val="참조자료"/>
      <sheetName val="3단계"/>
      <sheetName val="2단계"/>
      <sheetName val="공사손익"/>
      <sheetName val="고자현황"/>
      <sheetName val="원가계산서(남측)"/>
      <sheetName val="2000년1차"/>
      <sheetName val="6호기"/>
      <sheetName val="일위대가목차"/>
      <sheetName val="수목단가"/>
      <sheetName val="시설수량표"/>
      <sheetName val="식재수량표"/>
      <sheetName val="일위목록"/>
      <sheetName val="자재단가"/>
      <sheetName val="2.냉난방설비공사"/>
      <sheetName val="단가조사"/>
      <sheetName val="9509"/>
      <sheetName val="7. 현장관리비 "/>
      <sheetName val="6. 안전관리비"/>
      <sheetName val="집계표"/>
      <sheetName val="내   역"/>
      <sheetName val="주요공사"/>
      <sheetName val="VXXXXXXX"/>
      <sheetName val="단가표"/>
      <sheetName val="Sheet1 (2)"/>
      <sheetName val="기계공사"/>
      <sheetName val="단면 (2)"/>
      <sheetName val="cp1"/>
      <sheetName val="내역서(기존내역-수정금지)"/>
      <sheetName val="전체내역서"/>
      <sheetName val="ITEM"/>
      <sheetName val="노무비"/>
      <sheetName val="일반부표"/>
      <sheetName val="코드"/>
      <sheetName val="기계"/>
      <sheetName val="주관사업"/>
      <sheetName val="변경내역"/>
      <sheetName val="총요약서"/>
      <sheetName val="설직재-1"/>
      <sheetName val="소일위대가코드표"/>
      <sheetName val="대전(세창동)"/>
      <sheetName val="영업소실적"/>
      <sheetName val="마감사양"/>
      <sheetName val="미수금현황"/>
      <sheetName val="유림총괄"/>
      <sheetName val="부표총괄"/>
      <sheetName val="기초목"/>
      <sheetName val="국산화"/>
      <sheetName val="경비"/>
      <sheetName val="00노임기준"/>
      <sheetName val="일위대가"/>
      <sheetName val="교각별철근수량집계표"/>
      <sheetName val="구조물공"/>
      <sheetName val="부대공"/>
      <sheetName val="배수공"/>
      <sheetName val="토공"/>
      <sheetName val="포장공"/>
      <sheetName val="토공(우물통,기타) "/>
      <sheetName val="교량하부공"/>
      <sheetName val="내역서01"/>
      <sheetName val="단가 (2)"/>
      <sheetName val="골조시행"/>
      <sheetName val="급여관련자료"/>
      <sheetName val="평가데이터"/>
      <sheetName val="하수급견적대비"/>
      <sheetName val="청천내"/>
      <sheetName val="협력업체"/>
      <sheetName val="진주방향"/>
      <sheetName val="98지급계획"/>
      <sheetName val="분당임차변경"/>
      <sheetName val="예산서"/>
      <sheetName val="물량내역서"/>
      <sheetName val="Sens&amp;Anal"/>
      <sheetName val="금액결정"/>
      <sheetName val="마찰손실"/>
      <sheetName val="원가계산 (2)"/>
      <sheetName val="수주실적0709"/>
      <sheetName val="부대공Ⅱ"/>
      <sheetName val="단가기준"/>
      <sheetName val="국내총괄"/>
      <sheetName val="15100"/>
      <sheetName val="시중노임단가"/>
      <sheetName val="반포2차"/>
      <sheetName val="6PILE  (돌출)"/>
      <sheetName val="작업년월"/>
      <sheetName val="금액내역서"/>
      <sheetName val="세부내역"/>
      <sheetName val="시중노임(공사)"/>
      <sheetName val="납부내역"/>
      <sheetName val="빈"/>
      <sheetName val="현장현황"/>
      <sheetName val="실행내역"/>
      <sheetName val="직노"/>
      <sheetName val="예가표"/>
      <sheetName val="적상기초자료"/>
      <sheetName val="DATA"/>
      <sheetName val="횡배수관집현황(2공구)"/>
      <sheetName val="을지"/>
      <sheetName val="세금자료"/>
      <sheetName val="요율"/>
      <sheetName val="물량내역"/>
      <sheetName val="ABUT수량-A1"/>
      <sheetName val="식재가격"/>
      <sheetName val="식재총괄"/>
      <sheetName val="계약동호배치도"/>
      <sheetName val="wall"/>
      <sheetName val="캔개발배경"/>
      <sheetName val="시장"/>
      <sheetName val="일정표"/>
      <sheetName val="별표 "/>
      <sheetName val="DATE"/>
      <sheetName val="사업비총괄표"/>
      <sheetName val="보고"/>
      <sheetName val="수입"/>
      <sheetName val="요약&amp;결과"/>
      <sheetName val="대여현황"/>
      <sheetName val="산출근거"/>
      <sheetName val="입주현황"/>
      <sheetName val="TRE TABLE"/>
      <sheetName val="단가"/>
      <sheetName val="공정"/>
      <sheetName val="자  재"/>
      <sheetName val="건축외주"/>
      <sheetName val="인상효1"/>
      <sheetName val="설계명세서(전송장비분)"/>
      <sheetName val="동호수배치도"/>
      <sheetName val="스포회원매출"/>
      <sheetName val="96까지"/>
      <sheetName val="97년"/>
      <sheetName val="98이후"/>
      <sheetName val="대비표(토공1안)"/>
      <sheetName val="갑지(추정)"/>
      <sheetName val="AJ005"/>
      <sheetName val="손익차9월2"/>
      <sheetName val="시중노임"/>
      <sheetName val="목차"/>
      <sheetName val="터파기및재료"/>
      <sheetName val="개산공사비"/>
      <sheetName val="스케즐"/>
      <sheetName val="소방기계"/>
      <sheetName val="차액보증"/>
      <sheetName val="갑지"/>
      <sheetName val="형틀물량집계"/>
      <sheetName val="포설물량(8회분)"/>
      <sheetName val="집수정(600-700)"/>
      <sheetName val="결재판(삭제하지말아주세요)"/>
      <sheetName val="O＆P"/>
      <sheetName val="10ADIT05"/>
      <sheetName val="하치장수불부"/>
      <sheetName val="외주"/>
      <sheetName val="STAND98"/>
      <sheetName val="STAND20"/>
      <sheetName val="코드표"/>
      <sheetName val="보유과세"/>
      <sheetName val="시장성초안camera"/>
      <sheetName val="BEND LOSS"/>
      <sheetName val="cal"/>
      <sheetName val="인천제철"/>
      <sheetName val="조명시설"/>
      <sheetName val="자료"/>
      <sheetName val="6공구(당초)"/>
      <sheetName val="10월실적마감"/>
      <sheetName val="7월실적마감"/>
      <sheetName val="8월실적마감"/>
      <sheetName val="9월실적마감"/>
      <sheetName val="ⴭⴭⴭⴭⴭ"/>
      <sheetName val="이토변실(A3-LINE)"/>
      <sheetName val="식재인부"/>
      <sheetName val="집계"/>
      <sheetName val="pier(각형)"/>
      <sheetName val="안전장치"/>
      <sheetName val="BLOCK(1)"/>
      <sheetName val="수량산출서"/>
      <sheetName val="단가산출"/>
      <sheetName val="소화실적"/>
      <sheetName val="내역서(당초변경)"/>
      <sheetName val="공량산출서"/>
      <sheetName val="공급&amp;미분양"/>
      <sheetName val="청산공사"/>
      <sheetName val="계수시트"/>
      <sheetName val="부속동"/>
      <sheetName val="개요"/>
      <sheetName val="날개벽수량표"/>
      <sheetName val="TOWER 12TON"/>
      <sheetName val="TOWER 10TON"/>
      <sheetName val="소요자재"/>
      <sheetName val="정보"/>
      <sheetName val="부산제일극장"/>
      <sheetName val="수정시산표"/>
      <sheetName val="산출내역서집계표"/>
      <sheetName val="국내조달(통합-1)"/>
      <sheetName val="15 문제점"/>
      <sheetName val="POL6차-PIPING"/>
      <sheetName val="물량"/>
      <sheetName val="WEIGHT LIST"/>
      <sheetName val="산#2-1 (2)"/>
      <sheetName val="산#3-1"/>
      <sheetName val="견적대비표"/>
      <sheetName val="관리,공감"/>
      <sheetName val="계수원본(99.2.28)"/>
      <sheetName val="내역서-수정본"/>
      <sheetName val="삼보지질"/>
      <sheetName val="공사비산출내역"/>
      <sheetName val="구의33고"/>
      <sheetName val="수지표"/>
      <sheetName val="020114"/>
      <sheetName val="0111월"/>
      <sheetName val="공동"/>
      <sheetName val="MAIN"/>
      <sheetName val="npv"/>
      <sheetName val="7.자동제어공사"/>
      <sheetName val="7수지"/>
      <sheetName val="04.01"/>
      <sheetName val="노임"/>
      <sheetName val="관급자재"/>
      <sheetName val="형틀공사"/>
      <sheetName val="1,2,3,4,5단위수량"/>
      <sheetName val="봉천제출"/>
      <sheetName val="파일의이용"/>
      <sheetName val="B1(반포1차)"/>
      <sheetName val="견적"/>
      <sheetName val="6맨홀H"/>
      <sheetName val="금융비용"/>
      <sheetName val="시행대비_(2)"/>
      <sheetName val="7__현장관리비_"/>
      <sheetName val="6__안전관리비"/>
      <sheetName val="내___역"/>
      <sheetName val="P_M_별"/>
      <sheetName val="Sheet1_(2)"/>
      <sheetName val="단면_(2)"/>
      <sheetName val="WEIGHT_LIST"/>
      <sheetName val="산#2-1_(2)"/>
      <sheetName val="2_대외공문"/>
      <sheetName val="TOWER_12TON"/>
      <sheetName val="TOWER_10TON"/>
      <sheetName val="원가계산_(2)"/>
      <sheetName val="Sheet2_(2)"/>
      <sheetName val="2_냉난방설비공사"/>
      <sheetName val="FRP_PIPING_일위대가"/>
      <sheetName val="2_1__노무비_평균단가산출"/>
      <sheetName val="계수원본(99_2_28)"/>
      <sheetName val="7_자동제어공사"/>
      <sheetName val="04_01"/>
      <sheetName val="15_문제점"/>
      <sheetName val="입찰"/>
      <sheetName val="현경"/>
      <sheetName val="업무분장"/>
      <sheetName val="금액,품셈"/>
      <sheetName val="비교1"/>
      <sheetName val="DATA1"/>
      <sheetName val="익산"/>
      <sheetName val="투찰"/>
      <sheetName val="결과조달"/>
      <sheetName val="중기 부표"/>
      <sheetName val="대비표"/>
      <sheetName val="공사비 내역 (가)"/>
      <sheetName val="인건비"/>
      <sheetName val="물가시세표"/>
      <sheetName val="A조"/>
      <sheetName val="A갑지"/>
      <sheetName val="개인DATA"/>
      <sheetName val="기준단가"/>
      <sheetName val="현장"/>
      <sheetName val="단위수량"/>
      <sheetName val="아파트"/>
      <sheetName val="20관리비율"/>
      <sheetName val="70%"/>
      <sheetName val="총내역"/>
      <sheetName val="9811"/>
      <sheetName val="기초일위"/>
      <sheetName val="시설일위"/>
      <sheetName val="조명일위"/>
      <sheetName val="전체"/>
      <sheetName val="MEED"/>
      <sheetName val="분류표"/>
      <sheetName val="공사비집계"/>
      <sheetName val="토목"/>
      <sheetName val="지급자재"/>
      <sheetName val="STEEL BOX 단면설계(SEC.8)"/>
      <sheetName val="표지"/>
      <sheetName val="간접"/>
      <sheetName val="가로등내역서"/>
      <sheetName val="토목내역서 (도급단가)"/>
      <sheetName val="(실사조정)총괄"/>
      <sheetName val="도급원가"/>
      <sheetName val="부대tu"/>
      <sheetName val="기호"/>
      <sheetName val="본사공가현황"/>
      <sheetName val="공조기"/>
      <sheetName val="96노임기준"/>
      <sheetName val="토사(PE)"/>
      <sheetName val="Income Statement"/>
      <sheetName val="준검 내역서"/>
      <sheetName val="금융"/>
      <sheetName val="수리결과"/>
      <sheetName val="본공사"/>
      <sheetName val="단독"/>
      <sheetName val="설계명세"/>
      <sheetName val="설계"/>
      <sheetName val="변경서식"/>
      <sheetName val="은행"/>
      <sheetName val="을-ATYPE"/>
      <sheetName val="평형공사비"/>
      <sheetName val="수수료율표"/>
      <sheetName val="호실data"/>
      <sheetName val="수량집계"/>
      <sheetName val="명세서"/>
      <sheetName val="운영비산정가정"/>
      <sheetName val="목록"/>
      <sheetName val="추가예산"/>
      <sheetName val="7.수지"/>
      <sheetName val="가설개략"/>
      <sheetName val="인사자료총집계"/>
      <sheetName val="misc"/>
      <sheetName val="견적내역"/>
      <sheetName val="건축2"/>
      <sheetName val="국내"/>
      <sheetName val="간접비"/>
      <sheetName val="UG COM-8"/>
      <sheetName val="UG COM-11"/>
      <sheetName val="UG COM-7"/>
      <sheetName val="UG COM-6"/>
      <sheetName val="UG COM-5"/>
      <sheetName val="UG COM-4"/>
      <sheetName val="UG COM-3"/>
      <sheetName val="UG COM-2"/>
      <sheetName val="UG COM-1"/>
      <sheetName val="UG COM-12"/>
      <sheetName val="총물량"/>
      <sheetName val="1월"/>
      <sheetName val="9GNG운반"/>
      <sheetName val="연돌일위집계"/>
      <sheetName val="공통가설공사"/>
      <sheetName val="도기류"/>
      <sheetName val="0000"/>
      <sheetName val="판가반영"/>
      <sheetName val="품셈"/>
      <sheetName val="가시설"/>
      <sheetName val="부대"/>
      <sheetName val="부안일위"/>
      <sheetName val="품셈TABLE"/>
      <sheetName val="97 사업추정(WEKI)"/>
      <sheetName val="단중표"/>
      <sheetName val="정렬"/>
      <sheetName val="전기변내역"/>
      <sheetName val="납부서"/>
      <sheetName val="재집"/>
      <sheetName val="직재"/>
      <sheetName val="첨부1-1"/>
      <sheetName val="내역서(기계)"/>
      <sheetName val="본지사합"/>
      <sheetName val="const."/>
      <sheetName val="신심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단기차입금(200006)"/>
      <sheetName val="단기차입금(200012)"/>
      <sheetName val="2001년03월"/>
      <sheetName val="2001년03월(분할)"/>
      <sheetName val="외화단기차입금(98)"/>
      <sheetName val="외화단기차입금 (99)"/>
      <sheetName val="Sheet1"/>
      <sheetName val="매출채권 등 Ls"/>
      <sheetName val="매입채무Ls"/>
      <sheetName val="무형자산Ls"/>
      <sheetName val="매출Ls"/>
      <sheetName val="원가Ls"/>
      <sheetName val="원가배분Ls"/>
      <sheetName val="대차대조표(200306)"/>
      <sheetName val="손익계산서(200306)"/>
      <sheetName val="용역원가(200306)"/>
      <sheetName val="수목표준대가"/>
      <sheetName val="배서어음명세서"/>
      <sheetName val="코드"/>
      <sheetName val="당좌자산명세"/>
      <sheetName val="미수금"/>
      <sheetName val="선급금"/>
      <sheetName val="기준시가"/>
      <sheetName val="MatchCode"/>
      <sheetName val="3.손익"/>
      <sheetName val="4.원가"/>
      <sheetName val="2.요약"/>
      <sheetName val="존4"/>
      <sheetName val="PAN"/>
      <sheetName val="월계"/>
      <sheetName val="SUMMARY"/>
      <sheetName val="노무비"/>
      <sheetName val="인원계획-미화"/>
      <sheetName val="DATA"/>
      <sheetName val="S&amp;R"/>
      <sheetName val="정공공사"/>
      <sheetName val="투자유가증권"/>
      <sheetName val="인건비"/>
      <sheetName val="Quality"/>
      <sheetName val="People"/>
      <sheetName val="Risk"/>
      <sheetName val="Training"/>
      <sheetName val="Instructions"/>
      <sheetName val="#REF"/>
      <sheetName val="TB-CLEAR"/>
      <sheetName val="TB-RAW"/>
      <sheetName val="손익계산서"/>
      <sheetName val="이익잉여금처분계산서"/>
      <sheetName val="재무상태변동표"/>
      <sheetName val="제조원가명세서"/>
      <sheetName val="현금흐름표"/>
      <sheetName val="Total"/>
      <sheetName val="Sheet2"/>
      <sheetName val="수입"/>
      <sheetName val="WPL"/>
      <sheetName val="4월계획"/>
      <sheetName val="시산표"/>
      <sheetName val="회수내역"/>
      <sheetName val="금융소득종합과세"/>
      <sheetName val="근로소득세2001"/>
      <sheetName val="분개장"/>
      <sheetName val="비품(94이전)"/>
      <sheetName val="단기차입금"/>
      <sheetName val="일위대가표"/>
      <sheetName val="arap"/>
      <sheetName val="기본입력사항"/>
      <sheetName val="Traffic비율"/>
      <sheetName val="Mc1"/>
      <sheetName val="경비분류(1)"/>
      <sheetName val="단기대여금"/>
      <sheetName val="장기대여금"/>
      <sheetName val="단기금융상품"/>
      <sheetName val="미수수익"/>
      <sheetName val="현금명세서"/>
      <sheetName val="외국환"/>
      <sheetName val="내수"/>
      <sheetName val="f_BS"/>
      <sheetName val="정기적금"/>
      <sheetName val="RECONCILIATIONS"/>
      <sheetName val="업무분장 "/>
      <sheetName val="공통"/>
      <sheetName val="제품수불(대체)"/>
      <sheetName val="원재료입력"/>
      <sheetName val="총제품수불"/>
      <sheetName val="제품입력"/>
      <sheetName val="가정"/>
      <sheetName val="갑지"/>
      <sheetName val="실행"/>
      <sheetName val="합손"/>
      <sheetName val="Setup"/>
      <sheetName val="손익계산서(SJ)"/>
      <sheetName val="판가반영"/>
      <sheetName val="Revised PEGS98"/>
      <sheetName val="Affiliates"/>
      <sheetName val="admin"/>
      <sheetName val="직원배율"/>
      <sheetName val="임원배율"/>
      <sheetName val="JUCKEYK"/>
      <sheetName val="월간단가"/>
      <sheetName val="070630단가"/>
      <sheetName val="외화단기차입금_(99)"/>
      <sheetName val="매출채권_등_Ls"/>
      <sheetName val="3_손익"/>
      <sheetName val="4_원가"/>
      <sheetName val="2_요약"/>
      <sheetName val="LD-동양"/>
      <sheetName val="R&amp;D"/>
      <sheetName val="월간인력"/>
      <sheetName val="본부별매출"/>
      <sheetName val="현금및현금등가물"/>
      <sheetName val="Macro1"/>
      <sheetName val="재료율"/>
      <sheetName val="HP1AMLIST"/>
      <sheetName val="계열사현황종합"/>
      <sheetName val="미지급금"/>
      <sheetName val="General"/>
      <sheetName val="지급보증금74"/>
      <sheetName val="Expense_기초자료"/>
      <sheetName val="미수"/>
      <sheetName val="국산화"/>
      <sheetName val="공수"/>
      <sheetName val="수도권지사"/>
      <sheetName val="공정별인건비"/>
      <sheetName val="백암비스타내역"/>
      <sheetName val="민감도"/>
      <sheetName val="재료비"/>
      <sheetName val="경비"/>
      <sheetName val="단가"/>
      <sheetName val="TEMP"/>
      <sheetName val="JA"/>
      <sheetName val="Ctrl"/>
      <sheetName val="계정code"/>
      <sheetName val="창원대리이하"/>
      <sheetName val="하자보수충당금"/>
      <sheetName val="XREF"/>
      <sheetName val="H 220다올자산"/>
      <sheetName val="내역서2안"/>
      <sheetName val="단가일람"/>
      <sheetName val="조경일람"/>
      <sheetName val="Controlsheet"/>
      <sheetName val="FRDS9805"/>
      <sheetName val="6. 직접경비"/>
      <sheetName val="자료입력(부문별)-原"/>
      <sheetName val="현장관리비"/>
      <sheetName val="익월작업계힉"/>
      <sheetName val="조정지수 data"/>
      <sheetName val="시설총괄"/>
      <sheetName val="DB"/>
      <sheetName val="공통매입원장"/>
      <sheetName val="Cash receipt"/>
      <sheetName val="유가증권.투자유가증권LS"/>
      <sheetName val="투자유가증권(주식)"/>
      <sheetName val="유가증권증감"/>
      <sheetName val="0130종합"/>
      <sheetName val="손익"/>
      <sheetName val="3ND 64M"/>
      <sheetName val="構築物"/>
      <sheetName val="付属設備"/>
      <sheetName val="車両運搬"/>
      <sheetName val="土地"/>
      <sheetName val="내역서"/>
      <sheetName val="수정시산표"/>
      <sheetName val="입장객세부추정,계획안"/>
      <sheetName val="계정분류"/>
      <sheetName val="유가증권_투자유가증권LS"/>
      <sheetName val="Config"/>
      <sheetName val="매출"/>
      <sheetName val="시실누(모) "/>
      <sheetName val="3월상세"/>
      <sheetName val="매출원가_회사제시"/>
      <sheetName val="CODE"/>
      <sheetName val="5사남"/>
      <sheetName val="출입자명단"/>
      <sheetName val="단"/>
      <sheetName val="자  재"/>
      <sheetName val="건축외주"/>
      <sheetName val="기초코드"/>
      <sheetName val="CAUDIT"/>
      <sheetName val="지급어음(일별)"/>
      <sheetName val="정산표"/>
      <sheetName val="IDONG"/>
      <sheetName val="연결조정분개13"/>
      <sheetName val="Sheet1 (3)"/>
      <sheetName val="회사정보"/>
      <sheetName val="Initial Input Variable"/>
      <sheetName val="업체비교"/>
      <sheetName val="업무분장_"/>
      <sheetName val="Revised_PEGS98"/>
      <sheetName val="Sheet4"/>
      <sheetName val="외화단기차입금_(99)1"/>
      <sheetName val="매출채권_등_Ls1"/>
      <sheetName val="유가증권_투자유가증권LS1"/>
      <sheetName val="3_손익1"/>
      <sheetName val="4_원가1"/>
      <sheetName val="2_요약1"/>
      <sheetName val="단가산출"/>
      <sheetName val="실행철강하도"/>
      <sheetName val="단가표"/>
      <sheetName val="은행조회서"/>
      <sheetName val="상환익(2001년도)"/>
      <sheetName val="유가증권현황"/>
      <sheetName val="대구은행"/>
      <sheetName val="H_220다올자산"/>
      <sheetName val="지성학원"/>
      <sheetName val="ILBAN"/>
      <sheetName val="WELDING"/>
      <sheetName val="시장위험"/>
      <sheetName val="노임"/>
      <sheetName val="단가 "/>
      <sheetName val="일위대가"/>
      <sheetName val="상품코드"/>
      <sheetName val="Company"/>
      <sheetName val="97년"/>
      <sheetName val="5131"/>
      <sheetName val="중장기수주현황"/>
      <sheetName val="채권"/>
      <sheetName val="업무분장_1"/>
      <sheetName val="Revised_PEGS981"/>
      <sheetName val="시실누(모)_"/>
      <sheetName val="체계옵션"/>
      <sheetName val="업무기준"/>
      <sheetName val="PPS2"/>
      <sheetName val=""/>
      <sheetName val="00'미수"/>
      <sheetName val="BS(5월-경리과)"/>
      <sheetName val="노임이"/>
      <sheetName val="총괄"/>
      <sheetName val="돈암사업"/>
      <sheetName val="Sheet3"/>
      <sheetName val="CFs"/>
      <sheetName val="CFs Growth BP"/>
      <sheetName val="PPT Growth CFs"/>
      <sheetName val="Busplan"/>
      <sheetName val="资金计划 "/>
      <sheetName val="Balance Sheets"/>
      <sheetName val="% Rent OLD"/>
      <sheetName val="Fund IV- Yieldwide Ltd"/>
      <sheetName val="Initial_Input_Variable"/>
      <sheetName val="6__직접경비"/>
      <sheetName val="조정지수_data"/>
      <sheetName val="Cash_receipt"/>
      <sheetName val="CFs_Growth_BP"/>
      <sheetName val="PPT_Growth_CFs"/>
      <sheetName val="资金计划_"/>
      <sheetName val="Balance_Sheets"/>
      <sheetName val="%_Rent_OLD"/>
      <sheetName val="Fund_IV-_Yieldwide_Ltd"/>
      <sheetName val="자__재"/>
      <sheetName val="3ND_64M"/>
      <sheetName val="index"/>
      <sheetName val="科目余额表"/>
      <sheetName val="Paris phone list"/>
      <sheetName val="FAB별"/>
      <sheetName val="N賃率-職"/>
      <sheetName val="제직재"/>
      <sheetName val="5.30(土)"/>
      <sheetName val="제경집계"/>
      <sheetName val="sm"/>
      <sheetName val="판매2팀"/>
      <sheetName val="집계표"/>
      <sheetName val="국내품"/>
      <sheetName val="수입부품비"/>
      <sheetName val="전파고도계입고실적(정산용)"/>
      <sheetName val="기본"/>
      <sheetName val="K55"/>
      <sheetName val="회사개황최종"/>
      <sheetName val="법인세등 (2)"/>
      <sheetName val="T6-6(6)"/>
      <sheetName val="T6-6(7)"/>
      <sheetName val="TREAD"/>
      <sheetName val="배치1"/>
      <sheetName val="(실사조정)총괄"/>
      <sheetName val="BM"/>
      <sheetName val="외화단기차입금_(99)2"/>
      <sheetName val="매출채권_등_Ls2"/>
      <sheetName val="3_손익2"/>
      <sheetName val="4_원가2"/>
      <sheetName val="2_요약2"/>
      <sheetName val="유가증권_투자유가증권LS2"/>
      <sheetName val="시실누(모)_1"/>
      <sheetName val="투자자산명세서"/>
      <sheetName val="97건물"/>
      <sheetName val="비품"/>
      <sheetName val="단가산출서"/>
      <sheetName val="직종별노임단가표"/>
      <sheetName val="1100A"/>
      <sheetName val="주요 경영지표"/>
      <sheetName val="BS(4)"/>
      <sheetName val="업무분장_2"/>
      <sheetName val="Revised_PEGS982"/>
      <sheetName val="H_220다올자산1"/>
      <sheetName val="Sheet1_(3)"/>
      <sheetName val="5_30(土)"/>
      <sheetName val="YOEMAGUM"/>
      <sheetName val="자료"/>
      <sheetName val="경영기획팀"/>
      <sheetName val="일위대가(건축)"/>
      <sheetName val="단가_"/>
      <sheetName val="IS"/>
      <sheetName val="일위_파일"/>
      <sheetName val="OR Breakdown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유림골조"/>
      <sheetName val="NEW비교"/>
      <sheetName val="의뢰"/>
      <sheetName val="견적조건"/>
      <sheetName val="품의서"/>
      <sheetName val="새공통(97년3월)"/>
      <sheetName val="건축"/>
      <sheetName val="24평(계단식-TOWER)"/>
      <sheetName val="24평(계단식)"/>
      <sheetName val="32평"/>
      <sheetName val="43평"/>
      <sheetName val="48평"/>
      <sheetName val="동DATA"/>
      <sheetName val="파일본수"/>
      <sheetName val="파일공사"/>
      <sheetName val="SERVICE"/>
      <sheetName val="부대건축"/>
      <sheetName val="전기"/>
      <sheetName val="설비"/>
      <sheetName val="토공사및 흙막이공사"/>
      <sheetName val="옥외"/>
      <sheetName val="물가상승1"/>
      <sheetName val="써100 (A4)"/>
      <sheetName val="제출표지"/>
      <sheetName val="삭제금지단가"/>
      <sheetName val="Sheet4"/>
      <sheetName val="내역서"/>
      <sheetName val="2공구산출내역"/>
      <sheetName val="데이타"/>
      <sheetName val="손익차9월2"/>
      <sheetName val="설비2차"/>
      <sheetName val="일위대가표"/>
      <sheetName val="설계예시"/>
      <sheetName val="노임단가"/>
      <sheetName val="1"/>
      <sheetName val="을"/>
      <sheetName val="부대공"/>
      <sheetName val="포장공"/>
      <sheetName val="토공"/>
      <sheetName val="직노"/>
      <sheetName val="시설물기초"/>
      <sheetName val="견적서"/>
      <sheetName val="2000년1차"/>
      <sheetName val="분당임차변경"/>
      <sheetName val="유림콘도"/>
      <sheetName val="공사개요"/>
      <sheetName val="일위대가"/>
      <sheetName val="건축내역"/>
      <sheetName val="5사남"/>
      <sheetName val="2.대외공문"/>
      <sheetName val="경산"/>
      <sheetName val="내역"/>
      <sheetName val="관람석제출"/>
      <sheetName val="단가표"/>
      <sheetName val="지수"/>
      <sheetName val="청산공사"/>
      <sheetName val="노임이"/>
      <sheetName val="물건조서"/>
      <sheetName val="유림총괄"/>
      <sheetName val="차액보증"/>
      <sheetName val="사업부배부A"/>
      <sheetName val="표지"/>
      <sheetName val="목차"/>
      <sheetName val="설계조건"/>
      <sheetName val="열관류율"/>
      <sheetName val="First"/>
      <sheetName val="Front"/>
      <sheetName val="wall"/>
      <sheetName val="집계표"/>
      <sheetName val="부하계산서"/>
      <sheetName val="F.C.U ZONE집계"/>
      <sheetName val="A.H.U ZONE별집계"/>
      <sheetName val="PAC 집계"/>
      <sheetName val="난방부하집계(청소년수련관)"/>
      <sheetName val="냉온수기"/>
      <sheetName val="보일러&amp;응축수탱크"/>
      <sheetName val="열교환기"/>
      <sheetName val="공조기선정"/>
      <sheetName val="공조기리턴휀"/>
      <sheetName val="FAN"/>
      <sheetName val="저수조(교육,사이버)"/>
      <sheetName val="저수조(청소년)"/>
      <sheetName val="급탕탱크"/>
      <sheetName val="급수펌프"/>
      <sheetName val="펌프"/>
      <sheetName val="1.가스소비량"/>
      <sheetName val="환산길이"/>
      <sheetName val="1-3.가스관경계산-1"/>
      <sheetName val="1-4.가스관경계산-2"/>
      <sheetName val="1-5.가스관경계산-3"/>
      <sheetName val="1-6.가스관경계산-4 "/>
      <sheetName val="1-7.가스관경계산-5"/>
      <sheetName val="1-7.가스차압산출"/>
      <sheetName val="form"/>
      <sheetName val="ZONE"/>
      <sheetName val="DATA"/>
      <sheetName val="공조기"/>
      <sheetName val="공조기휀"/>
      <sheetName val="AHU집계"/>
      <sheetName val="1.견적서목록"/>
      <sheetName val="SF적재계산"/>
      <sheetName val="FAX1"/>
      <sheetName val="주소록"/>
      <sheetName val="Module1"/>
      <sheetName val="Module2"/>
      <sheetName val="MM"/>
      <sheetName val="견적표지"/>
      <sheetName val="부하계산서 (영문)"/>
      <sheetName val="PEND-ITEM"/>
      <sheetName val="PEND-ITEM (2)"/>
      <sheetName val="PEND-99"/>
      <sheetName val="0000"/>
      <sheetName val="설계자료"/>
      <sheetName val="Sheet1"/>
      <sheetName val="Sheet3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6"/>
      <sheetName val="Sheet16"/>
      <sheetName val="VXXXXXX"/>
      <sheetName val="목록"/>
      <sheetName val="파일정리"/>
      <sheetName val="견적표지(종)"/>
      <sheetName val="견적표지 (횡)"/>
      <sheetName val="화물선취"/>
      <sheetName val="부하집계표 (2안)"/>
      <sheetName val="부하계산서 "/>
      <sheetName val="동결부하계산서"/>
      <sheetName val="UNIT COOLER 선정표"/>
      <sheetName val="ACCUMULALOR (2안)"/>
      <sheetName val="동력집계표 (2안)"/>
      <sheetName val="cooling tower (2)"/>
      <sheetName val="cooling water pump"/>
      <sheetName val="DEFROEST PUMP"/>
      <sheetName val="기기선정표 (2안)"/>
      <sheetName val="부하집계표"/>
      <sheetName val="동력집계표"/>
      <sheetName val="ACCUMULALOR"/>
      <sheetName val="cooling tower"/>
      <sheetName val="기기선정표"/>
      <sheetName val="부하집계표 (2)"/>
      <sheetName val="주차장환기량"/>
      <sheetName val="송풍기272대형(지하2층)"/>
      <sheetName val="송풍기272대형(지하1층)"/>
      <sheetName val="송풍기268대형(지하1층)"/>
      <sheetName val="덕트 및 배기그릴선정"/>
      <sheetName val="PAC"/>
      <sheetName val="Sheet2"/>
      <sheetName val="Sheet3-1"/>
      <sheetName val="물가자료비교"/>
      <sheetName val="3사단가비교"/>
      <sheetName val="대동"/>
      <sheetName val="성림"/>
      <sheetName val="금강"/>
      <sheetName val="bid"/>
      <sheetName val="#REF"/>
      <sheetName val="xxxxxx"/>
      <sheetName val="（２）"/>
      <sheetName val="（３） "/>
      <sheetName val="97년-98년"/>
      <sheetName val="Sheet5"/>
      <sheetName val="주간업무보고"/>
      <sheetName val="주간업무보고4월첫째"/>
      <sheetName val="부재중업무보고"/>
      <sheetName val="주간업무보고4월네째"/>
      <sheetName val="3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목차 (2)"/>
      <sheetName val="목차(1)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지침"/>
      <sheetName val="일정"/>
      <sheetName val="단위"/>
      <sheetName val="갱비산출근거"/>
      <sheetName val="양식목차"/>
      <sheetName val="1-1.손익(부문별)"/>
      <sheetName val="1-2.손익(월별)"/>
      <sheetName val="2-1.판관비(부문)"/>
      <sheetName val="2-2.판관비(월별)"/>
      <sheetName val="3-1.수익비용(부문별)"/>
      <sheetName val="3-2.수익비용(월별)"/>
      <sheetName val="4-1.투자(부문)"/>
      <sheetName val="4-2.투자(월별)"/>
      <sheetName val="5-1.인원(부문)"/>
      <sheetName val="5-2.인원(월별)"/>
      <sheetName val="6.산출근거"/>
      <sheetName val="7.현금흐름"/>
      <sheetName val="마케팅1"/>
      <sheetName val="마케팅1 (2)"/>
      <sheetName val="마케팅1 (3)"/>
      <sheetName val="마케팅1 (4)"/>
      <sheetName val="구판관비"/>
      <sheetName val="01 1담당매출계획27.8$"/>
      <sheetName val="01매출계획식자재"/>
      <sheetName val="01매출계획 선용품"/>
      <sheetName val="증감내역"/>
      <sheetName val="99~01년승선현황"/>
      <sheetName val="1월"/>
      <sheetName val="2월"/>
      <sheetName val="3월"/>
      <sheetName val="4월"/>
      <sheetName val="5월"/>
      <sheetName val="6월"/>
      <sheetName val="상반기"/>
      <sheetName val="7월"/>
      <sheetName val="9월"/>
      <sheetName val="8월"/>
      <sheetName val="10월"/>
      <sheetName val="11월"/>
      <sheetName val="12월"/>
      <sheetName val="하반기"/>
      <sheetName val="총계"/>
      <sheetName val="울산총계"/>
      <sheetName val="울산1월"/>
      <sheetName val="울산2월"/>
      <sheetName val="울산3월"/>
      <sheetName val="울산4월"/>
      <sheetName val="울산5월"/>
      <sheetName val="울산6월"/>
      <sheetName val="울산7월"/>
      <sheetName val="울산8월"/>
      <sheetName val="울산9월"/>
      <sheetName val="울산10월"/>
      <sheetName val="울산11월"/>
      <sheetName val="울산12월"/>
      <sheetName val="성남총계"/>
      <sheetName val="성남1월"/>
      <sheetName val="성남2월"/>
      <sheetName val="성남3월"/>
      <sheetName val="성남4월"/>
      <sheetName val="성남5월"/>
      <sheetName val="성남6월"/>
      <sheetName val="성남7월"/>
      <sheetName val="성남8월"/>
      <sheetName val="성남9월"/>
      <sheetName val="성남10월"/>
      <sheetName val="성남11월"/>
      <sheetName val="성남12월"/>
      <sheetName val="요약장"/>
      <sheetName val="부도어음수표"/>
      <sheetName val="악성채권"/>
      <sheetName val="작업전원본"/>
      <sheetName val="작업악성채권직원판매제외(거래선별종합)"/>
      <sheetName val="작업악성채권직원판매제외(거래선별) "/>
      <sheetName val="작업악성채권직원판매제외 (담당별종합)"/>
      <sheetName val="작업악성채권직원판매제외 (담당별)"/>
      <sheetName val="별첨1"/>
      <sheetName val="별첨2"/>
      <sheetName val="별첨3"/>
      <sheetName val="별첨4"/>
      <sheetName val="백1"/>
      <sheetName val="백2"/>
      <sheetName val="백3"/>
      <sheetName val="월별매출01"/>
      <sheetName val="식품"/>
      <sheetName val="포함"/>
      <sheetName val="울산점"/>
      <sheetName val="일반관리비"/>
      <sheetName val="카메라"/>
      <sheetName val="판촉비예산 "/>
      <sheetName val="전산투자예산"/>
      <sheetName val="인테리어.시설"/>
      <sheetName val="파 3층 특설 장치장식비"/>
      <sheetName val="갑"/>
      <sheetName val="2"/>
      <sheetName val="4"/>
      <sheetName val="5"/>
      <sheetName val="6"/>
      <sheetName val="7"/>
      <sheetName val="채권총괄표(H&amp;S집계)"/>
      <sheetName val="표지(03년11월)"/>
      <sheetName val="총괄 (03년11월)h&amp;s"/>
      <sheetName val="총괄 (03년11월)여행"/>
      <sheetName val="세부내용 (03년11월)여행"/>
      <sheetName val="개인 세부내용 (03년11월)여행"/>
      <sheetName val="서울일반상품"/>
      <sheetName val="서울상품권"/>
      <sheetName val="동구일반상품 "/>
      <sheetName val="동구미수금"/>
      <sheetName val="금강산"/>
      <sheetName val="임대"/>
      <sheetName val="본사"/>
      <sheetName val="ꀀ"/>
      <sheetName val="영업2파트"/>
      <sheetName val="영업활동현황"/>
      <sheetName val="성과보고표지"/>
      <sheetName val="성과보고양식"/>
      <sheetName val="OCT.FDN"/>
      <sheetName val="WIND"/>
      <sheetName val="SEISMIC"/>
      <sheetName val="SIZE"/>
      <sheetName val="EXT.CHECK"/>
      <sheetName val="DESIGN"/>
      <sheetName val="Demolition(Total)"/>
      <sheetName val="D-147E"/>
      <sheetName val="D-126E"/>
      <sheetName val="V-128E"/>
      <sheetName val="FL-123E1"/>
      <sheetName val="D-120E"/>
      <sheetName val="D-131E"/>
      <sheetName val="T-127E1"/>
      <sheetName val="Trench1"/>
      <sheetName val="Trench2"/>
      <sheetName val="Trench3"/>
      <sheetName val="P-147E1"/>
      <sheetName val="P-124E"/>
      <sheetName val="P-127E1,E2 "/>
      <sheetName val="P-121E"/>
      <sheetName val="P-122E"/>
      <sheetName val="P-120E1,E2"/>
      <sheetName val="P-123E1,E2 "/>
      <sheetName val="P-128E "/>
      <sheetName val="건축(주상복합)"/>
      <sheetName val="옥외및기타"/>
      <sheetName val="파일공사(APT)"/>
      <sheetName val="파일공사(부대동)"/>
      <sheetName val="의뢰서"/>
      <sheetName val="공통비"/>
      <sheetName val="총괄"/>
      <sheetName val="남양시작동자105노65기1.3화1.2"/>
      <sheetName val="일위대가(가설)"/>
      <sheetName val="물가자료"/>
      <sheetName val="Y-WORK"/>
      <sheetName val="97 사업추정(WEKI)"/>
      <sheetName val="단중표"/>
      <sheetName val="터파기및재료"/>
      <sheetName val="1차설계변경내역"/>
      <sheetName val="기계설비"/>
      <sheetName val="단가비교표"/>
      <sheetName val="PE거푸집(1.2)"/>
      <sheetName val="TRE TABLE"/>
      <sheetName val="base"/>
      <sheetName val="빙설"/>
      <sheetName val="첨부1-1"/>
      <sheetName val="입력"/>
      <sheetName val="냉천부속동"/>
      <sheetName val="대비"/>
      <sheetName val="사업성"/>
      <sheetName val="수입"/>
      <sheetName val="대여현황"/>
      <sheetName val="금액순"/>
      <sheetName val="안산기계장치"/>
      <sheetName val="Baby일위대가"/>
      <sheetName val="CashFlow(중간집계)"/>
      <sheetName val="정리계획CF평가"/>
      <sheetName val="재료비"/>
      <sheetName val="경비"/>
      <sheetName val="분양가"/>
      <sheetName val="현금흐름표"/>
      <sheetName val="내역서2안"/>
      <sheetName val="회사정보"/>
      <sheetName val="별제권_정리담보권1"/>
      <sheetName val="골조"/>
      <sheetName val="건축공사실행"/>
      <sheetName val="을지"/>
      <sheetName val="위생-sa"/>
      <sheetName val="압력시험보고서"/>
      <sheetName val="배관설치최종점검기록서"/>
      <sheetName val="PUNCH LIST"/>
      <sheetName val="WELDING JOINT INSPECTION STATUS"/>
      <sheetName val="명판"/>
      <sheetName val="업무"/>
      <sheetName val="동영견적(갑지)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중방향비율"/>
      <sheetName val="골격"/>
      <sheetName val="가로교통량"/>
      <sheetName val="현황(무신호)"/>
      <sheetName val="미시(휴일-무신호)"/>
      <sheetName val="시행(휴일-무신호)"/>
      <sheetName val="현황-2차로분석)"/>
      <sheetName val="미시(휴일-2차로분석)"/>
      <sheetName val="시행(휴일-2차로분석)"/>
      <sheetName val="자재단가"/>
      <sheetName val="자단"/>
      <sheetName val="인공산출"/>
      <sheetName val="단락전류-A"/>
      <sheetName val="고분전시관"/>
      <sheetName val="금융비용"/>
      <sheetName val="충주내역"/>
      <sheetName val="기초입력"/>
      <sheetName val="추정공사비계산"/>
      <sheetName val="추정공사비 산출결과"/>
      <sheetName val="데이터"/>
      <sheetName val="급수공과금양식"/>
      <sheetName val="관류율"/>
      <sheetName val="g"/>
      <sheetName val="h"/>
      <sheetName val="c"/>
      <sheetName val="d"/>
      <sheetName val="e"/>
      <sheetName val="f"/>
      <sheetName val="난방집계"/>
      <sheetName val="난방입상"/>
      <sheetName val="난방횡주"/>
      <sheetName val="급수입상"/>
      <sheetName val="급수횡주"/>
      <sheetName val="급탕입상"/>
      <sheetName val="급탕횡주"/>
      <sheetName val="배수입상 "/>
      <sheetName val="배수횡주"/>
      <sheetName val="오수횡주"/>
      <sheetName val="소방"/>
      <sheetName val="전계가"/>
      <sheetName val="공통가설"/>
      <sheetName val="단가조사"/>
      <sheetName val="토목공사"/>
      <sheetName val="N賃率-職"/>
      <sheetName val="건물개요"/>
      <sheetName val="내역서 (3)"/>
      <sheetName val="내역서2"/>
      <sheetName val="내역서 (4)"/>
      <sheetName val="단가입력"/>
      <sheetName val="잡자재비"/>
      <sheetName val="공구손료"/>
      <sheetName val="인건비산출"/>
      <sheetName val="정릉견산출"/>
      <sheetName val="상도동견산출"/>
      <sheetName val="상도갑지"/>
      <sheetName val="돈암사업"/>
      <sheetName val="일반사항(1,2면)"/>
      <sheetName val="의무사항(3면)"/>
      <sheetName val="에너지성능지표검토서(건축)"/>
      <sheetName val="에너지성능지표검토서(기계, 전기, 신재생)"/>
      <sheetName val="APT"/>
      <sheetName val="부속동"/>
      <sheetName val="현관"/>
      <sheetName val="설계개요"/>
      <sheetName val="cover"/>
      <sheetName val="1장 "/>
      <sheetName val="1.개요 "/>
      <sheetName val="2.조건 "/>
      <sheetName val="3.공식붙임"/>
      <sheetName val="2장"/>
      <sheetName val="냉난방"/>
      <sheetName val="3장"/>
      <sheetName val="열원장비"/>
      <sheetName val="4장 "/>
      <sheetName val="1.AHU "/>
      <sheetName val="2.AHU-1"/>
      <sheetName val="2.FAN"/>
      <sheetName val="환기량"/>
      <sheetName val="5장"/>
      <sheetName val="1.급탕"/>
      <sheetName val="6장 별첨"/>
      <sheetName val="외기조건"/>
      <sheetName val="면적&amp;재실인원"/>
      <sheetName val="냉방부하"/>
      <sheetName val="AHU-1"/>
      <sheetName val="AHU-2"/>
      <sheetName val="AHU-3"/>
      <sheetName val="AHU-4"/>
      <sheetName val="AHU-5"/>
      <sheetName val="AHU-6"/>
      <sheetName val="간접"/>
      <sheetName val="ITEM"/>
      <sheetName val="참조"/>
      <sheetName val="갑지"/>
      <sheetName val="수량산출"/>
      <sheetName val="IMP(MAIN)"/>
      <sheetName val="IMP (REACTOR)"/>
      <sheetName val="21"/>
      <sheetName val="22"/>
      <sheetName val="손익(총괄)"/>
      <sheetName val="월별손익(총괄)"/>
      <sheetName val="월별손익(아케이드)"/>
      <sheetName val="월별손익(온정각)"/>
      <sheetName val="월별손익(용역) "/>
      <sheetName val="판관(총괄)"/>
      <sheetName val="월별판관(총괄)"/>
      <sheetName val="판관(아케이드)"/>
      <sheetName val="월별판관(아케이드)"/>
      <sheetName val="판관(온정각)"/>
      <sheetName val="월별판관(온정각)"/>
      <sheetName val="판관(용역)"/>
      <sheetName val="월별판관(용역)"/>
      <sheetName val="26"/>
      <sheetName val="1-1.손익(온정각)"/>
      <sheetName val="1-1.손익(관광식당)"/>
      <sheetName val="1-1.손익(직원식당)"/>
      <sheetName val="1-2.월별손익(온정각)"/>
      <sheetName val="1-2.월별손익(관광식당)"/>
      <sheetName val="1-2.월별손익(직원식당)"/>
      <sheetName val="2-1.판관비(지원)"/>
      <sheetName val="2-1.판관비(관광)"/>
      <sheetName val="2-1.판관비(직원) "/>
      <sheetName val="소모품내역"/>
      <sheetName val="직원사급품"/>
      <sheetName val="합산손익"/>
      <sheetName val="인원,매출기준"/>
      <sheetName val="2-1.판관비(온정각)"/>
      <sheetName val="2-2.월별판관비(온정각)"/>
      <sheetName val="2-2.월별판관비(지원)"/>
      <sheetName val="2-2.월별판관비(직원)"/>
      <sheetName val="2-2.월별판관비(휴게소)"/>
      <sheetName val="2-2.월별판관비(스넥코너)"/>
      <sheetName val="2-2.월별판관비(음료코너)"/>
      <sheetName val="2-2.월별판관비(온천장)"/>
      <sheetName val="5-1.인원(온정각)"/>
      <sheetName val="23"/>
      <sheetName val="24"/>
      <sheetName val="25"/>
      <sheetName val="27"/>
      <sheetName val="28"/>
      <sheetName val="29"/>
      <sheetName val="30"/>
      <sheetName val="인원계획"/>
      <sheetName val="99년누계 (월별)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참조1"/>
      <sheetName val="참조2"/>
      <sheetName val="2월15일"/>
      <sheetName val="아산공문"/>
      <sheetName val="매출현황"/>
      <sheetName val="총괄현황"/>
      <sheetName val="골프스포츠"/>
      <sheetName val="효율비교"/>
      <sheetName val="잡비"/>
      <sheetName val="45,46"/>
      <sheetName val="6호기"/>
      <sheetName val="소요자재"/>
      <sheetName val="SUMMARY"/>
      <sheetName val="PAINT"/>
      <sheetName val="소요자재명세서"/>
      <sheetName val="노무비명세서"/>
      <sheetName val="J直材4"/>
      <sheetName val="1.수인터널"/>
      <sheetName val="부대시설"/>
      <sheetName val="Apt내역"/>
      <sheetName val="EJ"/>
      <sheetName val="고효율 유도전동기 적용비율 계산서"/>
      <sheetName val="누락일위대가내역"/>
      <sheetName val="_x0000_"/>
      <sheetName val="골조시행"/>
      <sheetName val="구조물견적서"/>
      <sheetName val="기성내역"/>
      <sheetName val="표지 (2)"/>
      <sheetName val="도급FORM"/>
      <sheetName val="수량산출서"/>
      <sheetName val="설계예산서"/>
      <sheetName val="EACT10"/>
      <sheetName val="unit 4"/>
      <sheetName val="A LINE"/>
      <sheetName val="맨홀"/>
      <sheetName val="기초단가"/>
      <sheetName val="DATE"/>
      <sheetName val="와동25-3(변경)"/>
      <sheetName val="Total"/>
      <sheetName val="P.M 별"/>
      <sheetName val="일반공사"/>
      <sheetName val="갑지(추정)"/>
      <sheetName val="내역표지"/>
      <sheetName val="설직재-1"/>
      <sheetName val="산출내역서"/>
      <sheetName val="시운전연료"/>
      <sheetName val="유동표"/>
      <sheetName val="인건비"/>
      <sheetName val="간접비"/>
      <sheetName val="입찰안"/>
      <sheetName val="EKOG10건축"/>
      <sheetName val="SEV wiress4 Total"/>
      <sheetName val="SEV wireles 4  fire fighting "/>
      <sheetName val="1-2-1"/>
      <sheetName val="1-2-2"/>
      <sheetName val="1-2-3"/>
      <sheetName val="1-3-1"/>
      <sheetName val="1-3-2"/>
      <sheetName val="1-3-3"/>
      <sheetName val="1-3-4"/>
      <sheetName val="2-1"/>
      <sheetName val="2-2-1"/>
      <sheetName val="2-2-2"/>
      <sheetName val="3-1"/>
      <sheetName val="3-2"/>
      <sheetName val="4-1"/>
      <sheetName val="4-2"/>
      <sheetName val="SEV wireles 4  fire Alarm"/>
      <sheetName val="B.1-1"/>
      <sheetName val="B.1-2"/>
      <sheetName val="B.1-3"/>
      <sheetName val="B.1-4"/>
      <sheetName val="B.1-5"/>
      <sheetName val="B.1-6"/>
      <sheetName val="B.1-7"/>
      <sheetName val="B.2"/>
      <sheetName val="B.3"/>
      <sheetName val="B.4"/>
      <sheetName val="B.6-1"/>
      <sheetName val="B.6-2"/>
      <sheetName val="개산공사비"/>
      <sheetName val="세원견적서"/>
      <sheetName val="남대문빌딩"/>
      <sheetName val="수목표준대가"/>
      <sheetName val="hvac(제어동)"/>
      <sheetName val="기안"/>
      <sheetName val="대차대조-보고"/>
      <sheetName val="건축원가"/>
      <sheetName val="물량내역서"/>
      <sheetName val="4-10"/>
      <sheetName val="내역5"/>
      <sheetName val="15 문제점"/>
      <sheetName val="빈"/>
      <sheetName val="CTEMCOST"/>
      <sheetName val="대비표"/>
      <sheetName val="동별내역-3월5일"/>
      <sheetName val="노임"/>
      <sheetName val="자  재"/>
      <sheetName val="건축외주"/>
      <sheetName val="COL"/>
      <sheetName val="물량내역"/>
      <sheetName val="공통비총괄표"/>
      <sheetName val="시장성초안camera"/>
      <sheetName val="평형공사비"/>
      <sheetName val="본지사합"/>
      <sheetName val="ELECTRIC"/>
      <sheetName val="토목주소"/>
      <sheetName val="Mc1"/>
      <sheetName val="일위목록"/>
      <sheetName val="전기변내역"/>
      <sheetName val="실행철강하도"/>
      <sheetName val="신심사"/>
      <sheetName val="건축개요"/>
      <sheetName val="봉천제출"/>
      <sheetName val="SIL98"/>
      <sheetName val="마감사양"/>
      <sheetName val="금융"/>
      <sheetName val="산출-설비"/>
      <sheetName val="본선집계표"/>
      <sheetName val="안양1공구_건축"/>
      <sheetName val="WEIGHT LIST"/>
      <sheetName val="산#2-1 (2)"/>
      <sheetName val="3.건축(현장안)"/>
      <sheetName val="공통부대비"/>
      <sheetName val="작업지시서-1호"/>
      <sheetName val="BEND LOSS"/>
      <sheetName val="DAN"/>
      <sheetName val="백호우계수"/>
      <sheetName val="방수몰탈"/>
      <sheetName val="토건"/>
      <sheetName val="1차 내역서"/>
      <sheetName val="당사수지비교표"/>
      <sheetName val="조명시설"/>
      <sheetName val="CONCRETE"/>
      <sheetName val="저"/>
      <sheetName val="인천제철"/>
      <sheetName val="카렌스센터계량기설치공사"/>
      <sheetName val="교통대책내역"/>
      <sheetName val="품셈TABLE"/>
      <sheetName val="9811"/>
      <sheetName val="ABUT수량-A1"/>
      <sheetName val="조건표"/>
      <sheetName val="2.2.10.샤시등"/>
      <sheetName val="A3.공사비 검토"/>
      <sheetName val="C3.토목_옹벽"/>
      <sheetName val="A6.샤시등"/>
      <sheetName val="세금자료"/>
      <sheetName val="BSD _2_"/>
      <sheetName val="내역서-수정본"/>
      <sheetName val="내역서 (2)"/>
      <sheetName val="토공(우물통,기타) "/>
      <sheetName val="공조기(삭제)"/>
      <sheetName val="위치조서"/>
      <sheetName val="수리결과"/>
      <sheetName val="정화조동내역"/>
      <sheetName val="업체별기성내역"/>
      <sheetName val="주소"/>
      <sheetName val="7.수지"/>
      <sheetName val="물량표"/>
      <sheetName val="매각(6)"/>
      <sheetName val="TOWER 12TON"/>
      <sheetName val="JIB CRANE,HOIST"/>
      <sheetName val="TOWER 10TON"/>
      <sheetName val="원내역서3"/>
      <sheetName val="청천내"/>
      <sheetName val="기초일위"/>
      <sheetName val="시설일위"/>
      <sheetName val="조명일위"/>
      <sheetName val="sst,stl창호"/>
      <sheetName val="노무산출서"/>
      <sheetName val="금액내역서"/>
      <sheetName val="집행내역"/>
      <sheetName val="철콘(1차견적)"/>
      <sheetName val="가로등내역서"/>
      <sheetName val="화전내"/>
      <sheetName val="용연"/>
      <sheetName val="울산"/>
      <sheetName val="진천"/>
      <sheetName val="구미"/>
      <sheetName val="대구"/>
      <sheetName val="언양"/>
      <sheetName val="보할공정"/>
      <sheetName val="도급원가"/>
      <sheetName val="PI"/>
      <sheetName val="4-0.툫자_x0000__x0000_문)"/>
      <sheetName val="프랜트면허"/>
      <sheetName val="단가대비표"/>
      <sheetName val="일위대가목차"/>
      <sheetName val="2000.05"/>
      <sheetName val="아파트 "/>
      <sheetName val="BOX날개벽"/>
      <sheetName val="토목내역서 (도급단가)"/>
      <sheetName val="외주비"/>
      <sheetName val="BOQ"/>
      <sheetName val="노무비단가"/>
      <sheetName val="참고용"/>
      <sheetName val="참고용 (2)"/>
      <sheetName val="COMPARISON TABLE"/>
      <sheetName val="Eq. Mobilization"/>
      <sheetName val="콤보박스와 리스트박스의 연결"/>
      <sheetName val="교대일반수량총괄집계표"/>
      <sheetName val="영업소실적"/>
      <sheetName val="회사99"/>
      <sheetName val="업무분장"/>
      <sheetName val="99년하반기"/>
      <sheetName val="토목"/>
      <sheetName val="부표총괄"/>
      <sheetName val="간접비 총괄표"/>
      <sheetName val="상반기손익차2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 refreshError="1"/>
      <sheetData sheetId="367" refreshError="1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/>
      <sheetData sheetId="477" refreshError="1"/>
      <sheetData sheetId="478" refreshError="1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/>
      <sheetData sheetId="509" refreshError="1"/>
      <sheetData sheetId="510" refreshError="1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/>
      <sheetData sheetId="745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유림골조"/>
      <sheetName val="NEW비교"/>
      <sheetName val="의뢰"/>
      <sheetName val="견적조건"/>
      <sheetName val="품의서"/>
      <sheetName val="새공통(97년3월)"/>
      <sheetName val="건축"/>
      <sheetName val="24평(계단식-TOWER)"/>
      <sheetName val="24평(계단식)"/>
      <sheetName val="32평"/>
      <sheetName val="43평"/>
      <sheetName val="48평"/>
      <sheetName val="동DATA"/>
      <sheetName val="파일본수"/>
      <sheetName val="파일공사"/>
      <sheetName val="SERVICE"/>
      <sheetName val="부대건축"/>
      <sheetName val="전기"/>
      <sheetName val="설비"/>
      <sheetName val="토공사및 흙막이공사"/>
      <sheetName val="옥외"/>
      <sheetName val="물가상승1"/>
      <sheetName val="써100 (A4)"/>
      <sheetName val="제출표지"/>
      <sheetName val="건축(주상복합)"/>
      <sheetName val="옥외및기타"/>
      <sheetName val="파일공사(APT)"/>
      <sheetName val="파일공사(부대동)"/>
      <sheetName val="의뢰서"/>
      <sheetName val="공통비"/>
      <sheetName val="97 사업추정(WEKI)"/>
      <sheetName val="터파기및재료"/>
      <sheetName val="1차설계변경내역"/>
      <sheetName val="직노"/>
      <sheetName val="총괄"/>
      <sheetName val="당사수지비교표"/>
      <sheetName val="표지"/>
      <sheetName val="목차"/>
      <sheetName val="설계조건"/>
      <sheetName val="열관류율"/>
      <sheetName val="First"/>
      <sheetName val="Front"/>
      <sheetName val="wall"/>
      <sheetName val="집계표"/>
      <sheetName val="부하계산서"/>
      <sheetName val="F.C.U ZONE집계"/>
      <sheetName val="A.H.U ZONE별집계"/>
      <sheetName val="PAC 집계"/>
      <sheetName val="난방부하집계(청소년수련관)"/>
      <sheetName val="냉온수기"/>
      <sheetName val="보일러&amp;응축수탱크"/>
      <sheetName val="열교환기"/>
      <sheetName val="공조기선정"/>
      <sheetName val="공조기리턴휀"/>
      <sheetName val="FAN"/>
      <sheetName val="저수조(교육,사이버)"/>
      <sheetName val="저수조(청소년)"/>
      <sheetName val="급탕탱크"/>
      <sheetName val="급수펌프"/>
      <sheetName val="펌프"/>
      <sheetName val="1.가스소비량"/>
      <sheetName val="환산길이"/>
      <sheetName val="1-3.가스관경계산-1"/>
      <sheetName val="1-4.가스관경계산-2"/>
      <sheetName val="1-5.가스관경계산-3"/>
      <sheetName val="1-6.가스관경계산-4 "/>
      <sheetName val="1-7.가스관경계산-5"/>
      <sheetName val="1-7.가스차압산출"/>
      <sheetName val="form"/>
      <sheetName val="ZONE"/>
      <sheetName val="DATA"/>
      <sheetName val="주차장환기량"/>
      <sheetName val="송풍기272대형(지하2층)"/>
      <sheetName val="송풍기272대형(지하1층)"/>
      <sheetName val="송풍기268대형(지하1층)"/>
      <sheetName val="덕트 및 배기그릴선정"/>
      <sheetName val="1.견적서목록"/>
      <sheetName val="SF적재계산"/>
      <sheetName val="FAX1"/>
      <sheetName val="주소록"/>
      <sheetName val="Module1"/>
      <sheetName val="Module2"/>
      <sheetName val="MM"/>
      <sheetName val="견적표지"/>
      <sheetName val="견적서"/>
      <sheetName val="부하계산서 (영문)"/>
      <sheetName val="PEND-ITEM"/>
      <sheetName val="PEND-ITEM (2)"/>
      <sheetName val="PEND-99"/>
      <sheetName val="0000"/>
      <sheetName val="설계자료"/>
      <sheetName val="Sheet1"/>
      <sheetName val="Sheet3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6"/>
      <sheetName val="Sheet16"/>
      <sheetName val="VXXXXXX"/>
      <sheetName val="목록"/>
      <sheetName val="파일정리"/>
      <sheetName val="견적표지(종)"/>
      <sheetName val="견적표지 (횡)"/>
      <sheetName val="1"/>
      <sheetName val="화물선취"/>
      <sheetName val="부하집계표 (2안)"/>
      <sheetName val="부하계산서 "/>
      <sheetName val="동결부하계산서"/>
      <sheetName val="UNIT COOLER 선정표"/>
      <sheetName val="ACCUMULALOR (2안)"/>
      <sheetName val="동력집계표 (2안)"/>
      <sheetName val="cooling tower (2)"/>
      <sheetName val="cooling water pump"/>
      <sheetName val="DEFROEST PUMP"/>
      <sheetName val="기기선정표 (2안)"/>
      <sheetName val="부하집계표"/>
      <sheetName val="동력집계표"/>
      <sheetName val="ACCUMULALOR"/>
      <sheetName val="cooling tower"/>
      <sheetName val="기기선정표"/>
      <sheetName val="부하집계표 (2)"/>
      <sheetName val="부대시설"/>
      <sheetName val="Apt내역"/>
      <sheetName val="고분전시관"/>
      <sheetName val="남양시작동자105노65기1.3화1.2"/>
      <sheetName val="일위대가(가설)"/>
      <sheetName val="물가자료"/>
      <sheetName val="Y-WORK"/>
      <sheetName val="삭제금지단가"/>
      <sheetName val="교통대책내역"/>
      <sheetName val="일위대가"/>
      <sheetName val="도급FORM"/>
      <sheetName val="청산공사"/>
      <sheetName val="기성내역"/>
      <sheetName val="구조물견적서"/>
      <sheetName val="단가표"/>
      <sheetName val="Sheet4"/>
      <sheetName val="표지 (2)"/>
      <sheetName val="수량산출서"/>
      <sheetName val="Sheet2"/>
      <sheetName val="단중표"/>
      <sheetName val="금융비용"/>
      <sheetName val="건축공사실행"/>
      <sheetName val="기계설비"/>
      <sheetName val="을지"/>
      <sheetName val="SUMMARY"/>
      <sheetName val="PAINT"/>
      <sheetName val="설계예산서"/>
      <sheetName val="EACT10"/>
      <sheetName val="업체별기성내역"/>
      <sheetName val="맨홀"/>
      <sheetName val="7.수지"/>
      <sheetName val="2공구산출내역"/>
      <sheetName val="수량산출"/>
      <sheetName val="노임이"/>
      <sheetName val="unit 4"/>
      <sheetName val="내역"/>
      <sheetName val="동영견적(갑지)"/>
      <sheetName val="Sheet3-1"/>
      <sheetName val="물가자료비교"/>
      <sheetName val="3사단가비교"/>
      <sheetName val="대동"/>
      <sheetName val="성림"/>
      <sheetName val="금강"/>
      <sheetName val="#REF"/>
      <sheetName val="자재단가"/>
      <sheetName val="공조기"/>
      <sheetName val="공조기휀"/>
      <sheetName val="AHU집계"/>
      <sheetName val="ABUT수량-A1"/>
      <sheetName val="토목공사"/>
      <sheetName val="내역서"/>
      <sheetName val="골조시행"/>
      <sheetName val="손익차9월2"/>
      <sheetName val="카렌스센터계량기설치공사"/>
      <sheetName val="산출-설비"/>
      <sheetName val="안양1공구_건축"/>
      <sheetName val="본선집계표"/>
      <sheetName val="차액보증"/>
      <sheetName val="품셈TABLE"/>
      <sheetName val="매각(6)"/>
      <sheetName val="TOWER 12TON"/>
      <sheetName val="JIB CRANE,HOIST"/>
      <sheetName val="TOWER 10TON"/>
      <sheetName val="주소"/>
      <sheetName val="간접비"/>
      <sheetName val="원내역서3"/>
      <sheetName val="공통가설"/>
      <sheetName val="단가조사"/>
      <sheetName val="OCT.FDN"/>
      <sheetName val="WIND"/>
      <sheetName val="SEISMIC"/>
      <sheetName val="SIZE"/>
      <sheetName val="EXT.CHECK"/>
      <sheetName val="DESIGN"/>
      <sheetName val="Demolition(Total)"/>
      <sheetName val="D-147E"/>
      <sheetName val="D-126E"/>
      <sheetName val="V-128E"/>
      <sheetName val="FL-123E1"/>
      <sheetName val="D-120E"/>
      <sheetName val="D-131E"/>
      <sheetName val="T-127E1"/>
      <sheetName val="Trench1"/>
      <sheetName val="Trench2"/>
      <sheetName val="Trench3"/>
      <sheetName val="P-147E1"/>
      <sheetName val="P-124E"/>
      <sheetName val="P-127E1,E2 "/>
      <sheetName val="P-121E"/>
      <sheetName val="P-122E"/>
      <sheetName val="P-120E1,E2"/>
      <sheetName val="P-123E1,E2 "/>
      <sheetName val="P-128E "/>
      <sheetName val="와동25-3(변경)"/>
      <sheetName val="P.M 별"/>
      <sheetName val="소방"/>
      <sheetName val="단가비교표"/>
      <sheetName val="Total"/>
      <sheetName val="J直材4"/>
      <sheetName val="N賃率-職"/>
      <sheetName val="기초단가"/>
      <sheetName val="3.건축(현장안)"/>
      <sheetName val="돈암사업"/>
      <sheetName val="분양가"/>
      <sheetName val="방수몰탈"/>
      <sheetName val="토건"/>
      <sheetName val="1차 내역서"/>
      <sheetName val="일반공사"/>
      <sheetName val="내역표지"/>
      <sheetName val="Baby일위대가"/>
      <sheetName val="A LINE"/>
      <sheetName val="DATE"/>
      <sheetName val="WEIGHT LIST"/>
      <sheetName val="산#2-1 (2)"/>
      <sheetName val="노무산출서"/>
      <sheetName val="경산"/>
      <sheetName val="BEND LOSS"/>
      <sheetName val="수입"/>
      <sheetName val="작업지시서-1호"/>
      <sheetName val="노임단가"/>
      <sheetName val="DAN"/>
      <sheetName val="백호우계수"/>
      <sheetName val="sst,stl창호"/>
      <sheetName val="금액내역서"/>
      <sheetName val="집행내역"/>
      <sheetName val="PAC"/>
      <sheetName val="bid"/>
      <sheetName val="xxxxxx"/>
      <sheetName val="（２）"/>
      <sheetName val="（３） "/>
      <sheetName val="97년-98년"/>
      <sheetName val="Sheet5"/>
      <sheetName val="주간업무보고"/>
      <sheetName val="주간업무보고4월첫째"/>
      <sheetName val="부재중업무보고"/>
      <sheetName val="주간업무보고4월네째"/>
      <sheetName val="3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목차 (2)"/>
      <sheetName val="목차(1)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지침"/>
      <sheetName val="일정"/>
      <sheetName val="단위"/>
      <sheetName val="갱비산출근거"/>
      <sheetName val="양식목차"/>
      <sheetName val="1-1.손익(부문별)"/>
      <sheetName val="1-2.손익(월별)"/>
      <sheetName val="2-1.판관비(부문)"/>
      <sheetName val="2-2.판관비(월별)"/>
      <sheetName val="3-1.수익비용(부문별)"/>
      <sheetName val="3-2.수익비용(월별)"/>
      <sheetName val="4-1.투자(부문)"/>
      <sheetName val="4-2.투자(월별)"/>
      <sheetName val="5-1.인원(부문)"/>
      <sheetName val="5-2.인원(월별)"/>
      <sheetName val="6.산출근거"/>
      <sheetName val="7.현금흐름"/>
      <sheetName val="마케팅1"/>
      <sheetName val="마케팅1 (2)"/>
      <sheetName val="마케팅1 (3)"/>
      <sheetName val="마케팅1 (4)"/>
      <sheetName val="구판관비"/>
      <sheetName val="01 1담당매출계획27.8$"/>
      <sheetName val="01매출계획식자재"/>
      <sheetName val="01매출계획 선용품"/>
      <sheetName val="증감내역"/>
      <sheetName val="99~01년승선현황"/>
      <sheetName val="1월"/>
      <sheetName val="2월"/>
      <sheetName val="3월"/>
      <sheetName val="4월"/>
      <sheetName val="5월"/>
      <sheetName val="6월"/>
      <sheetName val="상반기"/>
      <sheetName val="7월"/>
      <sheetName val="9월"/>
      <sheetName val="8월"/>
      <sheetName val="10월"/>
      <sheetName val="11월"/>
      <sheetName val="12월"/>
      <sheetName val="하반기"/>
      <sheetName val="총계"/>
      <sheetName val="울산총계"/>
      <sheetName val="울산1월"/>
      <sheetName val="울산2월"/>
      <sheetName val="울산3월"/>
      <sheetName val="울산4월"/>
      <sheetName val="울산5월"/>
      <sheetName val="울산6월"/>
      <sheetName val="울산7월"/>
      <sheetName val="울산8월"/>
      <sheetName val="울산9월"/>
      <sheetName val="울산10월"/>
      <sheetName val="울산11월"/>
      <sheetName val="울산12월"/>
      <sheetName val="성남총계"/>
      <sheetName val="성남1월"/>
      <sheetName val="성남2월"/>
      <sheetName val="성남3월"/>
      <sheetName val="성남4월"/>
      <sheetName val="성남5월"/>
      <sheetName val="성남6월"/>
      <sheetName val="성남7월"/>
      <sheetName val="성남8월"/>
      <sheetName val="성남9월"/>
      <sheetName val="성남10월"/>
      <sheetName val="성남11월"/>
      <sheetName val="성남12월"/>
      <sheetName val="요약장"/>
      <sheetName val="부도어음수표"/>
      <sheetName val="악성채권"/>
      <sheetName val="작업전원본"/>
      <sheetName val="작업악성채권직원판매제외(거래선별종합)"/>
      <sheetName val="작업악성채권직원판매제외(거래선별) "/>
      <sheetName val="작업악성채권직원판매제외 (담당별종합)"/>
      <sheetName val="작업악성채권직원판매제외 (담당별)"/>
      <sheetName val="별첨1"/>
      <sheetName val="별첨2"/>
      <sheetName val="별첨3"/>
      <sheetName val="별첨4"/>
      <sheetName val="백1"/>
      <sheetName val="백2"/>
      <sheetName val="백3"/>
      <sheetName val="월별매출01"/>
      <sheetName val="식품"/>
      <sheetName val="포함"/>
      <sheetName val="울산점"/>
      <sheetName val="일반관리비"/>
      <sheetName val="카메라"/>
      <sheetName val="판촉비예산 "/>
      <sheetName val="전산투자예산"/>
      <sheetName val="인테리어.시설"/>
      <sheetName val="파 3층 특설 장치장식비"/>
      <sheetName val="갑"/>
      <sheetName val="2"/>
      <sheetName val="4"/>
      <sheetName val="5"/>
      <sheetName val="6"/>
      <sheetName val="7"/>
      <sheetName val="채권총괄표(H&amp;S집계)"/>
      <sheetName val="표지(03년11월)"/>
      <sheetName val="총괄 (03년11월)h&amp;s"/>
      <sheetName val="총괄 (03년11월)여행"/>
      <sheetName val="세부내용 (03년11월)여행"/>
      <sheetName val="개인 세부내용 (03년11월)여행"/>
      <sheetName val="서울일반상품"/>
      <sheetName val="서울상품권"/>
      <sheetName val="동구일반상품 "/>
      <sheetName val="동구미수금"/>
      <sheetName val="금강산"/>
      <sheetName val="임대"/>
      <sheetName val="본사"/>
      <sheetName val="ꀀ"/>
      <sheetName val="영업2파트"/>
      <sheetName val="영업활동현황"/>
      <sheetName val="성과보고표지"/>
      <sheetName val="성과보고양식"/>
      <sheetName val="가로등내역서"/>
      <sheetName val="화전내"/>
      <sheetName val="시장성초안camera"/>
      <sheetName val="용연"/>
      <sheetName val="울산"/>
      <sheetName val="진천"/>
      <sheetName val="구미"/>
      <sheetName val="대구"/>
      <sheetName val="언양"/>
      <sheetName val="토목주소"/>
      <sheetName val="프랜트면허"/>
      <sheetName val="철콘(1차견적)"/>
      <sheetName val="조명시설"/>
      <sheetName val="을"/>
      <sheetName val="조건표"/>
      <sheetName val="2.2.10.샤시등"/>
      <sheetName val="A3.공사비 검토"/>
      <sheetName val="C3.토목_옹벽"/>
      <sheetName val="A6.샤시등"/>
      <sheetName val="공사개요"/>
      <sheetName val="보할공정"/>
      <sheetName val="물량내역"/>
      <sheetName val="부대공"/>
      <sheetName val="포장공"/>
      <sheetName val="토공"/>
      <sheetName val="청천내"/>
      <sheetName val="ELECTRIC"/>
      <sheetName val="base"/>
      <sheetName val="빙설"/>
      <sheetName val="첨부1-1"/>
      <sheetName val="토공(우물통,기타) "/>
      <sheetName val="개산공사비"/>
      <sheetName val="기안"/>
      <sheetName val="5사남"/>
      <sheetName val="TRE TABLE"/>
      <sheetName val="관람석제출"/>
      <sheetName val="압력시험보고서"/>
      <sheetName val="배관설치최종점검기록서"/>
      <sheetName val="PUNCH LIST"/>
      <sheetName val="WELDING JOINT INSPECTION STATUS"/>
      <sheetName val="명판"/>
      <sheetName val="업무"/>
      <sheetName val="입력"/>
      <sheetName val="PE거푸집(1.2)"/>
      <sheetName val="APT"/>
      <sheetName val="부속동"/>
      <sheetName val="현관"/>
      <sheetName val="충주내역"/>
      <sheetName val="CONCRETE"/>
      <sheetName val="평형공사비"/>
      <sheetName val="수목표준대가"/>
      <sheetName val="기초일위"/>
      <sheetName val="시설일위"/>
      <sheetName val="조명일위"/>
      <sheetName val="공조기(삭제)"/>
      <sheetName val="건축원가"/>
      <sheetName val="아파트 "/>
      <sheetName val="지수"/>
      <sheetName val="실행철강하도"/>
      <sheetName val="물량표"/>
      <sheetName val="내역서2안"/>
      <sheetName val="BOX날개벽"/>
      <sheetName val="사업부배부A"/>
      <sheetName val="저"/>
      <sheetName val="인천제철"/>
      <sheetName val="공통부대비"/>
      <sheetName val="9811"/>
      <sheetName val="공통비총괄표"/>
      <sheetName val="위치조서"/>
      <sheetName val="수리결과"/>
      <sheetName val="정화조동내역"/>
      <sheetName val="세금자료"/>
      <sheetName val="BSD _2_"/>
      <sheetName val="노임"/>
      <sheetName val="내역서-수정본"/>
      <sheetName val="내역서 (2)"/>
      <sheetName val="건물개요"/>
      <sheetName val="내역서 (3)"/>
      <sheetName val="내역서2"/>
      <sheetName val="내역서 (4)"/>
      <sheetName val="단가입력"/>
      <sheetName val="잡자재비"/>
      <sheetName val="공구손료"/>
      <sheetName val="인건비산출"/>
      <sheetName val="정릉견산출"/>
      <sheetName val="상도동견산출"/>
      <sheetName val="상도갑지"/>
      <sheetName val="도급원가"/>
      <sheetName val="소요자재명세서"/>
      <sheetName val="노무비명세서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중방향비율"/>
      <sheetName val="골격"/>
      <sheetName val="가로교통량"/>
      <sheetName val="현황(무신호)"/>
      <sheetName val="미시(휴일-무신호)"/>
      <sheetName val="시행(휴일-무신호)"/>
      <sheetName val="현황-2차로분석)"/>
      <sheetName val="미시(휴일-2차로분석)"/>
      <sheetName val="시행(휴일-2차로분석)"/>
      <sheetName val="외주비"/>
      <sheetName val="BOQ"/>
      <sheetName val="노무비단가"/>
      <sheetName val="토목내역서 (도급단가)"/>
      <sheetName val="위생-sa"/>
      <sheetName val="자단"/>
      <sheetName val="인공산출"/>
      <sheetName val="단락전류-A"/>
      <sheetName val="철거산출근거"/>
      <sheetName val="Macro1"/>
      <sheetName val="2000년 공정표"/>
      <sheetName val="대비"/>
      <sheetName val="설계내역서"/>
      <sheetName val="전선 및 전선관"/>
      <sheetName val="A조"/>
      <sheetName val="충주"/>
      <sheetName val="PI"/>
      <sheetName val="교대일반수량"/>
      <sheetName val="콤보박스와 리스트박스의 연결"/>
      <sheetName val="교대일반수량총괄집계표"/>
      <sheetName val="0.갑지"/>
      <sheetName val="1.공통가설공사"/>
      <sheetName val="2.토목공사"/>
      <sheetName val="3.건축공사"/>
      <sheetName val="4.설비공사"/>
      <sheetName val="5.전기공사"/>
      <sheetName val="7.안전관리비"/>
      <sheetName val="8.현장관리비"/>
      <sheetName val="인원투입 계획표"/>
      <sheetName val="공사계약현황(공통가설공사)"/>
      <sheetName val="공사계약현황(토목)"/>
      <sheetName val="공사계약현황(건축)"/>
      <sheetName val="공사계약현황 (기계설비))"/>
      <sheetName val="공사계약현황 (전기)"/>
      <sheetName val="원본"/>
      <sheetName val="입찰안"/>
      <sheetName val="일위대가(계측기설치)"/>
      <sheetName val="일위_파일"/>
      <sheetName val="기둥(원형)"/>
      <sheetName val="기초공"/>
      <sheetName val="EJ"/>
      <sheetName val="갑지(추정)"/>
      <sheetName val="데리네이타현황"/>
      <sheetName val="수지예산"/>
      <sheetName val="남양주댠가표"/>
      <sheetName val="비교1"/>
      <sheetName val="200"/>
      <sheetName val="4-0.툫자_x0000__x0000_문)"/>
      <sheetName val="일위대가목차"/>
      <sheetName val="2000.05"/>
      <sheetName val="토공사및_흙막이공사"/>
      <sheetName val="써100_(A4)"/>
      <sheetName val="97_사업추정(WEKI)"/>
      <sheetName val="남양시작동자105노65기1_3화1_2"/>
      <sheetName val="7_수지"/>
      <sheetName val="F_C_U_ZONE집계"/>
      <sheetName val="A_H_U_ZONE별집계"/>
      <sheetName val="PAC_집계"/>
      <sheetName val="1_가스소비량"/>
      <sheetName val="1-3_가스관경계산-1"/>
      <sheetName val="1-4_가스관경계산-2"/>
      <sheetName val="1-5_가스관경계산-3"/>
      <sheetName val="1-6_가스관경계산-4_"/>
      <sheetName val="1-7_가스관경계산-5"/>
      <sheetName val="1-7_가스차압산출"/>
      <sheetName val="덕트_및_배기그릴선정"/>
      <sheetName val="1_견적서목록"/>
      <sheetName val="부하계산서_(영문)"/>
      <sheetName val="PEND-ITEM_(2)"/>
      <sheetName val="견적표지_(횡)"/>
      <sheetName val="부하집계표_(2안)"/>
      <sheetName val="부하계산서_"/>
      <sheetName val="UNIT_COOLER_선정표"/>
      <sheetName val="ACCUMULALOR_(2안)"/>
      <sheetName val="동력집계표_(2안)"/>
      <sheetName val="cooling_tower_(2)"/>
      <sheetName val="cooling_water_pump"/>
      <sheetName val="DEFROEST_PUMP"/>
      <sheetName val="기기선정표_(2안)"/>
      <sheetName val="cooling_tower"/>
      <sheetName val="부하집계표_(2)"/>
      <sheetName val="unit_4"/>
      <sheetName val="표지_(2)"/>
      <sheetName val="TOWER_12TON"/>
      <sheetName val="JIB_CRANE,HOIST"/>
      <sheetName val="TOWER_10TON"/>
      <sheetName val="P_M_별"/>
      <sheetName val="OCT_FDN"/>
      <sheetName val="EXT_CHECK"/>
      <sheetName val="P-127E1,E2_"/>
      <sheetName val="P-123E1,E2_"/>
      <sheetName val="P-128E_"/>
      <sheetName val="3_건축(현장안)"/>
      <sheetName val="BEND_LOSS"/>
      <sheetName val="1차_내역서"/>
      <sheetName val="A_LINE"/>
      <sheetName val="WEIGHT_LIST"/>
      <sheetName val="산#2-1_(2)"/>
      <sheetName val="（３）_"/>
      <sheetName val="목차_(2)"/>
      <sheetName val="1-1_손익(부문별)"/>
      <sheetName val="1-2_손익(월별)"/>
      <sheetName val="2-1_판관비(부문)"/>
      <sheetName val="2-2_판관비(월별)"/>
      <sheetName val="3-1_수익비용(부문별)"/>
      <sheetName val="3-2_수익비용(월별)"/>
      <sheetName val="4-1_투자(부문)"/>
      <sheetName val="4-2_투자(월별)"/>
      <sheetName val="5-1_인원(부문)"/>
      <sheetName val="5-2_인원(월별)"/>
      <sheetName val="6_산출근거"/>
      <sheetName val="7_현금흐름"/>
      <sheetName val="마케팅1_(2)"/>
      <sheetName val="마케팅1_(3)"/>
      <sheetName val="마케팅1_(4)"/>
      <sheetName val="01_1담당매출계획27_8$"/>
      <sheetName val="01매출계획_선용품"/>
      <sheetName val="작업악성채권직원판매제외(거래선별)_"/>
      <sheetName val="작업악성채권직원판매제외_(담당별종합)"/>
      <sheetName val="작업악성채권직원판매제외_(담당별)"/>
      <sheetName val="판촉비예산_"/>
      <sheetName val="인테리어_시설"/>
      <sheetName val="파_3층_특설_장치장식비"/>
      <sheetName val="총괄_(03년11월)h&amp;s"/>
      <sheetName val="총괄_(03년11월)여행"/>
      <sheetName val="세부내용_(03년11월)여행"/>
      <sheetName val="개인_세부내용_(03년11월)여행"/>
      <sheetName val="동구일반상품_"/>
      <sheetName val="2_2_10_샤시등"/>
      <sheetName val="A3_공사비_검토"/>
      <sheetName val="C3_토목_옹벽"/>
      <sheetName val="A6_샤시등"/>
      <sheetName val="토공(우물통,기타)_"/>
      <sheetName val="TRE_TABLE"/>
      <sheetName val="PUNCH_LIST"/>
      <sheetName val="WELDING_JOINT_INSPECTION_STATUS"/>
      <sheetName val="PE거푸집(1_2)"/>
      <sheetName val="아파트_"/>
      <sheetName val="BSD__2_"/>
      <sheetName val="내역서_(2)"/>
      <sheetName val="내역서_(3)"/>
      <sheetName val="내역서_(4)"/>
      <sheetName val="구리토평1전기"/>
      <sheetName val="교대(A1)"/>
      <sheetName val="통합"/>
      <sheetName val="45,46"/>
      <sheetName val="스낵물량"/>
      <sheetName val="캔개발배경"/>
      <sheetName val="시장"/>
      <sheetName val="일정표"/>
      <sheetName val="04부품"/>
      <sheetName val="일용노임단가"/>
      <sheetName val="공통비(전체)"/>
      <sheetName val="토목"/>
      <sheetName val="총물량"/>
      <sheetName val="입찰"/>
      <sheetName val="현경"/>
      <sheetName val="소요자재"/>
      <sheetName val="최종견"/>
      <sheetName val="공통가설공사"/>
      <sheetName val="공문"/>
      <sheetName val="RE9604"/>
      <sheetName val="일반사항(1,2면)"/>
      <sheetName val="의무사항(3면)"/>
      <sheetName val="에너지성능지표검토서(건축)"/>
      <sheetName val="에너지성능지표검토서(기계, 전기, 신재생)"/>
      <sheetName val="단가산출"/>
      <sheetName val="관류율"/>
      <sheetName val="g"/>
      <sheetName val="h"/>
      <sheetName val="c"/>
      <sheetName val="d"/>
      <sheetName val="e"/>
      <sheetName val="f"/>
      <sheetName val="난방집계"/>
      <sheetName val="난방입상"/>
      <sheetName val="난방횡주"/>
      <sheetName val="급수입상"/>
      <sheetName val="급수횡주"/>
      <sheetName val="급탕입상"/>
      <sheetName val="급탕횡주"/>
      <sheetName val="배수입상 "/>
      <sheetName val="배수횡주"/>
      <sheetName val="오수횡주"/>
      <sheetName val="99년신청"/>
      <sheetName val="LEGEND"/>
      <sheetName val="cover"/>
      <sheetName val="1장 "/>
      <sheetName val="1.개요 "/>
      <sheetName val="2.조건 "/>
      <sheetName val="3.공식붙임"/>
      <sheetName val="2장"/>
      <sheetName val="냉난방"/>
      <sheetName val="3장"/>
      <sheetName val="열원장비"/>
      <sheetName val="4장 "/>
      <sheetName val="1.AHU "/>
      <sheetName val="2.AHU-1"/>
      <sheetName val="2.FAN"/>
      <sheetName val="환기량"/>
      <sheetName val="5장"/>
      <sheetName val="1.급탕"/>
      <sheetName val="6장 별첨"/>
      <sheetName val="외기조건"/>
      <sheetName val="면적&amp;재실인원"/>
      <sheetName val="냉방부하"/>
      <sheetName val="AHU-1"/>
      <sheetName val="AHU-2"/>
      <sheetName val="AHU-3"/>
      <sheetName val="AHU-4"/>
      <sheetName val="AHU-5"/>
      <sheetName val="AHU-6"/>
      <sheetName val="설계개요"/>
      <sheetName val="기초입력"/>
      <sheetName val="추정공사비계산"/>
      <sheetName val="추정공사비 산출결과"/>
      <sheetName val="데이터"/>
      <sheetName val="급수공과금양식"/>
      <sheetName val="21"/>
      <sheetName val="22"/>
      <sheetName val="손익(총괄)"/>
      <sheetName val="월별손익(총괄)"/>
      <sheetName val="월별손익(아케이드)"/>
      <sheetName val="월별손익(온정각)"/>
      <sheetName val="월별손익(용역) "/>
      <sheetName val="판관(총괄)"/>
      <sheetName val="월별판관(총괄)"/>
      <sheetName val="판관(아케이드)"/>
      <sheetName val="월별판관(아케이드)"/>
      <sheetName val="판관(온정각)"/>
      <sheetName val="월별판관(온정각)"/>
      <sheetName val="판관(용역)"/>
      <sheetName val="월별판관(용역)"/>
      <sheetName val="26"/>
      <sheetName val="1-1.손익(온정각)"/>
      <sheetName val="1-1.손익(관광식당)"/>
      <sheetName val="1-1.손익(직원식당)"/>
      <sheetName val="1-2.월별손익(온정각)"/>
      <sheetName val="1-2.월별손익(관광식당)"/>
      <sheetName val="1-2.월별손익(직원식당)"/>
      <sheetName val="2-1.판관비(지원)"/>
      <sheetName val="2-1.판관비(관광)"/>
      <sheetName val="2-1.판관비(직원) "/>
      <sheetName val="소모품내역"/>
      <sheetName val="직원사급품"/>
      <sheetName val="합산손익"/>
      <sheetName val="인원,매출기준"/>
      <sheetName val="2-1.판관비(온정각)"/>
      <sheetName val="2-2.월별판관비(온정각)"/>
      <sheetName val="2-2.월별판관비(지원)"/>
      <sheetName val="2-2.월별판관비(직원)"/>
      <sheetName val="2-2.월별판관비(휴게소)"/>
      <sheetName val="2-2.월별판관비(스넥코너)"/>
      <sheetName val="2-2.월별판관비(음료코너)"/>
      <sheetName val="2-2.월별판관비(온천장)"/>
      <sheetName val="5-1.인원(온정각)"/>
      <sheetName val="23"/>
      <sheetName val="24"/>
      <sheetName val="25"/>
      <sheetName val="27"/>
      <sheetName val="28"/>
      <sheetName val="29"/>
      <sheetName val="30"/>
      <sheetName val="인원계획"/>
      <sheetName val="99년누계 (월별)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참조1"/>
      <sheetName val="참조2"/>
      <sheetName val="2월15일"/>
      <sheetName val="아산공문"/>
      <sheetName val="매출현황"/>
      <sheetName val="총괄현황"/>
      <sheetName val="골프스포츠"/>
      <sheetName val="전계가"/>
      <sheetName val="갑지"/>
      <sheetName val="고효율 유도전동기 적용비율 계산서"/>
      <sheetName val="누락일위대가내역"/>
      <sheetName val="구조     ."/>
      <sheetName val="메인거더-크로스빔200연결부"/>
      <sheetName val="배수공"/>
      <sheetName val="깨기수량"/>
      <sheetName val="배수입상_"/>
      <sheetName val="토목내역서_(도급단가)"/>
      <sheetName val="1장_"/>
      <sheetName val="1_개요_"/>
      <sheetName val="2_조건_"/>
      <sheetName val="3_공식붙임"/>
      <sheetName val="4장_"/>
      <sheetName val="1_AHU_"/>
      <sheetName val="2_AHU-1"/>
      <sheetName val="2_FAN"/>
      <sheetName val="1_급탕"/>
      <sheetName val="6장_별첨"/>
      <sheetName val="전선_및_전선관"/>
      <sheetName val="추정공사비_산출결과"/>
      <sheetName val="에너지성능지표검토서(기계,_전기,_신재생)"/>
      <sheetName val="월별손익(용역)_"/>
      <sheetName val="1-1_손익(온정각)"/>
      <sheetName val="1-1_손익(관광식당)"/>
      <sheetName val="1-1_손익(직원식당)"/>
      <sheetName val="1-2_월별손익(온정각)"/>
      <sheetName val="1-2_월별손익(관광식당)"/>
      <sheetName val="1-2_월별손익(직원식당)"/>
      <sheetName val="2-1_판관비(지원)"/>
      <sheetName val="2-1_판관비(관광)"/>
      <sheetName val="2-1_판관비(직원)_"/>
      <sheetName val="2-1_판관비(온정각)"/>
      <sheetName val="2-2_월별판관비(온정각)"/>
      <sheetName val="2-2_월별판관비(지원)"/>
      <sheetName val="2-2_월별판관비(직원)"/>
      <sheetName val="2-2_월별판관비(휴게소)"/>
      <sheetName val="2-2_월별판관비(스넥코너)"/>
      <sheetName val="2-2_월별판관비(음료코너)"/>
      <sheetName val="2-2_월별판관비(온천장)"/>
      <sheetName val="5-1_인원(온정각)"/>
      <sheetName val="99년누계_(월별)"/>
      <sheetName val="고효율_유도전동기_적용비율_계산서"/>
      <sheetName val="정산서 "/>
      <sheetName val="DB"/>
      <sheetName val="(첨부3)급탕,온수시방"/>
      <sheetName val="(첨부3)냉수,냉온수보온시방"/>
      <sheetName val="(첨부3)냉매보온"/>
      <sheetName val="잡비"/>
      <sheetName val="6호기"/>
      <sheetName val="단가대비표"/>
      <sheetName val="공사예산하조서(O.K)"/>
      <sheetName val="참고용"/>
      <sheetName val="참고용 (2)"/>
      <sheetName val="COMPARISON TABLE"/>
      <sheetName val="Eq. Mobilization"/>
      <sheetName val="_x0000_"/>
      <sheetName val="VXXXXXXX"/>
      <sheetName val="지사인원"/>
      <sheetName val="SIL98"/>
      <sheetName val="영업소실적"/>
      <sheetName val="간접비 총괄표"/>
      <sheetName val="상반기손익차2총괄"/>
      <sheetName val="업무분장"/>
      <sheetName val="회사99"/>
      <sheetName val="구의33고"/>
      <sheetName val="건축실행  (5)"/>
      <sheetName val="단가"/>
      <sheetName val="데이타"/>
      <sheetName val="전체"/>
      <sheetName val="1.수인터널"/>
      <sheetName val="노임조서"/>
      <sheetName val="_x000f__x0000_"/>
      <sheetName val="출장거리"/>
      <sheetName val="총괄장"/>
      <sheetName val="의류패션팀"/>
      <sheetName val="잡화가용팀"/>
      <sheetName val="판매기획팀"/>
      <sheetName val="식품팀"/>
      <sheetName val="과투입사유서"/>
      <sheetName val="공사현황"/>
      <sheetName val="갑지 (2)"/>
      <sheetName val="비목별 투자 집계"/>
      <sheetName val="목차2"/>
      <sheetName val="미불금"/>
      <sheetName val="상용인건비"/>
      <sheetName val="노무비집계"/>
      <sheetName val="보인"/>
      <sheetName val="목공(직영)"/>
      <sheetName val="측구목공(외주)"/>
      <sheetName val="목공교량외주"/>
      <sheetName val="철근교량외주"/>
      <sheetName val="조원공(외주)"/>
      <sheetName val="기성검사원"/>
      <sheetName val="외주집계"/>
      <sheetName val="모작기성"/>
      <sheetName val="수량집계표"/>
      <sheetName val="장비사용집계표"/>
      <sheetName val="장비사용내역"/>
      <sheetName val="자재집계표"/>
      <sheetName val="자재비내역 "/>
      <sheetName val="잡자재집계표"/>
      <sheetName val="잡자재비내역"/>
      <sheetName val="유류비집계표"/>
      <sheetName val="유대공제분산출내역"/>
      <sheetName val="유류사용내역서(관문)"/>
      <sheetName val="유류사용내역서(진성)"/>
      <sheetName val="기타유류내역"/>
      <sheetName val="운반비"/>
      <sheetName val="운반비 내역"/>
      <sheetName val="수선수리비집계표"/>
      <sheetName val="수선수리비내역"/>
      <sheetName val="소모공구비"/>
      <sheetName val="소모공구내역"/>
      <sheetName val="사무 용품비"/>
      <sheetName val="사무용품내역서"/>
      <sheetName val="안전관리비집계표"/>
      <sheetName val="안전관리비내역"/>
      <sheetName val="현장경비"/>
      <sheetName val="현장경비내역"/>
      <sheetName val="전기통신비"/>
      <sheetName val="지대 및 집세"/>
      <sheetName val="감가상각명세서"/>
      <sheetName val="전도금정산서"/>
      <sheetName val="복후집계표"/>
      <sheetName val="복리후생비내역"/>
      <sheetName val="식대내역집계표"/>
      <sheetName val="식대청구서"/>
      <sheetName val="애산리식당"/>
      <sheetName val="식대관문"/>
      <sheetName val="신흥상회"/>
      <sheetName val="임금계좌내역"/>
      <sheetName val="계산서발행내역"/>
      <sheetName val="갑지 2 (2)"/>
      <sheetName val="갑지 2"/>
      <sheetName val="공정보고서"/>
      <sheetName val="기계설비-내역서"/>
      <sheetName val="역T형옹벽(3.0)"/>
      <sheetName val="1.설계조건"/>
      <sheetName val="연결관암거"/>
      <sheetName val="갑지1"/>
      <sheetName val="세원견적서"/>
      <sheetName val="남대문빌딩"/>
      <sheetName val="냉천부속동"/>
      <sheetName val="hvac(제어동)"/>
      <sheetName val="참조"/>
      <sheetName val="단"/>
      <sheetName val="적용률"/>
      <sheetName val="노무비"/>
      <sheetName val="예산명세서"/>
      <sheetName val="설계명세서"/>
      <sheetName val="자료입력"/>
      <sheetName val="2.냉난방설비공사"/>
      <sheetName val="7.자동제어공사"/>
      <sheetName val="1.설계기준"/>
      <sheetName val="별제권_정리담보권1"/>
      <sheetName val="IMP(MAIN)"/>
      <sheetName val="IMP (REACTOR)"/>
      <sheetName val="건축기술부대조건"/>
      <sheetName val="플랜트 설치"/>
      <sheetName val="기초부하"/>
      <sheetName val="C.배수관공"/>
      <sheetName val="수목데이타 "/>
      <sheetName val="기흥하도용"/>
      <sheetName val="일위목록"/>
      <sheetName val="요율"/>
      <sheetName val="효율비교"/>
      <sheetName val="ITEM"/>
      <sheetName val="5.공종별예산내역서"/>
      <sheetName val="대비표"/>
      <sheetName val="동별내역-3월5일"/>
      <sheetName val="증감내역서"/>
      <sheetName val="총괄표"/>
      <sheetName val="간접"/>
      <sheetName val="부대내역"/>
      <sheetName val="CTEMCOST"/>
      <sheetName val="하도내역 (철콘)"/>
      <sheetName val="anaysis_sheet"/>
      <sheetName val="비용master"/>
      <sheetName val="6공구(당초)"/>
      <sheetName val="설계명세"/>
      <sheetName val="C급보 "/>
      <sheetName val="wage Cal"/>
      <sheetName val="암거"/>
      <sheetName val="99년하반기"/>
      <sheetName val="단가비교"/>
      <sheetName val="재정비직인"/>
      <sheetName val="재정비내역"/>
      <sheetName val="지적고시내역"/>
      <sheetName val="6PILE  (돌출)"/>
      <sheetName val="수량산출서 갑지"/>
      <sheetName val="일반전기C"/>
      <sheetName val="EQT-ESTN"/>
      <sheetName val="겉표지"/>
      <sheetName val="원가"/>
      <sheetName val="노임근거"/>
      <sheetName val="일대목차"/>
      <sheetName val="합산자재"/>
      <sheetName val="옵션"/>
      <sheetName val="사용설명"/>
      <sheetName val="Mech CIF"/>
      <sheetName val="WORK"/>
      <sheetName val="설계기준"/>
      <sheetName val="내역1"/>
      <sheetName val="양수장(기계)"/>
      <sheetName val="당사"/>
      <sheetName val="일단의 주택지"/>
      <sheetName val="아파트건축"/>
      <sheetName val="DATA1"/>
      <sheetName val="시설국장자료"/>
      <sheetName val="조건"/>
      <sheetName val="흙깎기(도로부)"/>
      <sheetName val="관리,부대비"/>
      <sheetName val="제경비율"/>
      <sheetName val="대차대조표"/>
      <sheetName val="큐비&amp;pnl_견적비교"/>
      <sheetName val="등_견적비교"/>
      <sheetName val="서울통신"/>
      <sheetName val="실행(1)"/>
      <sheetName val="1.취수장"/>
      <sheetName val="3.고급화검토"/>
      <sheetName val="입면고급화단가표"/>
      <sheetName val="2.공사비 검토"/>
      <sheetName val="1.CB"/>
      <sheetName val="1.CB (2)"/>
      <sheetName val="1.CB (3)"/>
      <sheetName val="TEST"/>
      <sheetName val="합계"/>
      <sheetName val="수식"/>
      <sheetName val="외화"/>
      <sheetName val="도입"/>
      <sheetName val="정액"/>
      <sheetName val="변수"/>
      <sheetName val="정율"/>
      <sheetName val="외산지수"/>
      <sheetName val="환율(설치)"/>
      <sheetName val="환산율"/>
      <sheetName val="국내지수"/>
      <sheetName val="현장관리비데이타"/>
      <sheetName val="회사정보"/>
      <sheetName val="단가산출서"/>
      <sheetName val="합계잔액시산표"/>
      <sheetName val="비교대차대조표"/>
      <sheetName val="비교손익계산서 "/>
      <sheetName val="결손금처리계산서"/>
      <sheetName val="현금흐름표정산표"/>
      <sheetName val="현금흐름표"/>
      <sheetName val="현금흐름표_명세"/>
      <sheetName val="0312대차대조표"/>
      <sheetName val="(기준서반영)0312손익계산서"/>
      <sheetName val="상품"/>
      <sheetName val="매장상품"/>
      <sheetName val="외상매입금"/>
      <sheetName val="매출원가"/>
      <sheetName val="2003.12"/>
      <sheetName val="2002.12"/>
      <sheetName val="대차대조표_보고"/>
      <sheetName val="손익계산서_보고"/>
      <sheetName val="요약대차당해년"/>
      <sheetName val="요약대차대조표"/>
      <sheetName val="년도별손익계산서"/>
      <sheetName val="년도별대차대조표"/>
      <sheetName val="주요계정명세서_보고"/>
      <sheetName val="결산공고용"/>
      <sheetName val="영업.일1"/>
      <sheetName val="SEV wiress4 Total"/>
      <sheetName val="SEV wireles 4  fire fighting "/>
      <sheetName val="1-2-1"/>
      <sheetName val="1-2-2"/>
      <sheetName val="1-2-3"/>
      <sheetName val="1-3-1"/>
      <sheetName val="1-3-2"/>
      <sheetName val="1-3-3"/>
      <sheetName val="1-3-4"/>
      <sheetName val="2-1"/>
      <sheetName val="2-2-1"/>
      <sheetName val="2-2-2"/>
      <sheetName val="3-1"/>
      <sheetName val="3-2"/>
      <sheetName val="4-1"/>
      <sheetName val="4-2"/>
      <sheetName val="SEV wireles 4  fire Alarm"/>
      <sheetName val="B.1-1"/>
      <sheetName val="B.1-2"/>
      <sheetName val="B.1-3"/>
      <sheetName val="B.1-4"/>
      <sheetName val="B.1-5"/>
      <sheetName val="B.1-6"/>
      <sheetName val="B.1-7"/>
      <sheetName val="B.2"/>
      <sheetName val="B.3"/>
      <sheetName val="B.4"/>
      <sheetName val="B.6-1"/>
      <sheetName val="B.6-2"/>
      <sheetName val="각형덕트"/>
      <sheetName val="터미널측정기록"/>
      <sheetName val="시운전연료"/>
      <sheetName val="7.경제성결과"/>
      <sheetName val="DATA(BAC)"/>
      <sheetName val="S&amp;R"/>
      <sheetName val="인원계획-미화"/>
      <sheetName val="b_balju-단가단가단가"/>
      <sheetName val="적정심사"/>
      <sheetName val="설비2차"/>
      <sheetName val="설계예시"/>
      <sheetName val="일위대가표"/>
      <sheetName val="마감사양"/>
      <sheetName val="금융"/>
      <sheetName val="봉천제출"/>
      <sheetName val="시설물기초"/>
      <sheetName val="2000년1차"/>
      <sheetName val="분당임차변경"/>
      <sheetName val="유림콘도"/>
      <sheetName val="건축내역"/>
      <sheetName val="2.대외공문"/>
      <sheetName val="물건조서"/>
      <sheetName val="유림총괄"/>
      <sheetName val="대차대조-보고"/>
      <sheetName val="주관사업"/>
      <sheetName val="1차배부(JB포함)"/>
      <sheetName val="단위세대 개요"/>
      <sheetName val="도급"/>
      <sheetName val="CON'C"/>
      <sheetName val="도급내역서"/>
      <sheetName val="49-119"/>
      <sheetName val="신공덕"/>
      <sheetName val="총괄집계표"/>
      <sheetName val="1.구리중 (제조사A)"/>
      <sheetName val="1.구리중 (제조사B)"/>
      <sheetName val="1.구리중 (제조사C)"/>
      <sheetName val="2.토평초(제조사A)"/>
      <sheetName val="2.토평초(제조사B)"/>
      <sheetName val="2.토평초(제조사C)"/>
      <sheetName val="3.평내초(제조사A)"/>
      <sheetName val="3.평내초(제조사B)"/>
      <sheetName val="3.평내초(제조사C)"/>
      <sheetName val="전체(삼성모델)"/>
      <sheetName val="전체(케리어모델)"/>
      <sheetName val="MDF"/>
      <sheetName val="실외기 배관트레이"/>
      <sheetName val="중앙콘트롤러설치용전선 "/>
      <sheetName val="자재단가표"/>
      <sheetName val="실내기전원"/>
      <sheetName val="부표총괄"/>
      <sheetName val="단위내역목록"/>
      <sheetName val="설비내역서"/>
      <sheetName val="전기내역서"/>
      <sheetName val="건축내역서"/>
      <sheetName val="신공"/>
      <sheetName val="2호맨홀공제수량"/>
      <sheetName val="9GNG운반"/>
      <sheetName val="템플릿"/>
      <sheetName val="choose"/>
      <sheetName val="기준"/>
      <sheetName val="WORKER"/>
      <sheetName val="관세,통관수수료,운반비"/>
      <sheetName val="INPUT"/>
      <sheetName val="유동표"/>
      <sheetName val="인건비"/>
      <sheetName val="을 1"/>
      <sheetName val="을 2"/>
      <sheetName val="ilch"/>
      <sheetName val="1안"/>
      <sheetName val="일위대가(1)"/>
      <sheetName val="IN2"/>
      <sheetName val="대비표(토공1안)"/>
      <sheetName val="정부노임단가"/>
      <sheetName val="별표"/>
      <sheetName val="인건-측정"/>
      <sheetName val="매립"/>
      <sheetName val="예가표"/>
      <sheetName val="GATE_RFID_설치운영"/>
      <sheetName val="음료실행"/>
      <sheetName val="공틀공사"/>
      <sheetName val="단가 "/>
      <sheetName val="인건비 "/>
      <sheetName val="2. 공원조도"/>
      <sheetName val="01"/>
      <sheetName val="현장관리비"/>
      <sheetName val="장비비"/>
      <sheetName val="BSD (2)"/>
      <sheetName val="E총"/>
      <sheetName val="EKOG10건축"/>
      <sheetName val="토공정보"/>
      <sheetName val="기성내역서"/>
      <sheetName val="보온자재단가표"/>
      <sheetName val="CB"/>
      <sheetName val="BM"/>
      <sheetName val="부재리스트"/>
      <sheetName val="설직재-1"/>
      <sheetName val="산출내역서"/>
      <sheetName val="사업성"/>
      <sheetName val="대여현황"/>
      <sheetName val="금액순"/>
      <sheetName val="안산기계장치"/>
      <sheetName val="부산제일극장"/>
      <sheetName val="익산"/>
      <sheetName val="자재표"/>
      <sheetName val="일위(PN)"/>
      <sheetName val="4-0.툫자"/>
      <sheetName val="토목내역 (2)"/>
      <sheetName val="SG"/>
      <sheetName val="선수금,기성"/>
      <sheetName val="가격조사서"/>
      <sheetName val="설계"/>
      <sheetName val="기본자료"/>
      <sheetName val="토목단가"/>
      <sheetName val="본실행경비"/>
      <sheetName val="FAB별"/>
      <sheetName val="실행내역 "/>
      <sheetName val="공내역"/>
      <sheetName val="설 계"/>
      <sheetName val="새공통"/>
      <sheetName val="입출재고현황 (2)"/>
      <sheetName val="금호"/>
      <sheetName val="4-3 보온 기본물량집계"/>
      <sheetName val="XZLC004_PART2"/>
      <sheetName val="현장지지물물량"/>
      <sheetName val="경상비내역"/>
      <sheetName val="도시가스현황"/>
      <sheetName val="할증 "/>
      <sheetName val="매각대상"/>
      <sheetName val="승용C.S"/>
      <sheetName val="상용C.S"/>
      <sheetName val="내역(가지)"/>
      <sheetName val="1공구산출내역서"/>
      <sheetName val="1.우편집중내역서"/>
      <sheetName val="기계경비(시간당)"/>
      <sheetName val="램머"/>
      <sheetName val="TYPE-A"/>
      <sheetName val="XZLC003_PART1"/>
      <sheetName val="환율change"/>
      <sheetName val="_x0000__x0008__x0000_ꪀᗈ_x0000_"/>
      <sheetName val="가계약현황"/>
      <sheetName val="정계약 현황"/>
      <sheetName val="동호수배치도"/>
      <sheetName val="계약서불출대장"/>
      <sheetName val="우편수령"/>
      <sheetName val="계약해지"/>
      <sheetName val="환경기계공정표 (3)"/>
      <sheetName val="수배전반 을지"/>
      <sheetName val="실행예산"/>
      <sheetName val="대,유,램"/>
      <sheetName val="횡배수관집현황(2공구)"/>
      <sheetName val="일위대가(건축)"/>
      <sheetName val="기안지"/>
      <sheetName val="1.집계표"/>
      <sheetName val="2.공통가설공사"/>
      <sheetName val="4.기계설비공사"/>
      <sheetName val="7. 안전관리비"/>
      <sheetName val="인원투입계획"/>
      <sheetName val="총괄계약금액"/>
      <sheetName val="계약현황"/>
      <sheetName val="식대 숙직비"/>
      <sheetName val="패널"/>
      <sheetName val="일위대가_가설_"/>
      <sheetName val="손익분석"/>
      <sheetName val="공사비예산서(토목분)"/>
      <sheetName val="Hidden"/>
      <sheetName val="70%"/>
      <sheetName val="b_yesan"/>
      <sheetName val="Sheet1 (2)"/>
      <sheetName val="콘크리트"/>
      <sheetName val="시멘골재"/>
      <sheetName val="철근"/>
      <sheetName val="주요자재"/>
      <sheetName val="골재"/>
      <sheetName val="강재2"/>
      <sheetName val="XL4Poppy"/>
      <sheetName val="지급자재"/>
      <sheetName val="공사비총괄표"/>
      <sheetName val="중기사용료"/>
      <sheetName val="노임명세"/>
      <sheetName val="99노임기준"/>
      <sheetName val="계측기"/>
      <sheetName val="기본사항"/>
      <sheetName val="소야공정계획표"/>
      <sheetName val="기타수량"/>
      <sheetName val="DATA 입력란"/>
      <sheetName val="1. 설계조건 2.단면가정 3. 하중계산"/>
      <sheetName val="수량"/>
      <sheetName val="토공수량산출"/>
      <sheetName val="토적계산서"/>
      <sheetName val="공제구간조서"/>
      <sheetName val="3련 BOX"/>
      <sheetName val="공종"/>
      <sheetName val="---제2오수펌프장"/>
      <sheetName val="예산"/>
      <sheetName val="청하배수"/>
      <sheetName val="단가보완"/>
      <sheetName val="단위가격"/>
      <sheetName val="SR97-1"/>
      <sheetName val="1SGATE97"/>
      <sheetName val="가공비"/>
      <sheetName val="하수실행"/>
      <sheetName val="골재수량"/>
      <sheetName val="토공집계"/>
      <sheetName val="토공유동표"/>
      <sheetName val="토공계산서"/>
      <sheetName val="포장수량집계"/>
      <sheetName val="본선포장수량"/>
      <sheetName val="토적표"/>
      <sheetName val="배수공수집"/>
      <sheetName val="접도구역경계표주현황"/>
      <sheetName val="가도공"/>
      <sheetName val="본지사합"/>
      <sheetName val="일반수량"/>
      <sheetName val="공사"/>
      <sheetName val="용산1(해보)"/>
      <sheetName val="간지"/>
      <sheetName val="1.설계조건 "/>
      <sheetName val="설계기준설명 "/>
      <sheetName val="2.단면가정 (BASE)"/>
      <sheetName val="3.하중및토압 (고정)"/>
      <sheetName val="4.작용하중(고정)"/>
      <sheetName val="5.안정검토(고정)(풍화암)"/>
      <sheetName val="6.벽체계산"/>
      <sheetName val="7.흉벽계산(ASCON)"/>
      <sheetName val="8.FOOTING"/>
      <sheetName val="9.날개벽"/>
      <sheetName val="10.교좌받침"/>
      <sheetName val="11.접속슬라브(ASCON)"/>
      <sheetName val="주철근조립도"/>
      <sheetName val="기계공사내역"/>
      <sheetName val="특기사항"/>
      <sheetName val="수도메타"/>
      <sheetName val="수도FAX"/>
      <sheetName val="사코FAX"/>
      <sheetName val="사코"/>
      <sheetName val="H-Pile공"/>
      <sheetName val="설계내역2"/>
      <sheetName val="전체도급"/>
      <sheetName val="골조"/>
      <sheetName val="EQUIPMENT -2"/>
      <sheetName val="도기류"/>
      <sheetName val="프린트 (3)"/>
      <sheetName val="측면지"/>
      <sheetName val="뒷표지"/>
      <sheetName val="앞표지"/>
      <sheetName val="제출문"/>
      <sheetName val="간지-2"/>
      <sheetName val="결과1"/>
      <sheetName val="결과2"/>
      <sheetName val="결과3"/>
      <sheetName val="결과4"/>
      <sheetName val="결과5"/>
      <sheetName val="결과6"/>
      <sheetName val="간지-2 (2)"/>
      <sheetName val=" 1. 개요"/>
      <sheetName val=" 2. 난방설비"/>
      <sheetName val="열관류율 계산서"/>
      <sheetName val="84A"/>
      <sheetName val="84B"/>
      <sheetName val="84C"/>
      <sheetName val="101A"/>
      <sheetName val="101B"/>
      <sheetName val="101C"/>
      <sheetName val="난방부하집계"/>
      <sheetName val="2.3 세대별난방부하집계"/>
      <sheetName val="덕전리"/>
      <sheetName val="변압기L"/>
      <sheetName val="변압기E"/>
      <sheetName val="GEN "/>
      <sheetName val="세대"/>
      <sheetName val="L"/>
      <sheetName val="P"/>
      <sheetName val="LE"/>
      <sheetName val="주차장"/>
      <sheetName val="동력"/>
      <sheetName val="전압강하"/>
      <sheetName val="접지"/>
      <sheetName val="밧데리및정류기"/>
      <sheetName val="조도"/>
      <sheetName val="TRAY"/>
      <sheetName val="단락용량"/>
      <sheetName val="1동"/>
      <sheetName val="2동"/>
      <sheetName val="3동"/>
      <sheetName val="4동"/>
      <sheetName val="5동"/>
      <sheetName val="전화"/>
      <sheetName val="방송"/>
      <sheetName val="식재일위대가"/>
      <sheetName val="J형측구단위수량"/>
      <sheetName val="본사공가현황"/>
      <sheetName val="암거날개벽재료집계"/>
      <sheetName val="예총"/>
      <sheetName val="건   축"/>
      <sheetName val="아파트"/>
      <sheetName val="crude.SLAB RE-bar"/>
      <sheetName val="건축외주"/>
      <sheetName val="자  재"/>
      <sheetName val="동관마찰손실표"/>
      <sheetName val="원가계산"/>
      <sheetName val="12.17"/>
      <sheetName val="공조실11"/>
      <sheetName val="가스공사 "/>
      <sheetName val="공조실12"/>
      <sheetName val="매출"/>
      <sheetName val="자료"/>
      <sheetName val="Macro3"/>
      <sheetName val="하자보증"/>
      <sheetName val="개인DATA"/>
      <sheetName val="도급견적가"/>
      <sheetName val="1차3회-개소별명세서-빨간색-인쇄용(21873)"/>
      <sheetName val="VXXXXX"/>
      <sheetName val="견적서(방진)"/>
      <sheetName val="견적서(내진)-ULFM"/>
      <sheetName val="내진스토퍼-앙카체결"/>
      <sheetName val="신단가"/>
      <sheetName val="신단가 (내진설치비)"/>
      <sheetName val="PO-MAT견적(철근)"/>
      <sheetName val="PO-MAT견적(와이어메쉬)"/>
      <sheetName val="JACK-UP"/>
      <sheetName val="보일러 선정"/>
      <sheetName val="84A (2)"/>
      <sheetName val="84B (2)"/>
      <sheetName val="84C (2)"/>
      <sheetName val="101A (2)"/>
      <sheetName val="101B (2)"/>
      <sheetName val="101C (2)"/>
      <sheetName val="난방부하집계 (2)"/>
      <sheetName val="2.3 세대별난방부하집계 (2)"/>
      <sheetName val="보일러 선정 (2)"/>
      <sheetName val="4.급수설비"/>
      <sheetName val="4.2 급수입상배관"/>
      <sheetName val="4.3 급수횡주관"/>
      <sheetName val="5.1 열교환기"/>
      <sheetName val="식재인부"/>
      <sheetName val="D-3109"/>
      <sheetName val="점수계산1-2"/>
      <sheetName val="EQUIP-H"/>
      <sheetName val="가설대가"/>
      <sheetName val="토공대가"/>
      <sheetName val="구조대가"/>
      <sheetName val="포설대가1"/>
      <sheetName val="부대대가"/>
      <sheetName val="기자재비"/>
      <sheetName val="토목검측서"/>
      <sheetName val="①매출"/>
      <sheetName val="1~5월"/>
      <sheetName val="내역서1999.8최종"/>
      <sheetName val="2차공사"/>
      <sheetName val="JUCK"/>
      <sheetName val="48평형"/>
      <sheetName val="62평형"/>
      <sheetName val="9,10월신제품 (2)"/>
      <sheetName val="기준9801"/>
      <sheetName val="비교9701"/>
      <sheetName val="0"/>
      <sheetName val="당년실적"/>
      <sheetName val="제품손익"/>
      <sheetName val="선택"/>
      <sheetName val="제조원가피벗"/>
      <sheetName val="위탁현황"/>
      <sheetName val="2001"/>
      <sheetName val="1999"/>
      <sheetName val="2000"/>
      <sheetName val="99차량"/>
      <sheetName val="피벗전체"/>
      <sheetName val="수출포함"/>
      <sheetName val="주간계획"/>
      <sheetName val="기초"/>
      <sheetName val="97손익"/>
      <sheetName val="98손익"/>
      <sheetName val="3부손익당월"/>
      <sheetName val="당년사별실적"/>
      <sheetName val="확약서"/>
      <sheetName val="기본DATA"/>
      <sheetName val="BOJUNGGM"/>
      <sheetName val="수량산출근거(본선)"/>
      <sheetName val="도근좌표"/>
      <sheetName val="201801"/>
      <sheetName val="201802"/>
      <sheetName val="201803"/>
      <sheetName val="201804"/>
      <sheetName val="201805"/>
      <sheetName val="201806"/>
      <sheetName val="201807"/>
      <sheetName val="201808"/>
      <sheetName val="anti-termite"/>
      <sheetName val="시추주상도"/>
      <sheetName val="ISO"/>
      <sheetName val="Sheet2 (2)"/>
      <sheetName val="LG제품"/>
      <sheetName val="성단물량"/>
      <sheetName val="COL"/>
      <sheetName val="단가조사서"/>
      <sheetName val="8.PILE  (돌출)"/>
      <sheetName val="건축원가계산서"/>
      <sheetName val="총투자비"/>
      <sheetName val="요약&amp;결과"/>
      <sheetName val="BS"/>
      <sheetName val="총사업비"/>
      <sheetName val="오피스매각가"/>
      <sheetName val="집 계 표"/>
      <sheetName val="대비내역(총괄)"/>
      <sheetName val="수목데이타"/>
      <sheetName val="빈"/>
      <sheetName val="15 문제점"/>
      <sheetName val="장비경비"/>
      <sheetName val="음성방향"/>
      <sheetName val="급수"/>
      <sheetName val="급탕"/>
      <sheetName val="시수"/>
      <sheetName val="급탕(순간식)"/>
      <sheetName val="4.3. 급수펌프선정"/>
      <sheetName val="4.3.2.급탕순환펌프"/>
      <sheetName val="4.3.3. 배수펌프"/>
      <sheetName val="4.4. 전기온수기"/>
      <sheetName val="4.5. 보일러"/>
      <sheetName val="4.4. 급탕탱크"/>
      <sheetName val="우수설계조건"/>
      <sheetName val="계통도"/>
      <sheetName val="설계계산서"/>
      <sheetName val="4.6. 급탕탱크"/>
      <sheetName val="---환기"/>
      <sheetName val="실별환기량산출"/>
      <sheetName val="노면표시수량집계"/>
      <sheetName val="마루67OB"/>
      <sheetName val="마루67OA"/>
      <sheetName val="마루52A"/>
      <sheetName val="마루45A"/>
      <sheetName val="마루42A"/>
      <sheetName val="평형별 세대수"/>
      <sheetName val="Direct MP Updated"/>
      <sheetName val="Title"/>
      <sheetName val="Load-Ut"/>
      <sheetName val="Load-Sum"/>
      <sheetName val="RM-Load0"/>
      <sheetName val="RM-Load1"/>
      <sheetName val="RM-Load2"/>
      <sheetName val="rm_data"/>
      <sheetName val="TE-Load"/>
      <sheetName val="FCU-Sel"/>
      <sheetName val="BL-Sum"/>
      <sheetName val="BL-Eq"/>
      <sheetName val="ZN-Sum"/>
      <sheetName val="1.공사개요(입력)"/>
      <sheetName val="LEGEND i"/>
      <sheetName val="마감"/>
      <sheetName val="기초데이타"/>
      <sheetName val="BOX구조해석 설명서"/>
      <sheetName val="단면가정"/>
      <sheetName val="좌표단면SPRING"/>
      <sheetName val="하중산정"/>
      <sheetName val="하중조합"/>
      <sheetName val="OUTPUT"/>
      <sheetName val="부재력요약"/>
      <sheetName val="철근량 검토"/>
      <sheetName val="우각부검토"/>
      <sheetName val="안정성검토"/>
      <sheetName val="철근배근"/>
      <sheetName val="96노임기준"/>
      <sheetName val="우배수"/>
      <sheetName val="6. 안전관리비"/>
      <sheetName val="5. 현장관리비(new) "/>
      <sheetName val="양지교"/>
      <sheetName val="내역서적용수량"/>
      <sheetName val="Bag Filter Sizing"/>
      <sheetName val="OHU"/>
      <sheetName val="서산일위대가수정분010603"/>
      <sheetName val="전화.인터넷(현장)"/>
      <sheetName val="텔레캅(현장)"/>
      <sheetName val="3.0냉난방열원집계"/>
      <sheetName val="4.1AHU"/>
      <sheetName val="4.3 공기압축기"/>
      <sheetName val="4.7 전기라디에타 "/>
      <sheetName val="4.9 AC "/>
      <sheetName val="4.11 FAN"/>
      <sheetName val="4.12 TANK 4.13 탈취기"/>
      <sheetName val="4.14 PUMP"/>
      <sheetName val="5.위생설비"/>
      <sheetName val="단가입耉"/>
      <sheetName val="22수량"/>
      <sheetName val="경영상태"/>
      <sheetName val="본체"/>
      <sheetName val="NH"/>
      <sheetName val="실행간접비용"/>
      <sheetName val="준검 내역서"/>
      <sheetName val="기술조건"/>
      <sheetName val="1.내역(청.하역장전등)"/>
      <sheetName val="기계"/>
      <sheetName val="정화조"/>
      <sheetName val="조경"/>
      <sheetName val="입찰견적보고서"/>
      <sheetName val="교각1"/>
      <sheetName val="결과보고서"/>
      <sheetName val="G.R300경비"/>
      <sheetName val="????"/>
      <sheetName val="전력"/>
      <sheetName val="납부서"/>
      <sheetName val="Construction"/>
      <sheetName val="1.기계 납품 진행  현황"/>
      <sheetName val="2.협력업체 담당자 및 연락처"/>
      <sheetName val="프로젝트내용"/>
      <sheetName val="부대tu"/>
      <sheetName val="시설물"/>
      <sheetName val="파주 운정지구 A8블럭"/>
      <sheetName val="총 원가계산"/>
      <sheetName val="보차도경계석"/>
      <sheetName val="항목(1)"/>
      <sheetName val="BOOK4"/>
      <sheetName val="연부97-1"/>
      <sheetName val="5월 평균일수"/>
      <sheetName val="전기변내역"/>
      <sheetName val="개요"/>
      <sheetName val="A-4"/>
      <sheetName val="일위"/>
      <sheetName val="골조공사(아파트)"/>
      <sheetName val="실제업로드시트"/>
      <sheetName val="비목코드"/>
      <sheetName val="외화단가"/>
      <sheetName val="여부구분"/>
      <sheetName val="레미콘구분"/>
      <sheetName val="대표공종2"/>
      <sheetName val="토공수량"/>
      <sheetName val=" 총괄표"/>
      <sheetName val="블럭 손익"/>
      <sheetName val="증감대비"/>
      <sheetName val="3BL공동구 수량"/>
      <sheetName val="말뚝지지력산정"/>
      <sheetName val="공구"/>
      <sheetName val="guard(mac)"/>
      <sheetName val="tggwan(mac)"/>
      <sheetName val="woo(mac)"/>
      <sheetName val="토공사및_흙막이공사1"/>
      <sheetName val="써100_(A4)1"/>
      <sheetName val="남양시작동자105노65기1_3화1_21"/>
      <sheetName val="97_사업추정(WEKI)1"/>
      <sheetName val="표지_(2)1"/>
      <sheetName val="F_C_U_ZONE집계1"/>
      <sheetName val="A_H_U_ZONE별집계1"/>
      <sheetName val="PAC_집계1"/>
      <sheetName val="1_가스소비량1"/>
      <sheetName val="1-3_가스관경계산-11"/>
      <sheetName val="1-4_가스관경계산-21"/>
      <sheetName val="1-5_가스관경계산-31"/>
      <sheetName val="1-6_가스관경계산-4_1"/>
      <sheetName val="1-7_가스관경계산-51"/>
      <sheetName val="1-7_가스차압산출1"/>
      <sheetName val="덕트_및_배기그릴선정1"/>
      <sheetName val="OCT_FDN1"/>
      <sheetName val="EXT_CHECK1"/>
      <sheetName val="P-127E1,E2_1"/>
      <sheetName val="P-123E1,E2_1"/>
      <sheetName val="P-128E_1"/>
      <sheetName val="1_견적서목록1"/>
      <sheetName val="부하계산서_(영문)1"/>
      <sheetName val="PEND-ITEM_(2)1"/>
      <sheetName val="견적표지_(횡)1"/>
      <sheetName val="부하집계표_(2안)1"/>
      <sheetName val="부하계산서_1"/>
      <sheetName val="UNIT_COOLER_선정표1"/>
      <sheetName val="ACCUMULALOR_(2안)1"/>
      <sheetName val="동력집계표_(2안)1"/>
      <sheetName val="cooling_tower_(2)1"/>
      <sheetName val="cooling_water_pump1"/>
      <sheetName val="DEFROEST_PUMP1"/>
      <sheetName val="기기선정표_(2안)1"/>
      <sheetName val="cooling_tower1"/>
      <sheetName val="부하집계표_(2)1"/>
      <sheetName val="7_수지1"/>
      <sheetName val="unit_41"/>
      <sheetName val="WEIGHT_LIST1"/>
      <sheetName val="산#2-1_(2)1"/>
      <sheetName val="BEND_LOSS1"/>
      <sheetName val="P_M_별1"/>
      <sheetName val="TOWER_12TON1"/>
      <sheetName val="JIB_CRANE,HOIST1"/>
      <sheetName val="TOWER_10TON1"/>
      <sheetName val="3_건축(현장안)1"/>
      <sheetName val="1차_내역서1"/>
      <sheetName val="A_LINE1"/>
      <sheetName val="2_2_10_샤시등1"/>
      <sheetName val="A3_공사비_검토1"/>
      <sheetName val="C3_토목_옹벽1"/>
      <sheetName val="A6_샤시등1"/>
      <sheetName val="PE거푸집(1_2)1"/>
      <sheetName val="（３）_1"/>
      <sheetName val="목차_(2)1"/>
      <sheetName val="1-1_손익(부문별)1"/>
      <sheetName val="1-2_손익(월별)1"/>
      <sheetName val="2-1_판관비(부문)1"/>
      <sheetName val="2-2_판관비(월별)1"/>
      <sheetName val="3-1_수익비용(부문별)1"/>
      <sheetName val="3-2_수익비용(월별)1"/>
      <sheetName val="4-1_투자(부문)1"/>
      <sheetName val="4-2_투자(월별)1"/>
      <sheetName val="5-1_인원(부문)1"/>
      <sheetName val="5-2_인원(월별)1"/>
      <sheetName val="6_산출근거1"/>
      <sheetName val="7_현금흐름1"/>
      <sheetName val="마케팅1_(2)1"/>
      <sheetName val="마케팅1_(3)1"/>
      <sheetName val="마케팅1_(4)1"/>
      <sheetName val="01_1담당매출계획27_8$1"/>
      <sheetName val="01매출계획_선용품1"/>
      <sheetName val="작업악성채권직원판매제외(거래선별)_1"/>
      <sheetName val="작업악성채권직원판매제외_(담당별종합)1"/>
      <sheetName val="작업악성채권직원판매제외_(담당별)1"/>
      <sheetName val="판촉비예산_1"/>
      <sheetName val="인테리어_시설1"/>
      <sheetName val="파_3층_특설_장치장식비1"/>
      <sheetName val="총괄_(03년11월)h&amp;s1"/>
      <sheetName val="총괄_(03년11월)여행1"/>
      <sheetName val="세부내용_(03년11월)여행1"/>
      <sheetName val="개인_세부내용_(03년11월)여행1"/>
      <sheetName val="동구일반상품_1"/>
      <sheetName val="TRE_TABLE1"/>
      <sheetName val="아파트_1"/>
      <sheetName val="토공(우물통,기타)_1"/>
      <sheetName val="BSD__2_1"/>
      <sheetName val="내역서_(2)1"/>
      <sheetName val="내역서_(3)1"/>
      <sheetName val="내역서_(4)1"/>
      <sheetName val="PUNCH_LIST1"/>
      <sheetName val="WELDING_JOINT_INSPECTION_STATU1"/>
      <sheetName val="토목내역서_(도급단가)1"/>
      <sheetName val="구조______"/>
      <sheetName val="전선_및_전선관1"/>
      <sheetName val="2000년_공정표"/>
      <sheetName val="배수입상_1"/>
      <sheetName val="플랜트_설치"/>
      <sheetName val="에너지성능지표검토서(기계,_전기,_신재생)1"/>
      <sheetName val="1_수인터널"/>
      <sheetName val="갑지_(2)"/>
      <sheetName val="비목별_투자_집계"/>
      <sheetName val="자재비내역_"/>
      <sheetName val="운반비_내역"/>
      <sheetName val="사무_용품비"/>
      <sheetName val="지대_및_집세"/>
      <sheetName val="갑지_2_(2)"/>
      <sheetName val="갑지_2"/>
      <sheetName val="IMP_(REACTOR)"/>
      <sheetName val="1장_1"/>
      <sheetName val="1_개요_1"/>
      <sheetName val="2_조건_1"/>
      <sheetName val="3_공식붙임1"/>
      <sheetName val="4장_1"/>
      <sheetName val="1_AHU_1"/>
      <sheetName val="2_AHU-11"/>
      <sheetName val="2_FAN1"/>
      <sheetName val="1_급탕1"/>
      <sheetName val="6장_별첨1"/>
      <sheetName val="추정공사비_산출결과1"/>
      <sheetName val="월별손익(용역)_1"/>
      <sheetName val="1-1_손익(온정각)1"/>
      <sheetName val="1-1_손익(관광식당)1"/>
      <sheetName val="1-1_손익(직원식당)1"/>
      <sheetName val="1-2_월별손익(온정각)1"/>
      <sheetName val="1-2_월별손익(관광식당)1"/>
      <sheetName val="1-2_월별손익(직원식당)1"/>
      <sheetName val="2-1_판관비(지원)1"/>
      <sheetName val="2-1_판관비(관광)1"/>
      <sheetName val="2-1_판관비(직원)_1"/>
      <sheetName val="2-1_판관비(온정각)1"/>
      <sheetName val="2-2_월별판관비(온정각)1"/>
      <sheetName val="2-2_월별판관비(지원)1"/>
      <sheetName val="2-2_월별판관비(직원)1"/>
      <sheetName val="2-2_월별판관비(휴게소)1"/>
      <sheetName val="2-2_월별판관비(스넥코너)1"/>
      <sheetName val="2-2_월별판관비(음료코너)1"/>
      <sheetName val="2-2_월별판관비(온천장)1"/>
      <sheetName val="5-1_인원(온정각)1"/>
      <sheetName val="99년누계_(월별)1"/>
      <sheetName val="콤보박스와_리스트박스의_연결"/>
      <sheetName val="0_갑지"/>
      <sheetName val="1_공통가설공사"/>
      <sheetName val="2_토목공사"/>
      <sheetName val="3_건축공사"/>
      <sheetName val="4_설비공사"/>
      <sheetName val="5_전기공사"/>
      <sheetName val="7_안전관리비"/>
      <sheetName val="8_현장관리비"/>
      <sheetName val="인원투입_계획표"/>
      <sheetName val="공사계약현황_(기계설비))"/>
      <sheetName val="공사계약현황_(전기)"/>
      <sheetName val="4-0_툫자문)"/>
      <sheetName val="2000_05"/>
      <sheetName val="1_설계조건"/>
      <sheetName val="고효율_유도전동기_적용비율_계산서1"/>
      <sheetName val="정산서_"/>
      <sheetName val="1_설계기준"/>
      <sheetName val="공사예산하조서(O_K)"/>
      <sheetName val="역T형옹벽(3_0)"/>
      <sheetName val="2_냉난방설비공사"/>
      <sheetName val="7_자동제어공사"/>
      <sheetName val="C_배수관공"/>
      <sheetName val="수목데이타_"/>
      <sheetName val="건축실행__(5)"/>
      <sheetName val="5_공종별예산내역서"/>
      <sheetName val="참고용_(2)"/>
      <sheetName val="COMPARISON_TABLE"/>
      <sheetName val="Eq__Mobilization"/>
      <sheetName val="간접비_총괄표"/>
      <sheetName val="3_고급화검토"/>
      <sheetName val="2_공사비_검토"/>
      <sheetName val="단가_"/>
      <sheetName val="6PILE__(돌출)"/>
      <sheetName val="하도내역_(철콘)"/>
      <sheetName val="1_취수장"/>
      <sheetName val="1_CB"/>
      <sheetName val="1_CB_(2)"/>
      <sheetName val="1_CB_(3)"/>
      <sheetName val="C급보_"/>
      <sheetName val="wage_Cal"/>
      <sheetName val="수량산출서_갑지"/>
      <sheetName val="Mech_CIF"/>
      <sheetName val="일단의_주택지"/>
      <sheetName val="비교손익계산서_"/>
      <sheetName val="2003_12"/>
      <sheetName val="2002_12"/>
      <sheetName val="영업_일1"/>
      <sheetName val="SEV_wiress4_Total"/>
      <sheetName val="SEV_wireles_4__fire_fighting_"/>
      <sheetName val="SEV_wireles_4__fire_Alarm"/>
      <sheetName val="B_1-1"/>
      <sheetName val="B_1-2"/>
      <sheetName val="B_1-3"/>
      <sheetName val="B_1-4"/>
      <sheetName val="B_1-5"/>
      <sheetName val="B_1-6"/>
      <sheetName val="B_1-7"/>
      <sheetName val="B_2"/>
      <sheetName val="B_3"/>
      <sheetName val="B_4"/>
      <sheetName val="B_6-1"/>
      <sheetName val="B_6-2"/>
      <sheetName val="7_경제성결과"/>
      <sheetName val="환경기계공정표_(3)"/>
      <sheetName val="실행내역_"/>
      <sheetName val="설_계"/>
      <sheetName val="입출재고현황_(2)"/>
      <sheetName val="4-3_보온_기본물량집계"/>
      <sheetName val="Sheet1_(2)"/>
      <sheetName val="인건비_"/>
      <sheetName val="2__공원조도"/>
      <sheetName val="4-0_툫자"/>
      <sheetName val="단위세대_개요"/>
      <sheetName val="2_대외공문"/>
      <sheetName val="1_구리중_(제조사A)"/>
      <sheetName val="1_구리중_(제조사B)"/>
      <sheetName val="1_구리중_(제조사C)"/>
      <sheetName val="2_토평초(제조사A)"/>
      <sheetName val="2_토평초(제조사B)"/>
      <sheetName val="2_토평초(제조사C)"/>
      <sheetName val="3_평내초(제조사A)"/>
      <sheetName val="3_평내초(제조사B)"/>
      <sheetName val="3_평내초(제조사C)"/>
      <sheetName val="실외기_배관트레이"/>
      <sheetName val="중앙콘트롤러설치용전선_"/>
      <sheetName val="1_집계표"/>
      <sheetName val="2_공통가설공사"/>
      <sheetName val="4_기계설비공사"/>
      <sheetName val="7__안전관리비"/>
      <sheetName val="식대_숙직비"/>
      <sheetName val="토목내역_(2)"/>
      <sheetName val="BSD_(2)"/>
      <sheetName val="을_1"/>
      <sheetName val="을_2"/>
      <sheetName val="내역서(삼호)"/>
      <sheetName val="경비"/>
      <sheetName val="철근(전기호)"/>
      <sheetName val="토공사및_흙막이공사2"/>
      <sheetName val="써100_(A4)2"/>
      <sheetName val="남양시작동자105노65기1_3화1_22"/>
      <sheetName val="F_C_U_ZONE집계2"/>
      <sheetName val="A_H_U_ZONE별집계2"/>
      <sheetName val="PAC_집계2"/>
      <sheetName val="1_가스소비량2"/>
      <sheetName val="1-3_가스관경계산-12"/>
      <sheetName val="1-4_가스관경계산-22"/>
      <sheetName val="1-5_가스관경계산-32"/>
      <sheetName val="1-6_가스관경계산-4_2"/>
      <sheetName val="1-7_가스관경계산-52"/>
      <sheetName val="1-7_가스차압산출2"/>
      <sheetName val="덕트_및_배기그릴선정2"/>
      <sheetName val="1_견적서목록2"/>
      <sheetName val="부하계산서_(영문)2"/>
      <sheetName val="PEND-ITEM_(2)2"/>
      <sheetName val="견적표지_(횡)2"/>
      <sheetName val="부하집계표_(2안)2"/>
      <sheetName val="부하계산서_2"/>
      <sheetName val="UNIT_COOLER_선정표2"/>
      <sheetName val="ACCUMULALOR_(2안)2"/>
      <sheetName val="동력집계표_(2안)2"/>
      <sheetName val="cooling_tower_(2)2"/>
      <sheetName val="cooling_water_pump2"/>
      <sheetName val="DEFROEST_PUMP2"/>
      <sheetName val="기기선정표_(2안)2"/>
      <sheetName val="cooling_tower2"/>
      <sheetName val="부하집계표_(2)2"/>
      <sheetName val="OCT_FDN2"/>
      <sheetName val="EXT_CHECK2"/>
      <sheetName val="P-127E1,E2_2"/>
      <sheetName val="P-123E1,E2_2"/>
      <sheetName val="P-128E_2"/>
      <sheetName val="97_사업추정(WEKI)2"/>
      <sheetName val="TRE_TABLE2"/>
      <sheetName val="표지_(2)2"/>
      <sheetName val="WEIGHT_LIST2"/>
      <sheetName val="산#2-1_(2)2"/>
      <sheetName val="unit_42"/>
      <sheetName val="3_건축(현장안)2"/>
      <sheetName val="（３）_2"/>
      <sheetName val="목차_(2)2"/>
      <sheetName val="1-1_손익(부문별)2"/>
      <sheetName val="1-2_손익(월별)2"/>
      <sheetName val="2-1_판관비(부문)2"/>
      <sheetName val="2-2_판관비(월별)2"/>
      <sheetName val="3-1_수익비용(부문별)2"/>
      <sheetName val="3-2_수익비용(월별)2"/>
      <sheetName val="4-1_투자(부문)2"/>
      <sheetName val="4-2_투자(월별)2"/>
      <sheetName val="5-1_인원(부문)2"/>
      <sheetName val="5-2_인원(월별)2"/>
      <sheetName val="6_산출근거2"/>
      <sheetName val="7_현금흐름2"/>
      <sheetName val="마케팅1_(2)2"/>
      <sheetName val="마케팅1_(3)2"/>
      <sheetName val="마케팅1_(4)2"/>
      <sheetName val="01_1담당매출계획27_8$2"/>
      <sheetName val="01매출계획_선용품2"/>
      <sheetName val="작업악성채권직원판매제외(거래선별)_2"/>
      <sheetName val="작업악성채권직원판매제외_(담당별종합)2"/>
      <sheetName val="작업악성채권직원판매제외_(담당별)2"/>
      <sheetName val="판촉비예산_2"/>
      <sheetName val="인테리어_시설2"/>
      <sheetName val="파_3층_특설_장치장식비2"/>
      <sheetName val="총괄_(03년11월)h&amp;s2"/>
      <sheetName val="총괄_(03년11월)여행2"/>
      <sheetName val="세부내용_(03년11월)여행2"/>
      <sheetName val="개인_세부내용_(03년11월)여행2"/>
      <sheetName val="동구일반상품_2"/>
      <sheetName val="PUNCH_LIST2"/>
      <sheetName val="WELDING_JOINT_INSPECTION_STATU2"/>
      <sheetName val="PE거푸집(1_2)2"/>
      <sheetName val="내역서_(3)2"/>
      <sheetName val="내역서_(4)2"/>
      <sheetName val="에너지성능지표검토서(기계,_전기,_신재생)2"/>
      <sheetName val="1장_2"/>
      <sheetName val="1_개요_2"/>
      <sheetName val="2_조건_2"/>
      <sheetName val="3_공식붙임2"/>
      <sheetName val="4장_2"/>
      <sheetName val="1_AHU_2"/>
      <sheetName val="2_AHU-12"/>
      <sheetName val="2_FAN2"/>
      <sheetName val="1_급탕2"/>
      <sheetName val="6장_별첨2"/>
      <sheetName val="추정공사비_산출결과2"/>
      <sheetName val="배수입상_2"/>
      <sheetName val="Mech_CIF1"/>
      <sheetName val="2_냉난방설비공사1"/>
      <sheetName val="7_자동제어공사1"/>
      <sheetName val="P_M_별2"/>
      <sheetName val="1차_내역서2"/>
      <sheetName val="BEND_LOSS2"/>
      <sheetName val="A_LINE2"/>
      <sheetName val="2_2_10_샤시등2"/>
      <sheetName val="A3_공사비_검토2"/>
      <sheetName val="C3_토목_옹벽2"/>
      <sheetName val="A6_샤시등2"/>
      <sheetName val="토공(우물통,기타)_2"/>
      <sheetName val="BSD__2_2"/>
      <sheetName val="내역서_(2)2"/>
      <sheetName val="7_수지2"/>
      <sheetName val="TOWER_12TON2"/>
      <sheetName val="JIB_CRANE,HOIST2"/>
      <sheetName val="TOWER_10TON2"/>
      <sheetName val="아파트_2"/>
      <sheetName val="2000_051"/>
      <sheetName val="토목내역서_(도급단가)2"/>
      <sheetName val="전선_및_전선관2"/>
      <sheetName val="2000년_공정표1"/>
      <sheetName val="콤보박스와_리스트박스의_연결1"/>
      <sheetName val="참고용_(2)1"/>
      <sheetName val="COMPARISON_TABLE1"/>
      <sheetName val="Eq__Mobilization1"/>
      <sheetName val="간접비_총괄표1"/>
      <sheetName val="월별손익(용역)_2"/>
      <sheetName val="1-1_손익(온정각)2"/>
      <sheetName val="1-1_손익(관광식당)2"/>
      <sheetName val="1-1_손익(직원식당)2"/>
      <sheetName val="1-2_월별손익(온정각)2"/>
      <sheetName val="1-2_월별손익(관광식당)2"/>
      <sheetName val="1-2_월별손익(직원식당)2"/>
      <sheetName val="2-1_판관비(지원)2"/>
      <sheetName val="2-1_판관비(관광)2"/>
      <sheetName val="2-1_판관비(직원)_2"/>
      <sheetName val="2-1_판관비(온정각)2"/>
      <sheetName val="2-2_월별판관비(온정각)2"/>
      <sheetName val="공사예산하조서(O_K)1"/>
      <sheetName val="IMP_(REACTOR)1"/>
      <sheetName val="0_갑지1"/>
      <sheetName val="1_공통가설공사1"/>
      <sheetName val="2_토목공사1"/>
      <sheetName val="3_건축공사1"/>
      <sheetName val="4_설비공사1"/>
      <sheetName val="5_전기공사1"/>
      <sheetName val="7_안전관리비1"/>
      <sheetName val="8_현장관리비1"/>
      <sheetName val="인원투입_계획표1"/>
      <sheetName val="공사계약현황_(기계설비))1"/>
      <sheetName val="공사계약현황_(전기)1"/>
      <sheetName val="C_배수관공1"/>
      <sheetName val="수목데이타_1"/>
      <sheetName val="구조______1"/>
      <sheetName val="2-2_월별판관비(지원)2"/>
      <sheetName val="2-2_월별판관비(직원)2"/>
      <sheetName val="2-2_월별판관비(휴게소)2"/>
      <sheetName val="2-2_월별판관비(스넥코너)2"/>
      <sheetName val="2-2_월별판관비(음료코너)2"/>
      <sheetName val="2-2_월별판관비(온천장)2"/>
      <sheetName val="5-1_인원(온정각)2"/>
      <sheetName val="99년누계_(월별)2"/>
      <sheetName val="고효율_유도전동기_적용비율_계산서2"/>
      <sheetName val="정산서_1"/>
      <sheetName val="역T형옹벽(3_0)1"/>
      <sheetName val="1_설계조건1"/>
      <sheetName val="1_설계기준1"/>
      <sheetName val="1_수인터널1"/>
      <sheetName val="갑지_(2)1"/>
      <sheetName val="비목별_투자_집계1"/>
      <sheetName val="자재비내역_1"/>
      <sheetName val="운반비_내역1"/>
      <sheetName val="사무_용품비1"/>
      <sheetName val="지대_및_집세1"/>
      <sheetName val="5_공종별예산내역서1"/>
      <sheetName val="건축실행__(5)1"/>
      <sheetName val="1_취수장1"/>
      <sheetName val="갑지_2_(2)1"/>
      <sheetName val="갑지_21"/>
      <sheetName val="3_고급화검토1"/>
      <sheetName val="2_공사비_검토1"/>
      <sheetName val="플랜트_설치1"/>
      <sheetName val="1_CB1"/>
      <sheetName val="1_CB_(2)1"/>
      <sheetName val="1_CB_(3)1"/>
      <sheetName val="6PILE__(돌출)1"/>
      <sheetName val="C급보_1"/>
      <sheetName val="wage_Cal1"/>
      <sheetName val="토공사및_흙막이공사3"/>
      <sheetName val="써100_(A4)3"/>
      <sheetName val="남양시작동자105노65기1_3화1_23"/>
      <sheetName val="F_C_U_ZONE집계3"/>
      <sheetName val="A_H_U_ZONE별집계3"/>
      <sheetName val="PAC_집계3"/>
      <sheetName val="1_가스소비량3"/>
      <sheetName val="1-3_가스관경계산-13"/>
      <sheetName val="1-4_가스관경계산-23"/>
      <sheetName val="1-5_가스관경계산-33"/>
      <sheetName val="1-6_가스관경계산-4_3"/>
      <sheetName val="1-7_가스관경계산-53"/>
      <sheetName val="1-7_가스차압산출3"/>
      <sheetName val="덕트_및_배기그릴선정3"/>
      <sheetName val="1_견적서목록3"/>
      <sheetName val="부하계산서_(영문)3"/>
      <sheetName val="PEND-ITEM_(2)3"/>
      <sheetName val="견적표지_(횡)3"/>
      <sheetName val="부하집계표_(2안)3"/>
      <sheetName val="부하계산서_3"/>
      <sheetName val="UNIT_COOLER_선정표3"/>
      <sheetName val="ACCUMULALOR_(2안)3"/>
      <sheetName val="동력집계표_(2안)3"/>
      <sheetName val="cooling_tower_(2)3"/>
      <sheetName val="cooling_water_pump3"/>
      <sheetName val="DEFROEST_PUMP3"/>
      <sheetName val="기기선정표_(2안)3"/>
      <sheetName val="cooling_tower3"/>
      <sheetName val="부하집계표_(2)3"/>
      <sheetName val="OCT_FDN3"/>
      <sheetName val="EXT_CHECK3"/>
      <sheetName val="P-127E1,E2_3"/>
      <sheetName val="P-123E1,E2_3"/>
      <sheetName val="P-128E_3"/>
      <sheetName val="97_사업추정(WEKI)3"/>
      <sheetName val="TRE_TABLE3"/>
      <sheetName val="표지_(2)3"/>
      <sheetName val="WEIGHT_LIST3"/>
      <sheetName val="산#2-1_(2)3"/>
      <sheetName val="unit_43"/>
      <sheetName val="3_건축(현장안)3"/>
      <sheetName val="（３）_3"/>
      <sheetName val="목차_(2)3"/>
      <sheetName val="1-1_손익(부문별)3"/>
      <sheetName val="1-2_손익(월별)3"/>
      <sheetName val="2-1_판관비(부문)3"/>
      <sheetName val="2-2_판관비(월별)3"/>
      <sheetName val="3-1_수익비용(부문별)3"/>
      <sheetName val="3-2_수익비용(월별)3"/>
      <sheetName val="4-1_투자(부문)3"/>
      <sheetName val="4-2_투자(월별)3"/>
      <sheetName val="5-1_인원(부문)3"/>
      <sheetName val="5-2_인원(월별)3"/>
      <sheetName val="6_산출근거3"/>
      <sheetName val="7_현금흐름3"/>
      <sheetName val="마케팅1_(2)3"/>
      <sheetName val="마케팅1_(3)3"/>
      <sheetName val="마케팅1_(4)3"/>
      <sheetName val="01_1담당매출계획27_8$3"/>
      <sheetName val="01매출계획_선용품3"/>
      <sheetName val="작업악성채권직원판매제외(거래선별)_3"/>
      <sheetName val="작업악성채권직원판매제외_(담당별종합)3"/>
      <sheetName val="작업악성채권직원판매제외_(담당별)3"/>
      <sheetName val="판촉비예산_3"/>
      <sheetName val="인테리어_시설3"/>
      <sheetName val="파_3층_특설_장치장식비3"/>
      <sheetName val="총괄_(03년11월)h&amp;s3"/>
      <sheetName val="총괄_(03년11월)여행3"/>
      <sheetName val="세부내용_(03년11월)여행3"/>
      <sheetName val="개인_세부내용_(03년11월)여행3"/>
      <sheetName val="동구일반상품_3"/>
      <sheetName val="PUNCH_LIST3"/>
      <sheetName val="WELDING_JOINT_INSPECTION_STATU3"/>
      <sheetName val="PE거푸집(1_2)3"/>
      <sheetName val="내역서_(3)3"/>
      <sheetName val="내역서_(4)3"/>
      <sheetName val="에너지성능지표검토서(기계,_전기,_신재생)3"/>
      <sheetName val="1장_3"/>
      <sheetName val="1_개요_3"/>
      <sheetName val="2_조건_3"/>
      <sheetName val="3_공식붙임3"/>
      <sheetName val="4장_3"/>
      <sheetName val="1_AHU_3"/>
      <sheetName val="2_AHU-13"/>
      <sheetName val="2_FAN3"/>
      <sheetName val="1_급탕3"/>
      <sheetName val="6장_별첨3"/>
      <sheetName val="추정공사비_산출결과3"/>
      <sheetName val="배수입상_3"/>
      <sheetName val="Mech_CIF2"/>
      <sheetName val="2_냉난방설비공사2"/>
      <sheetName val="7_자동제어공사2"/>
      <sheetName val="P_M_별3"/>
      <sheetName val="1차_내역서3"/>
      <sheetName val="BEND_LOSS3"/>
      <sheetName val="A_LINE3"/>
      <sheetName val="2_2_10_샤시등3"/>
      <sheetName val="A3_공사비_검토3"/>
      <sheetName val="C3_토목_옹벽3"/>
      <sheetName val="A6_샤시등3"/>
      <sheetName val="토공(우물통,기타)_3"/>
      <sheetName val="BSD__2_3"/>
      <sheetName val="내역서_(2)3"/>
      <sheetName val="7_수지3"/>
      <sheetName val="TOWER_12TON3"/>
      <sheetName val="JIB_CRANE,HOIST3"/>
      <sheetName val="TOWER_10TON3"/>
      <sheetName val="아파트_3"/>
      <sheetName val="2000_052"/>
      <sheetName val="토목내역서_(도급단가)3"/>
      <sheetName val="전선_및_전선관3"/>
      <sheetName val="2000년_공정표2"/>
      <sheetName val="콤보박스와_리스트박스의_연결2"/>
      <sheetName val="참고용_(2)2"/>
      <sheetName val="COMPARISON_TABLE2"/>
      <sheetName val="Eq__Mobilization2"/>
      <sheetName val="간접비_총괄표2"/>
      <sheetName val="월별손익(용역)_3"/>
      <sheetName val="1-1_손익(온정각)3"/>
      <sheetName val="1-1_손익(관광식당)3"/>
      <sheetName val="1-1_손익(직원식당)3"/>
      <sheetName val="1-2_월별손익(온정각)3"/>
      <sheetName val="1-2_월별손익(관광식당)3"/>
      <sheetName val="1-2_월별손익(직원식당)3"/>
      <sheetName val="2-1_판관비(지원)3"/>
      <sheetName val="2-1_판관비(관광)3"/>
      <sheetName val="2-1_판관비(직원)_3"/>
      <sheetName val="2-1_판관비(온정각)3"/>
      <sheetName val="2-2_월별판관비(온정각)3"/>
      <sheetName val="공사예산하조서(O_K)2"/>
      <sheetName val="IMP_(REACTOR)2"/>
      <sheetName val="0_갑지2"/>
      <sheetName val="1_공통가설공사2"/>
      <sheetName val="2_토목공사2"/>
      <sheetName val="3_건축공사2"/>
      <sheetName val="4_설비공사2"/>
      <sheetName val="5_전기공사2"/>
      <sheetName val="7_안전관리비2"/>
      <sheetName val="8_현장관리비2"/>
      <sheetName val="인원투입_계획표2"/>
      <sheetName val="공사계약현황_(기계설비))2"/>
      <sheetName val="공사계약현황_(전기)2"/>
      <sheetName val="C_배수관공2"/>
      <sheetName val="수목데이타_2"/>
      <sheetName val="구조______2"/>
      <sheetName val="2-2_월별판관비(지원)3"/>
      <sheetName val="2-2_월별판관비(직원)3"/>
      <sheetName val="2-2_월별판관비(휴게소)3"/>
      <sheetName val="2-2_월별판관비(스넥코너)3"/>
      <sheetName val="2-2_월별판관비(음료코너)3"/>
      <sheetName val="2-2_월별판관비(온천장)3"/>
      <sheetName val="5-1_인원(온정각)3"/>
      <sheetName val="99년누계_(월별)3"/>
      <sheetName val="고효율_유도전동기_적용비율_계산서3"/>
      <sheetName val="정산서_2"/>
      <sheetName val="역T형옹벽(3_0)2"/>
      <sheetName val="1_설계조건2"/>
      <sheetName val="1_설계기준2"/>
      <sheetName val="1_수인터널2"/>
      <sheetName val="갑지_(2)2"/>
      <sheetName val="비목별_투자_집계2"/>
      <sheetName val="자재비내역_2"/>
      <sheetName val="운반비_내역2"/>
      <sheetName val="사무_용품비2"/>
      <sheetName val="지대_및_집세2"/>
      <sheetName val="5_공종별예산내역서2"/>
      <sheetName val="건축실행__(5)2"/>
      <sheetName val="1_취수장2"/>
      <sheetName val="갑지_2_(2)2"/>
      <sheetName val="갑지_22"/>
      <sheetName val="3_고급화검토2"/>
      <sheetName val="2_공사비_검토2"/>
      <sheetName val="플랜트_설치2"/>
      <sheetName val="1_CB2"/>
      <sheetName val="1_CB_(2)2"/>
      <sheetName val="1_CB_(3)2"/>
      <sheetName val="6PILE__(돌출)2"/>
      <sheetName val="C급보_2"/>
      <sheetName val="wage_Cal2"/>
      <sheetName val="토공사및_흙막이공사5"/>
      <sheetName val="써100_(A4)5"/>
      <sheetName val="남양시작동자105노65기1_3화1_25"/>
      <sheetName val="F_C_U_ZONE집계5"/>
      <sheetName val="A_H_U_ZONE별집계5"/>
      <sheetName val="PAC_집계5"/>
      <sheetName val="1_가스소비량5"/>
      <sheetName val="1-3_가스관경계산-15"/>
      <sheetName val="1-4_가스관경계산-25"/>
      <sheetName val="1-5_가스관경계산-35"/>
      <sheetName val="1-6_가스관경계산-4_5"/>
      <sheetName val="1-7_가스관경계산-55"/>
      <sheetName val="1-7_가스차압산출5"/>
      <sheetName val="덕트_및_배기그릴선정5"/>
      <sheetName val="1_견적서목록5"/>
      <sheetName val="부하계산서_(영문)5"/>
      <sheetName val="PEND-ITEM_(2)5"/>
      <sheetName val="견적표지_(횡)5"/>
      <sheetName val="부하집계표_(2안)5"/>
      <sheetName val="부하계산서_5"/>
      <sheetName val="UNIT_COOLER_선정표5"/>
      <sheetName val="ACCUMULALOR_(2안)5"/>
      <sheetName val="동력집계표_(2안)5"/>
      <sheetName val="cooling_tower_(2)5"/>
      <sheetName val="cooling_water_pump5"/>
      <sheetName val="DEFROEST_PUMP5"/>
      <sheetName val="기기선정표_(2안)5"/>
      <sheetName val="cooling_tower5"/>
      <sheetName val="부하집계표_(2)5"/>
      <sheetName val="OCT_FDN5"/>
      <sheetName val="EXT_CHECK5"/>
      <sheetName val="P-127E1,E2_5"/>
      <sheetName val="P-123E1,E2_5"/>
      <sheetName val="P-128E_5"/>
      <sheetName val="97_사업추정(WEKI)5"/>
      <sheetName val="TRE_TABLE5"/>
      <sheetName val="표지_(2)5"/>
      <sheetName val="WEIGHT_LIST5"/>
      <sheetName val="산#2-1_(2)5"/>
      <sheetName val="unit_45"/>
      <sheetName val="3_건축(현장안)5"/>
      <sheetName val="（３）_5"/>
      <sheetName val="목차_(2)5"/>
      <sheetName val="1-1_손익(부문별)5"/>
      <sheetName val="1-2_손익(월별)5"/>
      <sheetName val="2-1_판관비(부문)5"/>
      <sheetName val="2-2_판관비(월별)5"/>
      <sheetName val="3-1_수익비용(부문별)5"/>
      <sheetName val="3-2_수익비용(월별)5"/>
      <sheetName val="4-1_투자(부문)5"/>
      <sheetName val="4-2_투자(월별)5"/>
      <sheetName val="5-1_인원(부문)5"/>
      <sheetName val="5-2_인원(월별)5"/>
      <sheetName val="6_산출근거5"/>
      <sheetName val="7_현금흐름5"/>
      <sheetName val="마케팅1_(2)5"/>
      <sheetName val="마케팅1_(3)5"/>
      <sheetName val="마케팅1_(4)5"/>
      <sheetName val="01_1담당매출계획27_8$5"/>
      <sheetName val="01매출계획_선용품5"/>
      <sheetName val="작업악성채권직원판매제외(거래선별)_5"/>
      <sheetName val="작업악성채권직원판매제외_(담당별종합)5"/>
      <sheetName val="작업악성채권직원판매제외_(담당별)5"/>
      <sheetName val="판촉비예산_5"/>
      <sheetName val="인테리어_시설5"/>
      <sheetName val="파_3층_특설_장치장식비5"/>
      <sheetName val="총괄_(03년11월)h&amp;s5"/>
      <sheetName val="총괄_(03년11월)여행5"/>
      <sheetName val="세부내용_(03년11월)여행5"/>
      <sheetName val="개인_세부내용_(03년11월)여행5"/>
      <sheetName val="동구일반상품_5"/>
      <sheetName val="PUNCH_LIST5"/>
      <sheetName val="WELDING_JOINT_INSPECTION_STATU5"/>
      <sheetName val="PE거푸집(1_2)5"/>
      <sheetName val="내역서_(3)5"/>
      <sheetName val="내역서_(4)5"/>
      <sheetName val="에너지성능지표검토서(기계,_전기,_신재생)5"/>
      <sheetName val="1장_5"/>
      <sheetName val="1_개요_5"/>
      <sheetName val="2_조건_5"/>
      <sheetName val="3_공식붙임5"/>
      <sheetName val="4장_5"/>
      <sheetName val="1_AHU_5"/>
      <sheetName val="2_AHU-15"/>
      <sheetName val="2_FAN5"/>
      <sheetName val="1_급탕5"/>
      <sheetName val="6장_별첨5"/>
      <sheetName val="추정공사비_산출결과5"/>
      <sheetName val="배수입상_5"/>
      <sheetName val="Mech_CIF4"/>
      <sheetName val="2_냉난방설비공사4"/>
      <sheetName val="7_자동제어공사4"/>
      <sheetName val="P_M_별5"/>
      <sheetName val="1차_내역서5"/>
      <sheetName val="BEND_LOSS5"/>
      <sheetName val="A_LINE5"/>
      <sheetName val="2_2_10_샤시등5"/>
      <sheetName val="A3_공사비_검토5"/>
      <sheetName val="C3_토목_옹벽5"/>
      <sheetName val="A6_샤시등5"/>
      <sheetName val="토공(우물통,기타)_5"/>
      <sheetName val="BSD__2_5"/>
      <sheetName val="내역서_(2)5"/>
      <sheetName val="7_수지5"/>
      <sheetName val="TOWER_12TON5"/>
      <sheetName val="JIB_CRANE,HOIST5"/>
      <sheetName val="TOWER_10TON5"/>
      <sheetName val="아파트_5"/>
      <sheetName val="2000_054"/>
      <sheetName val="토목내역서_(도급단가)5"/>
      <sheetName val="전선_및_전선관5"/>
      <sheetName val="2000년_공정표4"/>
      <sheetName val="콤보박스와_리스트박스의_연결4"/>
      <sheetName val="참고용_(2)4"/>
      <sheetName val="COMPARISON_TABLE4"/>
      <sheetName val="Eq__Mobilization4"/>
      <sheetName val="간접비_총괄표4"/>
      <sheetName val="월별손익(용역)_5"/>
      <sheetName val="1-1_손익(온정각)5"/>
      <sheetName val="1-1_손익(관광식당)5"/>
      <sheetName val="1-1_손익(직원식당)5"/>
      <sheetName val="1-2_월별손익(온정각)5"/>
      <sheetName val="1-2_월별손익(관광식당)5"/>
      <sheetName val="1-2_월별손익(직원식당)5"/>
      <sheetName val="2-1_판관비(지원)5"/>
      <sheetName val="2-1_판관비(관광)5"/>
      <sheetName val="2-1_판관비(직원)_5"/>
      <sheetName val="2-1_판관비(온정각)5"/>
      <sheetName val="2-2_월별판관비(온정각)5"/>
      <sheetName val="공사예산하조서(O_K)4"/>
      <sheetName val="IMP_(REACTOR)4"/>
      <sheetName val="0_갑지4"/>
      <sheetName val="1_공통가설공사4"/>
      <sheetName val="2_토목공사4"/>
      <sheetName val="3_건축공사4"/>
      <sheetName val="4_설비공사4"/>
      <sheetName val="5_전기공사4"/>
      <sheetName val="7_안전관리비4"/>
      <sheetName val="8_현장관리비4"/>
      <sheetName val="인원투입_계획표4"/>
      <sheetName val="공사계약현황_(기계설비))4"/>
      <sheetName val="공사계약현황_(전기)4"/>
      <sheetName val="C_배수관공4"/>
      <sheetName val="수목데이타_4"/>
      <sheetName val="구조______4"/>
      <sheetName val="2-2_월별판관비(지원)5"/>
      <sheetName val="2-2_월별판관비(직원)5"/>
      <sheetName val="2-2_월별판관비(휴게소)5"/>
      <sheetName val="2-2_월별판관비(스넥코너)5"/>
      <sheetName val="2-2_월별판관비(음료코너)5"/>
      <sheetName val="2-2_월별판관비(온천장)5"/>
      <sheetName val="5-1_인원(온정각)5"/>
      <sheetName val="99년누계_(월별)5"/>
      <sheetName val="고효율_유도전동기_적용비율_계산서5"/>
      <sheetName val="정산서_4"/>
      <sheetName val="역T형옹벽(3_0)4"/>
      <sheetName val="1_설계조건4"/>
      <sheetName val="1_설계기준4"/>
      <sheetName val="1_수인터널4"/>
      <sheetName val="갑지_(2)4"/>
      <sheetName val="비목별_투자_집계4"/>
      <sheetName val="자재비내역_4"/>
      <sheetName val="운반비_내역4"/>
      <sheetName val="사무_용품비4"/>
      <sheetName val="지대_및_집세4"/>
      <sheetName val="5_공종별예산내역서4"/>
      <sheetName val="건축실행__(5)4"/>
      <sheetName val="1_취수장4"/>
      <sheetName val="갑지_2_(2)4"/>
      <sheetName val="갑지_24"/>
      <sheetName val="3_고급화검토4"/>
      <sheetName val="2_공사비_검토4"/>
      <sheetName val="플랜트_설치4"/>
      <sheetName val="1_CB4"/>
      <sheetName val="1_CB_(2)4"/>
      <sheetName val="1_CB_(3)4"/>
      <sheetName val="6PILE__(돌출)4"/>
      <sheetName val="C급보_4"/>
      <sheetName val="wage_Cal4"/>
      <sheetName val="토공사및_흙막이공사4"/>
      <sheetName val="써100_(A4)4"/>
      <sheetName val="남양시작동자105노65기1_3화1_24"/>
      <sheetName val="F_C_U_ZONE집계4"/>
      <sheetName val="A_H_U_ZONE별집계4"/>
      <sheetName val="PAC_집계4"/>
      <sheetName val="1_가스소비량4"/>
      <sheetName val="1-3_가스관경계산-14"/>
      <sheetName val="1-4_가스관경계산-24"/>
      <sheetName val="1-5_가스관경계산-34"/>
      <sheetName val="1-6_가스관경계산-4_4"/>
      <sheetName val="1-7_가스관경계산-54"/>
      <sheetName val="1-7_가스차압산출4"/>
      <sheetName val="덕트_및_배기그릴선정4"/>
      <sheetName val="1_견적서목록4"/>
      <sheetName val="부하계산서_(영문)4"/>
      <sheetName val="PEND-ITEM_(2)4"/>
      <sheetName val="견적표지_(횡)4"/>
      <sheetName val="부하집계표_(2안)4"/>
      <sheetName val="부하계산서_4"/>
      <sheetName val="UNIT_COOLER_선정표4"/>
      <sheetName val="ACCUMULALOR_(2안)4"/>
      <sheetName val="동력집계표_(2안)4"/>
      <sheetName val="cooling_tower_(2)4"/>
      <sheetName val="cooling_water_pump4"/>
      <sheetName val="DEFROEST_PUMP4"/>
      <sheetName val="기기선정표_(2안)4"/>
      <sheetName val="cooling_tower4"/>
      <sheetName val="부하집계표_(2)4"/>
      <sheetName val="OCT_FDN4"/>
      <sheetName val="EXT_CHECK4"/>
      <sheetName val="P-127E1,E2_4"/>
      <sheetName val="P-123E1,E2_4"/>
      <sheetName val="P-128E_4"/>
      <sheetName val="97_사업추정(WEKI)4"/>
      <sheetName val="TRE_TABLE4"/>
      <sheetName val="표지_(2)4"/>
      <sheetName val="WEIGHT_LIST4"/>
      <sheetName val="산#2-1_(2)4"/>
      <sheetName val="unit_44"/>
      <sheetName val="3_건축(현장안)4"/>
      <sheetName val="（３）_4"/>
      <sheetName val="목차_(2)4"/>
      <sheetName val="1-1_손익(부문별)4"/>
      <sheetName val="1-2_손익(월별)4"/>
      <sheetName val="2-1_판관비(부문)4"/>
      <sheetName val="2-2_판관비(월별)4"/>
      <sheetName val="3-1_수익비용(부문별)4"/>
      <sheetName val="3-2_수익비용(월별)4"/>
      <sheetName val="4-1_투자(부문)4"/>
      <sheetName val="4-2_투자(월별)4"/>
      <sheetName val="5-1_인원(부문)4"/>
      <sheetName val="5-2_인원(월별)4"/>
      <sheetName val="6_산출근거4"/>
      <sheetName val="7_현금흐름4"/>
      <sheetName val="마케팅1_(2)4"/>
      <sheetName val="마케팅1_(3)4"/>
      <sheetName val="마케팅1_(4)4"/>
      <sheetName val="01_1담당매출계획27_8$4"/>
      <sheetName val="01매출계획_선용품4"/>
      <sheetName val="작업악성채권직원판매제외(거래선별)_4"/>
      <sheetName val="작업악성채권직원판매제외_(담당별종합)4"/>
      <sheetName val="작업악성채권직원판매제외_(담당별)4"/>
      <sheetName val="판촉비예산_4"/>
      <sheetName val="인테리어_시설4"/>
      <sheetName val="파_3층_특설_장치장식비4"/>
      <sheetName val="총괄_(03년11월)h&amp;s4"/>
      <sheetName val="총괄_(03년11월)여행4"/>
      <sheetName val="세부내용_(03년11월)여행4"/>
      <sheetName val="개인_세부내용_(03년11월)여행4"/>
      <sheetName val="동구일반상품_4"/>
      <sheetName val="PUNCH_LIST4"/>
      <sheetName val="WELDING_JOINT_INSPECTION_STATU4"/>
      <sheetName val="PE거푸집(1_2)4"/>
      <sheetName val="내역서_(3)4"/>
      <sheetName val="내역서_(4)4"/>
      <sheetName val="에너지성능지표검토서(기계,_전기,_신재생)4"/>
      <sheetName val="1장_4"/>
      <sheetName val="1_개요_4"/>
      <sheetName val="2_조건_4"/>
      <sheetName val="3_공식붙임4"/>
      <sheetName val="4장_4"/>
      <sheetName val="1_AHU_4"/>
      <sheetName val="2_AHU-14"/>
      <sheetName val="2_FAN4"/>
      <sheetName val="1_급탕4"/>
      <sheetName val="6장_별첨4"/>
      <sheetName val="추정공사비_산출결과4"/>
      <sheetName val="배수입상_4"/>
      <sheetName val="Mech_CIF3"/>
      <sheetName val="2_냉난방설비공사3"/>
      <sheetName val="7_자동제어공사3"/>
      <sheetName val="P_M_별4"/>
      <sheetName val="1차_내역서4"/>
      <sheetName val="BEND_LOSS4"/>
      <sheetName val="A_LINE4"/>
      <sheetName val="2_2_10_샤시등4"/>
      <sheetName val="A3_공사비_검토4"/>
      <sheetName val="C3_토목_옹벽4"/>
      <sheetName val="A6_샤시등4"/>
      <sheetName val="토공(우물통,기타)_4"/>
      <sheetName val="BSD__2_4"/>
      <sheetName val="내역서_(2)4"/>
      <sheetName val="7_수지4"/>
      <sheetName val="TOWER_12TON4"/>
      <sheetName val="JIB_CRANE,HOIST4"/>
      <sheetName val="TOWER_10TON4"/>
      <sheetName val="아파트_4"/>
      <sheetName val="2000_053"/>
      <sheetName val="토목내역서_(도급단가)4"/>
      <sheetName val="전선_및_전선관4"/>
      <sheetName val="2000년_공정표3"/>
      <sheetName val="콤보박스와_리스트박스의_연결3"/>
      <sheetName val="참고용_(2)3"/>
      <sheetName val="COMPARISON_TABLE3"/>
      <sheetName val="Eq__Mobilization3"/>
      <sheetName val="간접비_총괄표3"/>
      <sheetName val="월별손익(용역)_4"/>
      <sheetName val="1-1_손익(온정각)4"/>
      <sheetName val="1-1_손익(관광식당)4"/>
      <sheetName val="1-1_손익(직원식당)4"/>
      <sheetName val="1-2_월별손익(온정각)4"/>
      <sheetName val="1-2_월별손익(관광식당)4"/>
      <sheetName val="1-2_월별손익(직원식당)4"/>
      <sheetName val="2-1_판관비(지원)4"/>
      <sheetName val="2-1_판관비(관광)4"/>
      <sheetName val="2-1_판관비(직원)_4"/>
      <sheetName val="2-1_판관비(온정각)4"/>
      <sheetName val="2-2_월별판관비(온정각)4"/>
      <sheetName val="공사예산하조서(O_K)3"/>
      <sheetName val="IMP_(REACTOR)3"/>
      <sheetName val="0_갑지3"/>
      <sheetName val="1_공통가설공사3"/>
      <sheetName val="2_토목공사3"/>
      <sheetName val="3_건축공사3"/>
      <sheetName val="4_설비공사3"/>
      <sheetName val="5_전기공사3"/>
      <sheetName val="7_안전관리비3"/>
      <sheetName val="8_현장관리비3"/>
      <sheetName val="인원투입_계획표3"/>
      <sheetName val="공사계약현황_(기계설비))3"/>
      <sheetName val="공사계약현황_(전기)3"/>
      <sheetName val="C_배수관공3"/>
      <sheetName val="수목데이타_3"/>
      <sheetName val="구조______3"/>
      <sheetName val="2-2_월별판관비(지원)4"/>
      <sheetName val="2-2_월별판관비(직원)4"/>
      <sheetName val="2-2_월별판관비(휴게소)4"/>
      <sheetName val="2-2_월별판관비(스넥코너)4"/>
      <sheetName val="2-2_월별판관비(음료코너)4"/>
      <sheetName val="2-2_월별판관비(온천장)4"/>
      <sheetName val="5-1_인원(온정각)4"/>
      <sheetName val="99년누계_(월별)4"/>
      <sheetName val="고효율_유도전동기_적용비율_계산서4"/>
      <sheetName val="정산서_3"/>
      <sheetName val="역T형옹벽(3_0)3"/>
      <sheetName val="1_설계조건3"/>
      <sheetName val="1_설계기준3"/>
      <sheetName val="1_수인터널3"/>
      <sheetName val="갑지_(2)3"/>
      <sheetName val="비목별_투자_집계3"/>
      <sheetName val="자재비내역_3"/>
      <sheetName val="운반비_내역3"/>
      <sheetName val="사무_용품비3"/>
      <sheetName val="지대_및_집세3"/>
      <sheetName val="5_공종별예산내역서3"/>
      <sheetName val="건축실행__(5)3"/>
      <sheetName val="1_취수장3"/>
      <sheetName val="갑지_2_(2)3"/>
      <sheetName val="갑지_23"/>
      <sheetName val="3_고급화검토3"/>
      <sheetName val="2_공사비_검토3"/>
      <sheetName val="플랜트_설치3"/>
      <sheetName val="1_CB3"/>
      <sheetName val="1_CB_(2)3"/>
      <sheetName val="1_CB_(3)3"/>
      <sheetName val="6PILE__(돌출)3"/>
      <sheetName val="C급보_3"/>
      <sheetName val="wage_Cal3"/>
      <sheetName val="급殘⿗_x0000_"/>
      <sheetName val="적현로"/>
      <sheetName val="환산"/>
      <sheetName val="LOAD-46"/>
      <sheetName val="시화점실행"/>
      <sheetName val="건축공사"/>
      <sheetName val="샘플표지"/>
      <sheetName val="5.세운W-A"/>
      <sheetName val="수목단가"/>
      <sheetName val="시설수량표"/>
      <sheetName val="식재수량표"/>
      <sheetName val="메서,변+증"/>
      <sheetName val="설계서"/>
      <sheetName val="재료비"/>
      <sheetName val="CashFlow(중간집계)"/>
      <sheetName val="정리계획CF평가"/>
      <sheetName val="영업소_x0000_"/>
      <sheetName val="BCA INDEX"/>
      <sheetName val="파이프류"/>
      <sheetName val="준공내역서(을)"/>
      <sheetName val="전신환매도율"/>
      <sheetName val="인사자료총집계"/>
      <sheetName val="물가시세"/>
      <sheetName val="연결임시"/>
      <sheetName val="95신규호표"/>
      <sheetName val="7월집계(돌관인건비)"/>
      <sheetName val="7-17"/>
      <sheetName val="17일"/>
      <sheetName val="17사"/>
      <sheetName val="18일"/>
      <sheetName val="18사"/>
      <sheetName val="19일"/>
      <sheetName val="19사"/>
      <sheetName val="20일"/>
      <sheetName val="20사"/>
      <sheetName val="22일"/>
      <sheetName val="22사"/>
      <sheetName val="23일"/>
      <sheetName val="23사"/>
      <sheetName val="24일"/>
      <sheetName val="24사"/>
      <sheetName val="25일"/>
      <sheetName val="25사"/>
      <sheetName val="26일"/>
      <sheetName val="26사"/>
      <sheetName val="27일"/>
      <sheetName val="27사"/>
      <sheetName val="29일"/>
      <sheetName val="29사"/>
      <sheetName val="30일"/>
      <sheetName val="30사"/>
      <sheetName val="31"/>
      <sheetName val="31일"/>
      <sheetName val="31사"/>
      <sheetName val="PSCbeam설계"/>
      <sheetName val="9567매출"/>
      <sheetName val="단기차입금(200006)"/>
      <sheetName val="급여인건비LS"/>
      <sheetName val="성서방향-교대(A2)"/>
      <sheetName val="SS"/>
      <sheetName val="연습"/>
      <sheetName val="구리토평_x0000__x0000_Ԁ"/>
      <sheetName val="일반사항"/>
      <sheetName val="계정"/>
      <sheetName val="에너지성능지표_x0000__x0000_℀_x0002_쀀︪⇈"/>
      <sheetName val="날개벽수량표"/>
      <sheetName val="추천서"/>
      <sheetName val="단가목록"/>
      <sheetName val="토사(PE)"/>
      <sheetName val="내역(설계)"/>
      <sheetName val="우편번호"/>
      <sheetName val="발주설계서(당초)"/>
      <sheetName val="비탈면보호공수량산출"/>
      <sheetName val="1.공통가설_x0000__x0000_"/>
      <sheetName val="토공사및_흙막이공사6"/>
      <sheetName val="써100_(A4)6"/>
      <sheetName val="F_C_U_ZONE집계6"/>
      <sheetName val="A_H_U_ZONE별집계6"/>
      <sheetName val="PAC_집계6"/>
      <sheetName val="1_가스소비량6"/>
      <sheetName val="1-3_가스관경계산-16"/>
      <sheetName val="1-4_가스관경계산-26"/>
      <sheetName val="1-5_가스관경계산-36"/>
      <sheetName val="1-6_가스관경계산-4_6"/>
      <sheetName val="1-7_가스관경계산-56"/>
      <sheetName val="1-7_가스차압산출6"/>
      <sheetName val="1_견적서목록6"/>
      <sheetName val="부하계산서_(영문)6"/>
      <sheetName val="PEND-ITEM_(2)6"/>
      <sheetName val="견적표지_(횡)6"/>
      <sheetName val="부하집계표_(2안)6"/>
      <sheetName val="부하계산서_6"/>
      <sheetName val="UNIT_COOLER_선정표6"/>
      <sheetName val="ACCUMULALOR_(2안)6"/>
      <sheetName val="동력집계표_(2안)6"/>
      <sheetName val="cooling_tower_(2)6"/>
      <sheetName val="cooling_water_pump6"/>
      <sheetName val="DEFROEST_PUMP6"/>
      <sheetName val="기기선정표_(2안)6"/>
      <sheetName val="cooling_tower6"/>
      <sheetName val="부하집계표_(2)6"/>
      <sheetName val="덕트_및_배기그릴선정6"/>
      <sheetName val="OCT_FDN6"/>
      <sheetName val="EXT_CHECK6"/>
      <sheetName val="P-127E1,E2_6"/>
      <sheetName val="P-123E1,E2_6"/>
      <sheetName val="P-128E_6"/>
      <sheetName val="（３）_6"/>
      <sheetName val="목차_(2)6"/>
      <sheetName val="1-1_손익(부문별)6"/>
      <sheetName val="1-2_손익(월별)6"/>
      <sheetName val="2-1_판관비(부문)6"/>
      <sheetName val="2-2_판관비(월별)6"/>
      <sheetName val="3-1_수익비용(부문별)6"/>
      <sheetName val="3-2_수익비용(월별)6"/>
      <sheetName val="4-1_투자(부문)6"/>
      <sheetName val="4-2_투자(월별)6"/>
      <sheetName val="5-1_인원(부문)6"/>
      <sheetName val="5-2_인원(월별)6"/>
      <sheetName val="6_산출근거6"/>
      <sheetName val="7_현금흐름6"/>
      <sheetName val="마케팅1_(2)6"/>
      <sheetName val="마케팅1_(3)6"/>
      <sheetName val="마케팅1_(4)6"/>
      <sheetName val="01_1담당매출계획27_8$6"/>
      <sheetName val="01매출계획_선용품6"/>
      <sheetName val="작업악성채권직원판매제외(거래선별)_6"/>
      <sheetName val="작업악성채권직원판매제외_(담당별종합)6"/>
      <sheetName val="작업악성채권직원판매제외_(담당별)6"/>
      <sheetName val="판촉비예산_6"/>
      <sheetName val="인테리어_시설6"/>
      <sheetName val="파_3층_특설_장치장식비6"/>
      <sheetName val="총괄_(03년11월)h&amp;s6"/>
      <sheetName val="총괄_(03년11월)여행6"/>
      <sheetName val="세부내용_(03년11월)여행6"/>
      <sheetName val="개인_세부내용_(03년11월)여행6"/>
      <sheetName val="동구일반상품_6"/>
      <sheetName val="남양시작동자105노65기1_3화1_26"/>
      <sheetName val="97_사업추정(WEKI)6"/>
      <sheetName val="TRE_TABLE6"/>
      <sheetName val="1_수인터널5"/>
      <sheetName val="PE거푸집(1_2)6"/>
      <sheetName val="갑지_(2)5"/>
      <sheetName val="비목별_투자_집계5"/>
      <sheetName val="자재비내역_5"/>
      <sheetName val="운반비_내역5"/>
      <sheetName val="사무_용품비5"/>
      <sheetName val="지대_및_집세5"/>
      <sheetName val="갑지_2_(2)5"/>
      <sheetName val="갑지_25"/>
      <sheetName val="표지_(2)6"/>
      <sheetName val="unit_46"/>
      <sheetName val="1차_내역서6"/>
      <sheetName val="BEND_LOSS6"/>
      <sheetName val="토목내역서_(도급단가)6"/>
      <sheetName val="3_건축(현장안)6"/>
      <sheetName val="A_LINE6"/>
      <sheetName val="WEIGHT_LIST6"/>
      <sheetName val="산#2-1_(2)6"/>
      <sheetName val="P_M_별6"/>
      <sheetName val="PUNCH_LIST6"/>
      <sheetName val="WELDING_JOINT_INSPECTION_STATU6"/>
      <sheetName val="토공(우물통,기타)_6"/>
      <sheetName val="2_2_10_샤시등6"/>
      <sheetName val="A3_공사비_검토6"/>
      <sheetName val="C3_토목_옹벽6"/>
      <sheetName val="A6_샤시등6"/>
      <sheetName val="전선_및_전선관6"/>
      <sheetName val="에너지성능지표검토서(기계,_전기,_신재생)6"/>
      <sheetName val="7_수지6"/>
      <sheetName val="TOWER_12TON6"/>
      <sheetName val="JIB_CRANE,HOIST6"/>
      <sheetName val="TOWER_10TON6"/>
      <sheetName val="BSD__2_6"/>
      <sheetName val="내역서_(2)6"/>
      <sheetName val="구조______5"/>
      <sheetName val="배수입상_6"/>
      <sheetName val="내역서_(3)6"/>
      <sheetName val="내역서_(4)6"/>
      <sheetName val="아파트_6"/>
      <sheetName val="2000년_공정표5"/>
      <sheetName val="IMP_(REACTOR)5"/>
      <sheetName val="1장_6"/>
      <sheetName val="1_개요_6"/>
      <sheetName val="2_조건_6"/>
      <sheetName val="3_공식붙임6"/>
      <sheetName val="4장_6"/>
      <sheetName val="1_AHU_6"/>
      <sheetName val="2_AHU-16"/>
      <sheetName val="2_FAN6"/>
      <sheetName val="1_급탕6"/>
      <sheetName val="6장_별첨6"/>
      <sheetName val="콤보박스와_리스트박스의_연결5"/>
      <sheetName val="0_갑지5"/>
      <sheetName val="1_공통가설공사5"/>
      <sheetName val="2_토목공사5"/>
      <sheetName val="3_건축공사5"/>
      <sheetName val="4_설비공사5"/>
      <sheetName val="5_전기공사5"/>
      <sheetName val="7_안전관리비5"/>
      <sheetName val="8_현장관리비5"/>
      <sheetName val="인원투입_계획표5"/>
      <sheetName val="공사계약현황_(기계설비))5"/>
      <sheetName val="공사계약현황_(전기)5"/>
      <sheetName val="2000_055"/>
      <sheetName val="추정공사비_산출결과6"/>
      <sheetName val="월별손익(용역)_6"/>
      <sheetName val="1-1_손익(온정각)6"/>
      <sheetName val="1-1_손익(관광식당)6"/>
      <sheetName val="1-1_손익(직원식당)6"/>
      <sheetName val="1-2_월별손익(온정각)6"/>
      <sheetName val="1-2_월별손익(관광식당)6"/>
      <sheetName val="1-2_월별손익(직원식당)6"/>
      <sheetName val="2-1_판관비(지원)6"/>
      <sheetName val="2-1_판관비(관광)6"/>
      <sheetName val="2-1_판관비(직원)_6"/>
      <sheetName val="2-1_판관비(온정각)6"/>
      <sheetName val="2-2_월별판관비(온정각)6"/>
      <sheetName val="2-2_월별판관비(지원)6"/>
      <sheetName val="2-2_월별판관비(직원)6"/>
      <sheetName val="2-2_월별판관비(휴게소)6"/>
      <sheetName val="2-2_월별판관비(스넥코너)6"/>
      <sheetName val="2-2_월별판관비(음료코너)6"/>
      <sheetName val="2-2_월별판관비(온천장)6"/>
      <sheetName val="5-1_인원(온정각)6"/>
      <sheetName val="99년누계_(월별)6"/>
      <sheetName val="1_설계조건5"/>
      <sheetName val="고효율_유도전동기_적용비율_계산서6"/>
      <sheetName val="건축실행__(5)5"/>
      <sheetName val="플랜트_설치5"/>
      <sheetName val="참고용_(2)5"/>
      <sheetName val="COMPARISON_TABLE5"/>
      <sheetName val="Eq__Mobilization5"/>
      <sheetName val="간접비_총괄표5"/>
      <sheetName val="6PILE__(돌출)5"/>
      <sheetName val="공사예산하조서(O_K)5"/>
      <sheetName val="C_배수관공5"/>
      <sheetName val="수목데이타_5"/>
      <sheetName val="정산서_5"/>
      <sheetName val="1_설계기준5"/>
      <sheetName val="역T형옹벽(3_0)5"/>
      <sheetName val="2_냉난방설비공사5"/>
      <sheetName val="7_자동제어공사5"/>
      <sheetName val="1_취수장5"/>
      <sheetName val="3_고급화검토5"/>
      <sheetName val="2_공사비_검토5"/>
      <sheetName val="5_공종별예산내역서5"/>
      <sheetName val="1_CB5"/>
      <sheetName val="1_CB_(2)5"/>
      <sheetName val="1_CB_(3)5"/>
      <sheetName val="C급보_5"/>
      <sheetName val="wage_Cal5"/>
      <sheetName val="Mech_CIF5"/>
      <sheetName val="할증_"/>
      <sheetName val="승용C_S"/>
      <sheetName val="상용C_S"/>
      <sheetName val="1_우편집중내역서"/>
      <sheetName val="신단가_(내진설치비)"/>
      <sheetName val="프린트_(3)"/>
      <sheetName val="간지-2_(2)"/>
      <sheetName val="_1__개요"/>
      <sheetName val="_2__난방설비"/>
      <sheetName val="열관류율_계산서"/>
      <sheetName val="2_3_세대별난방부하집계"/>
      <sheetName val="보일러_선정"/>
      <sheetName val="84A_(2)"/>
      <sheetName val="84B_(2)"/>
      <sheetName val="84C_(2)"/>
      <sheetName val="101A_(2)"/>
      <sheetName val="101B_(2)"/>
      <sheetName val="101C_(2)"/>
      <sheetName val="난방부하집계_(2)"/>
      <sheetName val="2_3_세대별난방부하집계_(2)"/>
      <sheetName val="보일러_선정_(2)"/>
      <sheetName val="4_급수설비"/>
      <sheetName val="4_2_급수입상배관"/>
      <sheetName val="4_3_급수횡주관"/>
      <sheetName val="5_1_열교환기"/>
      <sheetName val="GEN_"/>
      <sheetName val="DATA_입력란"/>
      <sheetName val="1__설계조건_2_단면가정_3__하중계산"/>
      <sheetName val="12_17"/>
      <sheetName val="가스공사_"/>
      <sheetName val="3련_BOX"/>
      <sheetName val="1_설계조건_"/>
      <sheetName val="설계기준설명_"/>
      <sheetName val="2_단면가정_(BASE)"/>
      <sheetName val="3_하중및토압_(고정)"/>
      <sheetName val="4_작용하중(고정)"/>
      <sheetName val="5_안정검토(고정)(풍화암)"/>
      <sheetName val="6_벽체계산"/>
      <sheetName val="7_흉벽계산(ASCON)"/>
      <sheetName val="8_FOOTING"/>
      <sheetName val="9_날개벽"/>
      <sheetName val="10_교좌받침"/>
      <sheetName val="11_접속슬라브(ASCON)"/>
      <sheetName val="ꪀᗈ"/>
      <sheetName val="EQUIPMENT_-2"/>
      <sheetName val="건___축"/>
      <sheetName val="4_3__급수펌프선정"/>
      <sheetName val="4_3_2_급탕순환펌프"/>
      <sheetName val="4_3_3__배수펌프"/>
      <sheetName val="4_4__전기온수기"/>
      <sheetName val="4_5__보일러"/>
      <sheetName val="4_4__급탕탱크"/>
      <sheetName val="4_6__급탕탱크"/>
      <sheetName val="crude_SLAB_RE-bar"/>
      <sheetName val="자__재"/>
      <sheetName val="Bag_Filter_Sizing"/>
      <sheetName val="BOX구조해석_설명서"/>
      <sheetName val="철근량_검토"/>
      <sheetName val="준검_내역서"/>
      <sheetName val="1_내역(청_하역장전등)"/>
      <sheetName val="내역서1999_8최종"/>
      <sheetName val="9,10월신제품_(2)"/>
      <sheetName val="1_공사개요(입력)"/>
      <sheetName val="6__안전관리비"/>
      <sheetName val="5__현장관리비(new)_"/>
      <sheetName val="LEGEND_i"/>
      <sheetName val="전화_인터넷(현장)"/>
      <sheetName val="3_0냉난방열원집계"/>
      <sheetName val="4_1AHU"/>
      <sheetName val="4_3_공기압축기"/>
      <sheetName val="4_7_전기라디에타_"/>
      <sheetName val="4_9_AC_"/>
      <sheetName val="4_11_FAN"/>
      <sheetName val="4_12_TANK_4_13_탈취기"/>
      <sheetName val="4_14_PUMP"/>
      <sheetName val="5_위생설비"/>
      <sheetName val="평형별_세대수"/>
      <sheetName val="G_R300경비"/>
      <sheetName val="집_계_표"/>
      <sheetName val="정계약_현황"/>
      <sheetName val="1_기계_납품_진행__현황"/>
      <sheetName val="2_협력업체_담당자_및_연락처"/>
      <sheetName val="15_문제점"/>
      <sheetName val="블럭_손익"/>
      <sheetName val="_총괄표"/>
      <sheetName val="수배전반_을지"/>
      <sheetName val="8_PILE__(돌출)"/>
      <sheetName val="Sheet2_(2)"/>
      <sheetName val="파주_운정지구_A8블럭"/>
      <sheetName val="3BL공동구_수량"/>
      <sheetName val="총_원가계산"/>
      <sheetName val="5_세운W-A"/>
      <sheetName val="토공사및_흙막이공사7"/>
      <sheetName val="써100_(A4)7"/>
      <sheetName val="F_C_U_ZONE집계7"/>
      <sheetName val="A_H_U_ZONE별집계7"/>
      <sheetName val="PAC_집계7"/>
      <sheetName val="1_가스소비량7"/>
      <sheetName val="1-3_가스관경계산-17"/>
      <sheetName val="1-4_가스관경계산-27"/>
      <sheetName val="1-5_가스관경계산-37"/>
      <sheetName val="1-6_가스관경계산-4_7"/>
      <sheetName val="1-7_가스관경계산-57"/>
      <sheetName val="1-7_가스차압산출7"/>
      <sheetName val="1_견적서목록7"/>
      <sheetName val="부하계산서_(영문)7"/>
      <sheetName val="PEND-ITEM_(2)7"/>
      <sheetName val="견적표지_(횡)7"/>
      <sheetName val="부하집계표_(2안)7"/>
      <sheetName val="부하계산서_7"/>
      <sheetName val="UNIT_COOLER_선정표7"/>
      <sheetName val="ACCUMULALOR_(2안)7"/>
      <sheetName val="동력집계표_(2안)7"/>
      <sheetName val="cooling_tower_(2)7"/>
      <sheetName val="cooling_water_pump7"/>
      <sheetName val="DEFROEST_PUMP7"/>
      <sheetName val="기기선정표_(2안)7"/>
      <sheetName val="cooling_tower7"/>
      <sheetName val="부하집계표_(2)7"/>
      <sheetName val="덕트_및_배기그릴선정7"/>
      <sheetName val="OCT_FDN7"/>
      <sheetName val="EXT_CHECK7"/>
      <sheetName val="P-127E1,E2_7"/>
      <sheetName val="P-123E1,E2_7"/>
      <sheetName val="P-128E_7"/>
      <sheetName val="（３）_7"/>
      <sheetName val="목차_(2)7"/>
      <sheetName val="1-1_손익(부문별)7"/>
      <sheetName val="1-2_손익(월별)7"/>
      <sheetName val="2-1_판관비(부문)7"/>
      <sheetName val="2-2_판관비(월별)7"/>
      <sheetName val="3-1_수익비용(부문별)7"/>
      <sheetName val="3-2_수익비용(월별)7"/>
      <sheetName val="4-1_투자(부문)7"/>
      <sheetName val="4-2_투자(월별)7"/>
      <sheetName val="5-1_인원(부문)7"/>
      <sheetName val="5-2_인원(월별)7"/>
      <sheetName val="6_산출근거7"/>
      <sheetName val="7_현금흐름7"/>
      <sheetName val="마케팅1_(2)7"/>
      <sheetName val="마케팅1_(3)7"/>
      <sheetName val="마케팅1_(4)7"/>
      <sheetName val="01_1담당매출계획27_8$7"/>
      <sheetName val="01매출계획_선용품7"/>
      <sheetName val="작업악성채권직원판매제외(거래선별)_7"/>
      <sheetName val="작업악성채권직원판매제외_(담당별종합)7"/>
      <sheetName val="작업악성채권직원판매제외_(담당별)7"/>
      <sheetName val="판촉비예산_7"/>
      <sheetName val="인테리어_시설7"/>
      <sheetName val="파_3층_특설_장치장식비7"/>
      <sheetName val="총괄_(03년11월)h&amp;s7"/>
      <sheetName val="총괄_(03년11월)여행7"/>
      <sheetName val="세부내용_(03년11월)여행7"/>
      <sheetName val="개인_세부내용_(03년11월)여행7"/>
      <sheetName val="동구일반상품_7"/>
      <sheetName val="남양시작동자105노65기1_3화1_27"/>
      <sheetName val="97_사업추정(WEKI)7"/>
      <sheetName val="TRE_TABLE7"/>
      <sheetName val="비교손익계산서_1"/>
      <sheetName val="2003_121"/>
      <sheetName val="2002_121"/>
      <sheetName val="1_수인터널6"/>
      <sheetName val="PE거푸집(1_2)7"/>
      <sheetName val="갑지_(2)6"/>
      <sheetName val="비목별_투자_집계6"/>
      <sheetName val="자재비내역_6"/>
      <sheetName val="운반비_내역6"/>
      <sheetName val="사무_용품비6"/>
      <sheetName val="지대_및_집세6"/>
      <sheetName val="갑지_2_(2)6"/>
      <sheetName val="갑지_26"/>
      <sheetName val="영업_일11"/>
      <sheetName val="표지_(2)7"/>
      <sheetName val="unit_47"/>
      <sheetName val="1차_내역서7"/>
      <sheetName val="BEND_LOSS7"/>
      <sheetName val="토목내역서_(도급단가)7"/>
      <sheetName val="3_건축(현장안)7"/>
      <sheetName val="A_LINE7"/>
      <sheetName val="WEIGHT_LIST7"/>
      <sheetName val="산#2-1_(2)7"/>
      <sheetName val="P_M_별7"/>
      <sheetName val="PUNCH_LIST7"/>
      <sheetName val="WELDING_JOINT_INSPECTION_STATU7"/>
      <sheetName val="토공(우물통,기타)_7"/>
      <sheetName val="2_2_10_샤시등7"/>
      <sheetName val="A3_공사비_검토7"/>
      <sheetName val="C3_토목_옹벽7"/>
      <sheetName val="A6_샤시등7"/>
      <sheetName val="전선_및_전선관7"/>
      <sheetName val="에너지성능지표검토서(기계,_전기,_신재생)7"/>
      <sheetName val="7_수지7"/>
      <sheetName val="TOWER_12TON7"/>
      <sheetName val="JIB_CRANE,HOIST7"/>
      <sheetName val="TOWER_10TON7"/>
      <sheetName val="BSD__2_7"/>
      <sheetName val="내역서_(2)7"/>
      <sheetName val="구조______6"/>
      <sheetName val="배수입상_7"/>
      <sheetName val="내역서_(3)7"/>
      <sheetName val="내역서_(4)7"/>
      <sheetName val="아파트_7"/>
      <sheetName val="2000년_공정표6"/>
      <sheetName val="IMP_(REACTOR)6"/>
      <sheetName val="1장_7"/>
      <sheetName val="1_개요_7"/>
      <sheetName val="2_조건_7"/>
      <sheetName val="3_공식붙임7"/>
      <sheetName val="4장_7"/>
      <sheetName val="1_AHU_7"/>
      <sheetName val="2_AHU-17"/>
      <sheetName val="2_FAN7"/>
      <sheetName val="1_급탕7"/>
      <sheetName val="6장_별첨7"/>
      <sheetName val="콤보박스와_리스트박스의_연결6"/>
      <sheetName val="0_갑지6"/>
      <sheetName val="1_공통가설공사6"/>
      <sheetName val="2_토목공사6"/>
      <sheetName val="3_건축공사6"/>
      <sheetName val="4_설비공사6"/>
      <sheetName val="5_전기공사6"/>
      <sheetName val="7_안전관리비6"/>
      <sheetName val="8_현장관리비6"/>
      <sheetName val="인원투입_계획표6"/>
      <sheetName val="공사계약현황_(기계설비))6"/>
      <sheetName val="공사계약현황_(전기)6"/>
      <sheetName val="2000_056"/>
      <sheetName val="추정공사비_산출결과7"/>
      <sheetName val="월별손익(용역)_7"/>
      <sheetName val="1-1_손익(온정각)7"/>
      <sheetName val="1-1_손익(관광식당)7"/>
      <sheetName val="1-1_손익(직원식당)7"/>
      <sheetName val="1-2_월별손익(온정각)7"/>
      <sheetName val="1-2_월별손익(관광식당)7"/>
      <sheetName val="1-2_월별손익(직원식당)7"/>
      <sheetName val="2-1_판관비(지원)7"/>
      <sheetName val="2-1_판관비(관광)7"/>
      <sheetName val="2-1_판관비(직원)_7"/>
      <sheetName val="2-1_판관비(온정각)7"/>
      <sheetName val="2-2_월별판관비(온정각)7"/>
      <sheetName val="2-2_월별판관비(지원)7"/>
      <sheetName val="2-2_월별판관비(직원)7"/>
      <sheetName val="2-2_월별판관비(휴게소)7"/>
      <sheetName val="2-2_월별판관비(스넥코너)7"/>
      <sheetName val="2-2_월별판관비(음료코너)7"/>
      <sheetName val="2-2_월별판관비(온천장)7"/>
      <sheetName val="5-1_인원(온정각)7"/>
      <sheetName val="99년누계_(월별)7"/>
      <sheetName val="1_설계조건6"/>
      <sheetName val="인건비_1"/>
      <sheetName val="2__공원조도1"/>
      <sheetName val="고효율_유도전동기_적용비율_계산서7"/>
      <sheetName val="건축실행__(5)6"/>
      <sheetName val="SEV_wiress4_Total1"/>
      <sheetName val="SEV_wireles_4__fire_fighting_1"/>
      <sheetName val="SEV_wireles_4__fire_Alarm1"/>
      <sheetName val="B_1-11"/>
      <sheetName val="B_1-21"/>
      <sheetName val="B_1-31"/>
      <sheetName val="B_1-41"/>
      <sheetName val="B_1-51"/>
      <sheetName val="B_1-61"/>
      <sheetName val="B_1-71"/>
      <sheetName val="B_21"/>
      <sheetName val="B_31"/>
      <sheetName val="B_41"/>
      <sheetName val="B_6-11"/>
      <sheetName val="B_6-21"/>
      <sheetName val="7_경제성결과1"/>
      <sheetName val="BSD_(2)1"/>
      <sheetName val="플랜트_설치6"/>
      <sheetName val="참고용_(2)6"/>
      <sheetName val="COMPARISON_TABLE6"/>
      <sheetName val="Eq__Mobilization6"/>
      <sheetName val="간접비_총괄표6"/>
      <sheetName val="6PILE__(돌출)6"/>
      <sheetName val="공사예산하조서(O_K)6"/>
      <sheetName val="C_배수관공6"/>
      <sheetName val="수목데이타_6"/>
      <sheetName val="정산서_6"/>
      <sheetName val="1_설계기준6"/>
      <sheetName val="역T형옹벽(3_0)6"/>
      <sheetName val="2_냉난방설비공사6"/>
      <sheetName val="7_자동제어공사6"/>
      <sheetName val="1_취수장6"/>
      <sheetName val="3_고급화검토6"/>
      <sheetName val="2_공사비_검토6"/>
      <sheetName val="5_공종별예산내역서6"/>
      <sheetName val="1_CB6"/>
      <sheetName val="1_CB_(2)6"/>
      <sheetName val="1_CB_(3)6"/>
      <sheetName val="C급보_6"/>
      <sheetName val="wage_Cal6"/>
      <sheetName val="일단의_주택지1"/>
      <sheetName val="단가_1"/>
      <sheetName val="하도내역_(철콘)1"/>
      <sheetName val="수량산출서_갑지1"/>
      <sheetName val="실행내역_1"/>
      <sheetName val="설_계1"/>
      <sheetName val="입출재고현황_(2)1"/>
      <sheetName val="4-3_보온_기본물량집계1"/>
      <sheetName val="Mech_CIF6"/>
      <sheetName val="할증_1"/>
      <sheetName val="승용C_S1"/>
      <sheetName val="상용C_S1"/>
      <sheetName val="1_우편집중내역서1"/>
      <sheetName val="환경기계공정표_(3)1"/>
      <sheetName val="신단가_(내진설치비)1"/>
      <sheetName val="1_집계표1"/>
      <sheetName val="2_공통가설공사1"/>
      <sheetName val="4_기계설비공사1"/>
      <sheetName val="7__안전관리비1"/>
      <sheetName val="식대_숙직비1"/>
      <sheetName val="프린트_(3)1"/>
      <sheetName val="간지-2_(2)1"/>
      <sheetName val="_1__개요1"/>
      <sheetName val="_2__난방설비1"/>
      <sheetName val="열관류율_계산서1"/>
      <sheetName val="2_3_세대별난방부하집계1"/>
      <sheetName val="보일러_선정1"/>
      <sheetName val="84A_(2)1"/>
      <sheetName val="84B_(2)1"/>
      <sheetName val="84C_(2)1"/>
      <sheetName val="101A_(2)1"/>
      <sheetName val="101B_(2)1"/>
      <sheetName val="101C_(2)1"/>
      <sheetName val="난방부하집계_(2)1"/>
      <sheetName val="2_3_세대별난방부하집계_(2)1"/>
      <sheetName val="보일러_선정_(2)1"/>
      <sheetName val="4_급수설비1"/>
      <sheetName val="4_2_급수입상배관1"/>
      <sheetName val="4_3_급수횡주관1"/>
      <sheetName val="5_1_열교환기1"/>
      <sheetName val="Sheet1_(2)1"/>
      <sheetName val="4-0_툫자1"/>
      <sheetName val="단위세대_개요1"/>
      <sheetName val="GEN_1"/>
      <sheetName val="2_대외공문1"/>
      <sheetName val="1_구리중_(제조사A)1"/>
      <sheetName val="1_구리중_(제조사B)1"/>
      <sheetName val="1_구리중_(제조사C)1"/>
      <sheetName val="2_토평초(제조사A)1"/>
      <sheetName val="2_토평초(제조사B)1"/>
      <sheetName val="2_토평초(제조사C)1"/>
      <sheetName val="3_평내초(제조사A)1"/>
      <sheetName val="3_평내초(제조사B)1"/>
      <sheetName val="3_평내초(제조사C)1"/>
      <sheetName val="실외기_배관트레이1"/>
      <sheetName val="중앙콘트롤러설치용전선_1"/>
      <sheetName val="을_11"/>
      <sheetName val="을_21"/>
      <sheetName val="토목내역_(2)1"/>
      <sheetName val="DATA_입력란1"/>
      <sheetName val="1__설계조건_2_단면가정_3__하중계산1"/>
      <sheetName val="12_171"/>
      <sheetName val="가스공사_1"/>
      <sheetName val="3련_BOX1"/>
      <sheetName val="1_설계조건_1"/>
      <sheetName val="설계기준설명_1"/>
      <sheetName val="2_단면가정_(BASE)1"/>
      <sheetName val="3_하중및토압_(고정)1"/>
      <sheetName val="4_작용하중(고정)1"/>
      <sheetName val="5_안정검토(고정)(풍화암)1"/>
      <sheetName val="6_벽체계산1"/>
      <sheetName val="7_흉벽계산(ASCON)1"/>
      <sheetName val="8_FOOTING1"/>
      <sheetName val="9_날개벽1"/>
      <sheetName val="10_교좌받침1"/>
      <sheetName val="11_접속슬라브(ASCON)1"/>
      <sheetName val="EQUIPMENT_-21"/>
      <sheetName val="건___축1"/>
      <sheetName val="4_3__급수펌프선정1"/>
      <sheetName val="4_3_2_급탕순환펌프1"/>
      <sheetName val="4_3_3__배수펌프1"/>
      <sheetName val="4_4__전기온수기1"/>
      <sheetName val="4_5__보일러1"/>
      <sheetName val="4_4__급탕탱크1"/>
      <sheetName val="4_6__급탕탱크1"/>
      <sheetName val="crude_SLAB_RE-bar1"/>
      <sheetName val="자__재1"/>
      <sheetName val="Bag_Filter_Sizing1"/>
      <sheetName val="BOX구조해석_설명서1"/>
      <sheetName val="철근량_검토1"/>
      <sheetName val="준검_내역서1"/>
      <sheetName val="1_내역(청_하역장전등)1"/>
      <sheetName val="내역서1999_8최종1"/>
      <sheetName val="9,10월신제품_(2)1"/>
      <sheetName val="1_공사개요(입력)1"/>
      <sheetName val="6__안전관리비1"/>
      <sheetName val="5__현장관리비(new)_1"/>
      <sheetName val="LEGEND_i1"/>
      <sheetName val="전화_인터넷(현장)1"/>
      <sheetName val="3_0냉난방열원집계1"/>
      <sheetName val="4_1AHU1"/>
      <sheetName val="4_3_공기압축기1"/>
      <sheetName val="4_7_전기라디에타_1"/>
      <sheetName val="4_9_AC_1"/>
      <sheetName val="4_11_FAN1"/>
      <sheetName val="4_12_TANK_4_13_탈취기1"/>
      <sheetName val="4_14_PUMP1"/>
      <sheetName val="5_위생설비1"/>
      <sheetName val="평형별_세대수1"/>
      <sheetName val="G_R300경비1"/>
      <sheetName val="집_계_표1"/>
      <sheetName val="정계약_현황1"/>
      <sheetName val="1_기계_납품_진행__현황1"/>
      <sheetName val="2_협력업체_담당자_및_연락처1"/>
      <sheetName val="15_문제점1"/>
      <sheetName val="블럭_손익1"/>
      <sheetName val="_총괄표1"/>
      <sheetName val="수배전반_을지1"/>
      <sheetName val="8_PILE__(돌출)1"/>
      <sheetName val="Sheet2_(2)1"/>
      <sheetName val="파주_운정지구_A8블럭1"/>
      <sheetName val="3BL공동구_수량1"/>
      <sheetName val="총_원가계산1"/>
      <sheetName val="5_세운W-A1"/>
      <sheetName val="토공사및_흙막이공사8"/>
      <sheetName val="써100_(A4)8"/>
      <sheetName val="F_C_U_ZONE집계8"/>
      <sheetName val="A_H_U_ZONE별집계8"/>
      <sheetName val="PAC_집계8"/>
      <sheetName val="1_가스소비량8"/>
      <sheetName val="1-3_가스관경계산-18"/>
      <sheetName val="1-4_가스관경계산-28"/>
      <sheetName val="1-5_가스관경계산-38"/>
      <sheetName val="1-6_가스관경계산-4_8"/>
      <sheetName val="1-7_가스관경계산-58"/>
      <sheetName val="1-7_가스차압산출8"/>
      <sheetName val="1_견적서목록8"/>
      <sheetName val="부하계산서_(영문)8"/>
      <sheetName val="PEND-ITEM_(2)8"/>
      <sheetName val="견적표지_(횡)8"/>
      <sheetName val="부하집계표_(2안)8"/>
      <sheetName val="부하계산서_8"/>
      <sheetName val="UNIT_COOLER_선정표8"/>
      <sheetName val="ACCUMULALOR_(2안)8"/>
      <sheetName val="동력집계표_(2안)8"/>
      <sheetName val="cooling_tower_(2)8"/>
      <sheetName val="cooling_water_pump8"/>
      <sheetName val="DEFROEST_PUMP8"/>
      <sheetName val="기기선정표_(2안)8"/>
      <sheetName val="cooling_tower8"/>
      <sheetName val="부하집계표_(2)8"/>
      <sheetName val="덕트_및_배기그릴선정8"/>
      <sheetName val="OCT_FDN8"/>
      <sheetName val="EXT_CHECK8"/>
      <sheetName val="P-127E1,E2_8"/>
      <sheetName val="P-123E1,E2_8"/>
      <sheetName val="P-128E_8"/>
      <sheetName val="（３）_8"/>
      <sheetName val="목차_(2)8"/>
      <sheetName val="1-1_손익(부문별)8"/>
      <sheetName val="1-2_손익(월별)8"/>
      <sheetName val="2-1_판관비(부문)8"/>
      <sheetName val="2-2_판관비(월별)8"/>
      <sheetName val="3-1_수익비용(부문별)8"/>
      <sheetName val="3-2_수익비용(월별)8"/>
      <sheetName val="4-1_투자(부문)8"/>
      <sheetName val="4-2_투자(월별)8"/>
      <sheetName val="5-1_인원(부문)8"/>
      <sheetName val="5-2_인원(월별)8"/>
      <sheetName val="6_산출근거8"/>
      <sheetName val="7_현금흐름8"/>
      <sheetName val="마케팅1_(2)8"/>
      <sheetName val="마케팅1_(3)8"/>
      <sheetName val="마케팅1_(4)8"/>
      <sheetName val="01_1담당매출계획27_8$8"/>
      <sheetName val="01매출계획_선용품8"/>
      <sheetName val="작업악성채권직원판매제외(거래선별)_8"/>
      <sheetName val="작업악성채권직원판매제외_(담당별종합)8"/>
      <sheetName val="작업악성채권직원판매제외_(담당별)8"/>
      <sheetName val="판촉비예산_8"/>
      <sheetName val="인테리어_시설8"/>
      <sheetName val="파_3층_특설_장치장식비8"/>
      <sheetName val="총괄_(03년11월)h&amp;s8"/>
      <sheetName val="총괄_(03년11월)여행8"/>
      <sheetName val="세부내용_(03년11월)여행8"/>
      <sheetName val="개인_세부내용_(03년11월)여행8"/>
      <sheetName val="동구일반상품_8"/>
      <sheetName val="남양시작동자105노65기1_3화1_28"/>
      <sheetName val="97_사업추정(WEKI)8"/>
      <sheetName val="TRE_TABLE8"/>
      <sheetName val="비교손익계산서_2"/>
      <sheetName val="2003_122"/>
      <sheetName val="2002_122"/>
      <sheetName val="1_수인터널7"/>
      <sheetName val="PE거푸집(1_2)8"/>
      <sheetName val="갑지_(2)7"/>
      <sheetName val="비목별_투자_집계7"/>
      <sheetName val="자재비내역_7"/>
      <sheetName val="운반비_내역7"/>
      <sheetName val="사무_용품비7"/>
      <sheetName val="지대_및_집세7"/>
      <sheetName val="갑지_2_(2)7"/>
      <sheetName val="갑지_27"/>
      <sheetName val="영업_일12"/>
      <sheetName val="표지_(2)8"/>
      <sheetName val="unit_48"/>
      <sheetName val="1차_내역서8"/>
      <sheetName val="BEND_LOSS8"/>
      <sheetName val="토목내역서_(도급단가)8"/>
      <sheetName val="3_건축(현장안)8"/>
      <sheetName val="A_LINE8"/>
      <sheetName val="WEIGHT_LIST8"/>
      <sheetName val="산#2-1_(2)8"/>
      <sheetName val="P_M_별8"/>
      <sheetName val="PUNCH_LIST8"/>
      <sheetName val="WELDING_JOINT_INSPECTION_STATU8"/>
      <sheetName val="토공(우물통,기타)_8"/>
      <sheetName val="2_2_10_샤시등8"/>
      <sheetName val="A3_공사비_검토8"/>
      <sheetName val="C3_토목_옹벽8"/>
      <sheetName val="A6_샤시등8"/>
      <sheetName val="전선_및_전선관8"/>
      <sheetName val="에너지성능지표검토서(기계,_전기,_신재생)8"/>
      <sheetName val="7_수지8"/>
      <sheetName val="TOWER_12TON8"/>
      <sheetName val="JIB_CRANE,HOIST8"/>
      <sheetName val="TOWER_10TON8"/>
      <sheetName val="BSD__2_8"/>
      <sheetName val="내역서_(2)8"/>
      <sheetName val="구조______7"/>
      <sheetName val="배수입상_8"/>
      <sheetName val="내역서_(3)8"/>
      <sheetName val="내역서_(4)8"/>
      <sheetName val="아파트_8"/>
      <sheetName val="2000년_공정표7"/>
      <sheetName val="IMP_(REACTOR)7"/>
      <sheetName val="1장_8"/>
      <sheetName val="1_개요_8"/>
      <sheetName val="2_조건_8"/>
      <sheetName val="3_공식붙임8"/>
      <sheetName val="4장_8"/>
      <sheetName val="1_AHU_8"/>
      <sheetName val="2_AHU-18"/>
      <sheetName val="2_FAN8"/>
      <sheetName val="1_급탕8"/>
      <sheetName val="6장_별첨8"/>
      <sheetName val="콤보박스와_리스트박스의_연결7"/>
      <sheetName val="0_갑지7"/>
      <sheetName val="1_공통가설공사7"/>
      <sheetName val="2_토목공사7"/>
      <sheetName val="3_건축공사7"/>
      <sheetName val="4_설비공사7"/>
      <sheetName val="5_전기공사7"/>
      <sheetName val="7_안전관리비7"/>
      <sheetName val="8_현장관리비7"/>
      <sheetName val="인원투입_계획표7"/>
      <sheetName val="공사계약현황_(기계설비))7"/>
      <sheetName val="공사계약현황_(전기)7"/>
      <sheetName val="2000_057"/>
      <sheetName val="추정공사비_산출결과8"/>
      <sheetName val="월별손익(용역)_8"/>
      <sheetName val="1-1_손익(온정각)8"/>
      <sheetName val="1-1_손익(관광식당)8"/>
      <sheetName val="1-1_손익(직원식당)8"/>
      <sheetName val="1-2_월별손익(온정각)8"/>
      <sheetName val="1-2_월별손익(관광식당)8"/>
      <sheetName val="1-2_월별손익(직원식당)8"/>
      <sheetName val="2-1_판관비(지원)8"/>
      <sheetName val="2-1_판관비(관광)8"/>
      <sheetName val="2-1_판관비(직원)_8"/>
      <sheetName val="2-1_판관비(온정각)8"/>
      <sheetName val="2-2_월별판관비(온정각)8"/>
      <sheetName val="2-2_월별판관비(지원)8"/>
      <sheetName val="2-2_월별판관비(직원)8"/>
      <sheetName val="2-2_월별판관비(휴게소)8"/>
      <sheetName val="2-2_월별판관비(스넥코너)8"/>
      <sheetName val="2-2_월별판관비(음료코너)8"/>
      <sheetName val="2-2_월별판관비(온천장)8"/>
      <sheetName val="5-1_인원(온정각)8"/>
      <sheetName val="99년누계_(월별)8"/>
      <sheetName val="1_설계조건7"/>
      <sheetName val="인건비_2"/>
      <sheetName val="2__공원조도2"/>
      <sheetName val="고효율_유도전동기_적용비율_계산서8"/>
      <sheetName val="건축실행__(5)7"/>
      <sheetName val="SEV_wiress4_Total2"/>
      <sheetName val="SEV_wireles_4__fire_fighting_2"/>
      <sheetName val="SEV_wireles_4__fire_Alarm2"/>
      <sheetName val="B_1-12"/>
      <sheetName val="B_1-22"/>
      <sheetName val="B_1-32"/>
      <sheetName val="B_1-42"/>
      <sheetName val="B_1-52"/>
      <sheetName val="B_1-62"/>
      <sheetName val="B_1-72"/>
      <sheetName val="B_22"/>
      <sheetName val="B_32"/>
      <sheetName val="B_42"/>
      <sheetName val="B_6-12"/>
      <sheetName val="B_6-22"/>
      <sheetName val="7_경제성결과2"/>
      <sheetName val="BSD_(2)2"/>
      <sheetName val="플랜트_설치7"/>
      <sheetName val="참고용_(2)7"/>
      <sheetName val="COMPARISON_TABLE7"/>
      <sheetName val="Eq__Mobilization7"/>
      <sheetName val="간접비_총괄표7"/>
      <sheetName val="6PILE__(돌출)7"/>
      <sheetName val="공사예산하조서(O_K)7"/>
      <sheetName val="C_배수관공7"/>
      <sheetName val="수목데이타_7"/>
      <sheetName val="정산서_7"/>
      <sheetName val="1_설계기준7"/>
      <sheetName val="역T형옹벽(3_0)7"/>
      <sheetName val="2_냉난방설비공사7"/>
      <sheetName val="7_자동제어공사7"/>
      <sheetName val="1_취수장7"/>
      <sheetName val="3_고급화검토7"/>
      <sheetName val="2_공사비_검토7"/>
      <sheetName val="5_공종별예산내역서7"/>
      <sheetName val="1_CB7"/>
      <sheetName val="1_CB_(2)7"/>
      <sheetName val="1_CB_(3)7"/>
      <sheetName val="C급보_7"/>
      <sheetName val="wage_Cal7"/>
      <sheetName val="일단의_주택지2"/>
      <sheetName val="단가_2"/>
      <sheetName val="하도내역_(철콘)2"/>
      <sheetName val="수량산출서_갑지2"/>
      <sheetName val="실행내역_2"/>
      <sheetName val="설_계2"/>
      <sheetName val="입출재고현황_(2)2"/>
      <sheetName val="4-3_보온_기본물량집계2"/>
      <sheetName val="Mech_CIF7"/>
      <sheetName val="할증_2"/>
      <sheetName val="승용C_S2"/>
      <sheetName val="상용C_S2"/>
      <sheetName val="1_우편집중내역서2"/>
      <sheetName val="환경기계공정표_(3)2"/>
      <sheetName val="신단가_(내진설치비)2"/>
      <sheetName val="1_집계표2"/>
      <sheetName val="2_공통가설공사2"/>
      <sheetName val="4_기계설비공사2"/>
      <sheetName val="7__안전관리비2"/>
      <sheetName val="식대_숙직비2"/>
      <sheetName val="프린트_(3)2"/>
      <sheetName val="간지-2_(2)2"/>
      <sheetName val="_1__개요2"/>
      <sheetName val="_2__난방설비2"/>
      <sheetName val="열관류율_계산서2"/>
      <sheetName val="2_3_세대별난방부하집계2"/>
      <sheetName val="보일러_선정2"/>
      <sheetName val="84A_(2)2"/>
      <sheetName val="84B_(2)2"/>
      <sheetName val="84C_(2)2"/>
      <sheetName val="101A_(2)2"/>
      <sheetName val="101B_(2)2"/>
      <sheetName val="101C_(2)2"/>
      <sheetName val="난방부하집계_(2)2"/>
      <sheetName val="2_3_세대별난방부하집계_(2)2"/>
      <sheetName val="보일러_선정_(2)2"/>
      <sheetName val="4_급수설비2"/>
      <sheetName val="4_2_급수입상배관2"/>
      <sheetName val="4_3_급수횡주관2"/>
      <sheetName val="5_1_열교환기2"/>
      <sheetName val="Sheet1_(2)2"/>
      <sheetName val="4-0_툫자2"/>
      <sheetName val="단위세대_개요2"/>
      <sheetName val="GEN_2"/>
      <sheetName val="2_대외공문2"/>
      <sheetName val="1_구리중_(제조사A)2"/>
      <sheetName val="1_구리중_(제조사B)2"/>
      <sheetName val="1_구리중_(제조사C)2"/>
      <sheetName val="2_토평초(제조사A)2"/>
      <sheetName val="2_토평초(제조사B)2"/>
      <sheetName val="2_토평초(제조사C)2"/>
      <sheetName val="3_평내초(제조사A)2"/>
      <sheetName val="3_평내초(제조사B)2"/>
      <sheetName val="3_평내초(제조사C)2"/>
      <sheetName val="실외기_배관트레이2"/>
      <sheetName val="중앙콘트롤러설치용전선_2"/>
      <sheetName val="을_12"/>
      <sheetName val="을_22"/>
      <sheetName val="토목내역_(2)2"/>
      <sheetName val="DATA_입력란2"/>
      <sheetName val="1__설계조건_2_단면가정_3__하중계산2"/>
      <sheetName val="12_172"/>
      <sheetName val="가스공사_2"/>
      <sheetName val="3련_BOX2"/>
      <sheetName val="1_설계조건_2"/>
      <sheetName val="설계기준설명_2"/>
      <sheetName val="2_단면가정_(BASE)2"/>
      <sheetName val="3_하중및토압_(고정)2"/>
      <sheetName val="4_작용하중(고정)2"/>
      <sheetName val="5_안정검토(고정)(풍화암)2"/>
      <sheetName val="6_벽체계산2"/>
      <sheetName val="7_흉벽계산(ASCON)2"/>
      <sheetName val="8_FOOTING2"/>
      <sheetName val="9_날개벽2"/>
      <sheetName val="10_교좌받침2"/>
      <sheetName val="11_접속슬라브(ASCON)2"/>
      <sheetName val="EQUIPMENT_-22"/>
      <sheetName val="건___축2"/>
      <sheetName val="4_3__급수펌프선정2"/>
      <sheetName val="4_3_2_급탕순환펌프2"/>
      <sheetName val="4_3_3__배수펌프2"/>
      <sheetName val="4_4__전기온수기2"/>
      <sheetName val="4_5__보일러2"/>
      <sheetName val="4_4__급탕탱크2"/>
      <sheetName val="4_6__급탕탱크2"/>
      <sheetName val="crude_SLAB_RE-bar2"/>
      <sheetName val="자__재2"/>
      <sheetName val="Bag_Filter_Sizing2"/>
      <sheetName val="BOX구조해석_설명서2"/>
      <sheetName val="철근량_검토2"/>
      <sheetName val="준검_내역서2"/>
      <sheetName val="1_내역(청_하역장전등)2"/>
      <sheetName val="내역서1999_8최종2"/>
      <sheetName val="9,10월신제품_(2)2"/>
      <sheetName val="1_공사개요(입력)2"/>
      <sheetName val="6__안전관리비2"/>
      <sheetName val="5__현장관리비(new)_2"/>
      <sheetName val="LEGEND_i2"/>
      <sheetName val="전화_인터넷(현장)2"/>
      <sheetName val="3_0냉난방열원집계2"/>
      <sheetName val="4_1AHU2"/>
      <sheetName val="4_3_공기압축기2"/>
      <sheetName val="4_7_전기라디에타_2"/>
      <sheetName val="4_9_AC_2"/>
      <sheetName val="4_11_FAN2"/>
      <sheetName val="4_12_TANK_4_13_탈취기2"/>
      <sheetName val="4_14_PUMP2"/>
      <sheetName val="5_위생설비2"/>
      <sheetName val="평형별_세대수2"/>
      <sheetName val="G_R300경비2"/>
      <sheetName val="집_계_표2"/>
      <sheetName val="정계약_현황2"/>
      <sheetName val="1_기계_납품_진행__현황2"/>
      <sheetName val="2_협력업체_담당자_및_연락처2"/>
      <sheetName val="15_문제점2"/>
      <sheetName val="블럭_손익2"/>
      <sheetName val="_총괄표2"/>
      <sheetName val="수배전반_을지2"/>
      <sheetName val="8_PILE__(돌출)2"/>
      <sheetName val="Sheet2_(2)2"/>
      <sheetName val="파주_운정지구_A8블럭2"/>
      <sheetName val="3BL공동구_수량2"/>
      <sheetName val="총_원가계산2"/>
      <sheetName val="5_세운W-A2"/>
      <sheetName val="명부(최종신청)"/>
      <sheetName val="확정지번"/>
      <sheetName val="내역서(전기)"/>
      <sheetName val="집계표(건축전기)"/>
      <sheetName val="스포회원매출"/>
      <sheetName val="영업외손익등"/>
      <sheetName val="MC"/>
      <sheetName val="구분자"/>
      <sheetName val="MEEDCO Vehicle List"/>
      <sheetName val="FitOutConfCentre"/>
      <sheetName val="실행내역"/>
      <sheetName val="3.7교축하중"/>
      <sheetName val="관경결정"/>
      <sheetName val="[1.xls][1.xls]______C______99_4"/>
      <sheetName val="[1.xls][1.xls]______C______99_3"/>
      <sheetName val="[1.xls][1.xls]______C______99_2"/>
      <sheetName val="[1.xls][1.xls]______C______99_7"/>
      <sheetName val="[1.xls][1.xls]______C______99_6"/>
      <sheetName val="[1.xls][1.xls]______C______99_5"/>
      <sheetName val="GAEYO"/>
      <sheetName val="Quality"/>
      <sheetName val="People"/>
      <sheetName val="Risk"/>
      <sheetName val="Training"/>
      <sheetName val="General"/>
      <sheetName val="Instructions"/>
      <sheetName val="2-1. 경관조명 내역총괄표"/>
      <sheetName val="돌담교 상부수량"/>
      <sheetName val="태화42 "/>
      <sheetName val="파일의이용"/>
      <sheetName val="FB25JN"/>
      <sheetName val="Mc1"/>
      <sheetName val="3단계"/>
      <sheetName val="1단계"/>
      <sheetName val="2단계"/>
      <sheetName val=" 냉각수펌프"/>
      <sheetName val="98지급계획"/>
      <sheetName val="내역(100%)"/>
      <sheetName val="AV시스템"/>
      <sheetName val="ADMIN"/>
      <sheetName val="__MIGA_______TOWER_P_KBLEE____2"/>
      <sheetName val="터널조도"/>
      <sheetName val="노무비비목코드"/>
      <sheetName val="납품도설치도"/>
      <sheetName val="MAIN GATE HOUSE"/>
      <sheetName val="적용토목"/>
      <sheetName val="구조물공"/>
      <sheetName val="CRUDE RE-bar"/>
      <sheetName val="단위수량"/>
      <sheetName val="맨홀수량산출"/>
      <sheetName val="프로젝트"/>
      <sheetName val="견적내역"/>
      <sheetName val="호표"/>
      <sheetName val="백암비스타내역"/>
      <sheetName val="내역서(기계)"/>
      <sheetName val="list"/>
      <sheetName val="견적공통"/>
      <sheetName val="원가계산서(남측)"/>
      <sheetName val="날개벽(시점좌측)"/>
      <sheetName val="물량내역서"/>
      <sheetName val="4-10"/>
      <sheetName val="내역5"/>
      <sheetName val="현장관리비 산출내역"/>
      <sheetName val="S커브"/>
      <sheetName val="구조물공1"/>
      <sheetName val="배수및구조물공1"/>
      <sheetName val="에너지성능지표"/>
      <sheetName val="수량집계"/>
      <sheetName val="공종단가"/>
      <sheetName val="노무비지급명세"/>
      <sheetName val="X17-TOTAL"/>
      <sheetName val="매출매입"/>
      <sheetName val="적용건축"/>
      <sheetName val="참조자료"/>
      <sheetName val="기술부대조건"/>
      <sheetName val="년도별노임표"/>
      <sheetName val="중기목록표"/>
      <sheetName val="H-PILE수량집계"/>
      <sheetName val="코드"/>
      <sheetName val="설계내역"/>
      <sheetName val="금리계산"/>
      <sheetName val="DATA-UPS"/>
      <sheetName val="포장공자재집계표"/>
      <sheetName val="Internal Floor"/>
      <sheetName val="CODE"/>
      <sheetName val="BOX전기내역"/>
      <sheetName val="간접비 _x0000__x0000__x0005_"/>
      <sheetName val="가격표"/>
      <sheetName val="간이2"/>
      <sheetName val="연결방지용"/>
      <sheetName val="차종별"/>
      <sheetName val="간이연락"/>
      <sheetName val="예산계획"/>
      <sheetName val="이름정의"/>
      <sheetName val="투자-국내2"/>
      <sheetName val="전체현황"/>
      <sheetName val="GRACE"/>
      <sheetName val="차수"/>
      <sheetName val="R&amp;D"/>
      <sheetName val="HP1AMLIST"/>
      <sheetName val="ML"/>
      <sheetName val="구동"/>
      <sheetName val="계열사현황종합"/>
      <sheetName val="CALENDAR"/>
      <sheetName val="재료율"/>
      <sheetName val="일괄인쇄"/>
      <sheetName val="B-III"/>
      <sheetName val="승용"/>
      <sheetName val="p2-1"/>
      <sheetName val="[1.xls][1.xls]______C______99_8"/>
      <sheetName val="총괄집계"/>
      <sheetName val="난간기초 (길이별)"/>
      <sheetName val="난간기초철근집계"/>
      <sheetName val="정자"/>
      <sheetName val="정자철근집계"/>
      <sheetName val="난간기초(개별)"/>
      <sheetName val="견적갑지"/>
      <sheetName val="danga"/>
      <sheetName val="Tool"/>
      <sheetName val="그림"/>
      <sheetName val="단가 및 재료비"/>
      <sheetName val="단가산출2"/>
      <sheetName val="단가산출1"/>
      <sheetName val="중기사용료산출근거"/>
      <sheetName val="내역서 "/>
      <sheetName val="일위대가 집계표"/>
      <sheetName val="구리토평"/>
      <sheetName val="간접경상비"/>
      <sheetName val="소방사항"/>
      <sheetName val="교각계산"/>
      <sheetName val="IMPEADENCE MAP 취수장"/>
      <sheetName val="OPGW기별"/>
      <sheetName val="현장대리인_말일"/>
      <sheetName val="사원증 제작"/>
      <sheetName val="메일, 웹하드"/>
      <sheetName val="보험"/>
      <sheetName val="협업, 협회"/>
      <sheetName val="최진한"/>
      <sheetName val="윤원섭"/>
      <sheetName val="본사인적사항"/>
      <sheetName val="현장인적사항"/>
      <sheetName val="현장기술자배치기준"/>
      <sheetName val="보유명단_건설기술인협회"/>
      <sheetName val="최초교육대상"/>
      <sheetName val="사후정산-사회보험edi"/>
      <sheetName val="협력업체"/>
      <sheetName val="사업자등록증"/>
      <sheetName val="면허등록증"/>
      <sheetName val="Sheet3 (2)"/>
      <sheetName val="급수 (LPM)"/>
      <sheetName val="간접비 "/>
      <sheetName val="C3"/>
      <sheetName val="PRECIOS"/>
      <sheetName val="당초"/>
      <sheetName val="Macro"/>
      <sheetName val="Check List"/>
      <sheetName val="FCU선정"/>
      <sheetName val="냉온수유니트"/>
      <sheetName val="물집"/>
      <sheetName val="PIPE"/>
      <sheetName val="FLANGE"/>
      <sheetName val="VALVE"/>
      <sheetName val="현장설명결의서"/>
      <sheetName val="시설이용권명세서"/>
      <sheetName val="4-2.실행분석표(실적)"/>
      <sheetName val="추가예산"/>
      <sheetName val="공종별현황_공무팀자료"/>
      <sheetName val="중기조종사 단위단가"/>
      <sheetName val="제2호단위수량"/>
      <sheetName val="총투입계"/>
      <sheetName val="안전시설내역서"/>
      <sheetName val="설계서을"/>
      <sheetName val="포장물량집계"/>
      <sheetName val="접속도로1"/>
      <sheetName val="추정공사비계ꀀ"/>
      <sheetName val="CAUDIT"/>
      <sheetName val="96월별PL"/>
      <sheetName val="현금및현금등가물"/>
      <sheetName val="F4-F7"/>
      <sheetName val="수정시산표"/>
      <sheetName val="본부요청사항(개보수)"/>
      <sheetName val="2001년12월말"/>
      <sheetName val="s"/>
      <sheetName val="토공계산"/>
      <sheetName val="주요자재집계표지"/>
      <sheetName val="주요자재집계표"/>
      <sheetName val="골재집계"/>
      <sheetName val="레미콘집계"/>
      <sheetName val="배수공집계"/>
      <sheetName val="폴리머 배수로"/>
      <sheetName val="폴리머 집수정"/>
      <sheetName val="포장집계"/>
      <sheetName val="우레탄포장"/>
      <sheetName val="경계석"/>
      <sheetName val="철거공"/>
      <sheetName val="철거공집계"/>
      <sheetName val="육상트랙"/>
      <sheetName val="배수로"/>
      <sheetName val="9-1차이내역"/>
      <sheetName val="대로근거"/>
      <sheetName val="중로근거"/>
      <sheetName val="TANK견적대지"/>
      <sheetName val="해외(원화)"/>
      <sheetName val="단가결정"/>
      <sheetName val="내역아"/>
      <sheetName val="울타리"/>
      <sheetName val="시설물일위"/>
      <sheetName val="eq_data"/>
      <sheetName val="__MIGA_______TOWER_P_KBLEE____3"/>
      <sheetName val="배수내역"/>
      <sheetName val="계산근거"/>
      <sheetName val="물량산출근거"/>
      <sheetName val="기본일위"/>
      <sheetName val="달력"/>
      <sheetName val="품셈"/>
      <sheetName val="산출서"/>
      <sheetName val="3-3.빙축열시스템부하"/>
      <sheetName val="단가조사표"/>
      <sheetName val="일위대가목록표"/>
      <sheetName val="예산내역서"/>
      <sheetName val="제안서"/>
      <sheetName val="행정표준(1)"/>
      <sheetName val="행정표준(2)"/>
      <sheetName val="전입"/>
      <sheetName val="연결관단위"/>
      <sheetName val="★도급내역"/>
      <sheetName val="전기공사"/>
      <sheetName val="횡배수관토공수량"/>
      <sheetName val="원가계산서"/>
      <sheetName val="[1.xls][1.xls]______P_H_S_ex_16"/>
      <sheetName val="[1.xls][1.XLS]______P_H_S_ex_14"/>
      <sheetName val="[1.XLS][1.XLS]______P_H_S_exc_4"/>
      <sheetName val="[1.XLS][1.XLS]______P_H_S_exc_2"/>
      <sheetName val="[1.XLS][1.XLS]______P_H_S_exc_3"/>
      <sheetName val="[1.XLS][1.XLS]______P_H_S_exc_5"/>
      <sheetName val="[1.XLS][1.XLS]______P_H_S_exc_8"/>
      <sheetName val="[1.XLS][1.XLS]______P_H_S_exc_7"/>
      <sheetName val="[1.XLS][1.XLS]______P_H_S_exc_6"/>
      <sheetName val="[1.XLS][1.XLS]______P_H_S_exc_9"/>
      <sheetName val="[1.XLS][1.XLS]______P_H_S_ex_11"/>
      <sheetName val="[1.XLS][1.XLS]______P_H_S_ex_10"/>
      <sheetName val="[1.XLS][1.XLS]______P_H_S_ex_13"/>
      <sheetName val="[1.XLS][1.XLS]______P_H_S_ex_12"/>
      <sheetName val="[1.xls][1.xls]______P_H_S_ex_17"/>
      <sheetName val="[1.xls][1.xls]______P_H_S_ex_15"/>
      <sheetName val="공정표"/>
      <sheetName val="출고표"/>
      <sheetName val="추적성관리대장"/>
      <sheetName val="설치공정표"/>
      <sheetName val="5.단면검토"/>
      <sheetName val="기초INPUT"/>
      <sheetName val="11고객별 담당자"/>
      <sheetName val="[1.xls][1.xls]______P_H_S_ex_18"/>
      <sheetName val="Q(&amp;F)_x0000__x0000_蓑_x0000__x0005__x0005_Ā_x000c_NateOn 정보(&amp;V)_x0000__x0000__x0000__x0003__x0005_"/>
      <sheetName val="_x000f_?"/>
      <sheetName val="거래명세표"/>
      <sheetName val="Q(&amp;F)"/>
      <sheetName val="손익"/>
      <sheetName val="월효율분석"/>
      <sheetName val="99생산계획 (1,300)"/>
      <sheetName val="분양금할인"/>
      <sheetName val="[1.xls][1.xls]______P_H_S_ex_20"/>
      <sheetName val="[1.xls][1.XLS]______P_H_S_ex_19"/>
      <sheetName val="견적 (2)"/>
      <sheetName val="[1.xls][1.xls]______P_H_S_ex_21"/>
      <sheetName val="98수문일위"/>
      <sheetName val="재료"/>
      <sheetName val="설치자재"/>
      <sheetName val="급쉸ᘡ"/>
      <sheetName val="[1.xls][1.xls]______P_H_S_ex_23"/>
      <sheetName val="[1.xls][1.XLS]______P_H_S_ex_22"/>
      <sheetName val="[1.xls][1.xls]______P_H_S_ex_25"/>
      <sheetName val="[1.xls][1.xls]______P_H_S_ex_24"/>
      <sheetName val="[1.xls][1.xls]______P_H_S_ex_26"/>
      <sheetName val="[1.xls][1.xls]______P_H_S_ex_27"/>
      <sheetName val="[1.xls][1.xls]______P_H_S_ex_29"/>
      <sheetName val="[1.xls][1.XLS]______P_H_S_ex_28"/>
      <sheetName val="[1.xls][1.xls]______P_H_S_ex_32"/>
      <sheetName val="[1.xls][1.XLS]______P_H_S_ex_31"/>
      <sheetName val="[1.xls][1.XLS]______P_H_S_ex_30"/>
      <sheetName val="근거(기밀댐퍼)"/>
      <sheetName val="[1.xls][1.xls]______P_H_S_ex_33"/>
      <sheetName val="제-노임"/>
      <sheetName val="[1.xls][1.xls]______P_H_S_ex_34"/>
      <sheetName val="[1.xls][1.xls]______P_H_S_ex_36"/>
      <sheetName val="[1.xls][1.xls]______P_H_S_ex_35"/>
      <sheetName val="[1.xls][1.xls]______P_H_S_ex_37"/>
      <sheetName val="의무사항(1면)"/>
      <sheetName val="에너지성능지표검토서(건축)(2면)"/>
      <sheetName val="에너지성능지표검토서(기계, 전기, 신재생)(3~5면)"/>
      <sheetName val="건축2"/>
      <sheetName val="월별"/>
      <sheetName val="1-6(반품내역)"/>
      <sheetName val="실행"/>
      <sheetName val="위생설비"/>
      <sheetName val="부대"/>
      <sheetName val="분류표"/>
      <sheetName val="유리"/>
      <sheetName val="에너지성능지표セ迢颚_x0000_㘀窢"/>
      <sheetName val="[1.xls][1.xls]______P_H_S_ex_49"/>
      <sheetName val="[1.xls][1.XLS]__박_석_P_H_S_exc_2"/>
      <sheetName val="[1.xls][1.xls]__박_석_P_H_S_exc_4"/>
      <sheetName val="[1.xls][1.XLS]__박_석_P_H_S_exc_3"/>
      <sheetName val="[1.xls][1.xls]__박_석_P_H_S_exc_7"/>
      <sheetName val="[1.xls][1.xls]__박_석_P_H_S_exc_5"/>
      <sheetName val="[1.xls][1.xls]__박_석_P_H_S_exc_6"/>
      <sheetName val="[1.xls][1.xls]______P_H_S_ex_38"/>
      <sheetName val="[1.xls][1.xls]______P_H_S_ex_41"/>
      <sheetName val="[1.xls][1.xls]______P_H_S_ex_40"/>
      <sheetName val="[1.xls][1.xls]______P_H_S_ex_39"/>
      <sheetName val="[1.xls][1.xls]______P_H_S_ex_42"/>
      <sheetName val="[1.xls][1.xls]______P_H_S_ex_46"/>
      <sheetName val="[1.xls][1.xls]______P_H_S_ex_43"/>
      <sheetName val="[1.xls][1.xls]______P_H_S_ex_45"/>
      <sheetName val="[1.xls][1.xls]______P_H_S_ex_44"/>
      <sheetName val="[1.xls][1.xls]______P_H_S_ex_47"/>
      <sheetName val="[1.xls][1.xls]______P_H_S_ex_48"/>
      <sheetName val="[1.xls][1.xls]______P_H_S_ex_50"/>
      <sheetName val="암거단위-1련"/>
      <sheetName val="1호맨홀토공"/>
      <sheetName val="신청서"/>
      <sheetName val="unitpric"/>
      <sheetName val="기계경비일람"/>
      <sheetName val="횡배수관설치현황"/>
      <sheetName val="5흙막이"/>
      <sheetName val="b_balju"/>
      <sheetName val="[1.xls][1.xls]______P_H_S_e_212"/>
      <sheetName val="영업소_x0005_"/>
      <sheetName val="⑤항목별2"/>
      <sheetName val="사업성분석"/>
      <sheetName val="실행대비"/>
      <sheetName val="[1.xls][1.xls]______C______99_9"/>
      <sheetName val="[1.xls][1.xls]______C______9_10"/>
      <sheetName val="기준단가"/>
      <sheetName val="결과조달"/>
      <sheetName val="실행(표지,갑,을)"/>
      <sheetName val="B"/>
      <sheetName val="전기설계변경"/>
      <sheetName val="사전공사"/>
      <sheetName val="[1.xls][1.xls]______P_H_S_e_112"/>
      <sheetName val="[1.xls][1.XLS]______P_H_S_e_111"/>
      <sheetName val="[1.xls][1.xls]___희석_P_H_S_exc_3"/>
      <sheetName val="[1.xls][1.XLS]___희석_P_H_S_exc_2"/>
      <sheetName val="[1.xls][1.XLS]______P_H_S_ex_69"/>
      <sheetName val="[1.xls][1.xls]______P_H_S_ex_66"/>
      <sheetName val="[1.xls][1.xls]______P_H_S_ex_52"/>
      <sheetName val="[1.xls][1.xls]______P_H_S_ex_53"/>
      <sheetName val="[1.xls][1.xls]______P_H_S_ex_51"/>
      <sheetName val="[1.xls][1.xls]______P_H_S_ex_54"/>
      <sheetName val="[1.xls][1.xls]______P_H_S_ex_55"/>
      <sheetName val="[1.xls][1.xls]______P_H_S_ex_63"/>
      <sheetName val="[1.xls][1.XLS]______P_H_S_ex_61"/>
      <sheetName val="[1.xls][1.xls]______P_H_S_ex_56"/>
      <sheetName val="[1.xls][1.xls]______P_H_S_ex_58"/>
      <sheetName val="[1.xls][1.xls]______P_H_S_ex_57"/>
      <sheetName val="[1.xls][1.xls]______P_H_S_ex_59"/>
      <sheetName val="[1.xls][1.xls]______P_H_S_ex_60"/>
      <sheetName val="[1.xls][1.xls]______P_H_S_ex_62"/>
      <sheetName val="[1.xls][1.xls]______P_H_S_ex_65"/>
      <sheetName val="[1.xls][1.xls]______P_H_S_ex_64"/>
      <sheetName val="[1.xls][1.xls]______P_H_S_ex_67"/>
      <sheetName val="[1.xls][1.xls]______P_H_S_ex_68"/>
      <sheetName val="재집"/>
      <sheetName val="중기가격"/>
      <sheetName val="[1.xls][1.xls]______P_H_S_ex_70"/>
      <sheetName val="[1.xls][1.xls]______P_H_S_ex_71"/>
      <sheetName val="[1.xls][1.xls]______P_H_S_ex_72"/>
      <sheetName val="[1.xls][1.xls]______P_H_S_ex_73"/>
      <sheetName val="[1.xls][1.xls]______P_H_S_ex_76"/>
      <sheetName val="[1.xls][1.xls]______P_H_S_ex_74"/>
      <sheetName val="[1.xls][1.xls]______P_H_S_ex_75"/>
      <sheetName val="[1.xls][1.xls]______P_H_S_ex_77"/>
      <sheetName val="[1.xls][1.xls]______P_H_S_ex_80"/>
      <sheetName val="[1.xls][1.xls]______P_H_S_ex_78"/>
      <sheetName val="[1.xls][1.xls]______P_H_S_ex_79"/>
      <sheetName val="loading"/>
      <sheetName val="BOQ(전체)"/>
      <sheetName val="전기혼잡제경비(45)"/>
      <sheetName val="직재"/>
      <sheetName val="[1.xls][1.xls]______P_H_S_ex_82"/>
      <sheetName val="[1.xls][1.xls]______P_H_S_ex_81"/>
      <sheetName val="[1.xls][1.xls]______P_H_S_ex_84"/>
      <sheetName val="[1.xls][1.xls]______P_H_S_ex_83"/>
      <sheetName val="[1.xls][1.xls]______P_H_S_ex_86"/>
      <sheetName val="[1.xls][1.xls]______P_H_S_ex_85"/>
      <sheetName val="[1.xls][1.xls]______P_H_S_ex_88"/>
      <sheetName val="[1.xls][1.xls]______P_H_S_ex_87"/>
      <sheetName val="[1.xls][1.xls]______P_H_S_ex_89"/>
      <sheetName val="[1.xls][1.xls]______P_H_S_ex_90"/>
      <sheetName val="[1.xls][1.xls]______P_H_S_ex_93"/>
      <sheetName val="[1.xls][1.xls]______P_H_S_ex_91"/>
      <sheetName val="[1.xls][1.xls]______P_H_S_ex_92"/>
      <sheetName val="[1.xls][1.xls]______P_H_S_ex_95"/>
      <sheetName val="[1.xls][1.xls]______P_H_S_ex_94"/>
      <sheetName val="[1.xls][1.xls]______P_H_S_ex_99"/>
      <sheetName val="[1.xls][1.xls]______P_H_S_ex_96"/>
      <sheetName val="[1.xls][1.xls]______P_H_S_ex_97"/>
      <sheetName val="[1.xls][1.xls]______P_H_S_ex_98"/>
      <sheetName val="[1.xls][1.xls]______P_H_S_e_107"/>
      <sheetName val="[1.xls][1.XLS]______P_H_S_e_100"/>
      <sheetName val="[1.xls][1.xls]______P_H_S_e_101"/>
      <sheetName val="[1.xls][1.xls]______P_H_S_e_102"/>
      <sheetName val="[1.xls][1.xls]______P_H_S_e_103"/>
      <sheetName val="[1.xls][1.xls]______P_H_S_e_104"/>
      <sheetName val="[1.xls][1.xls]______P_H_S_e_105"/>
      <sheetName val="[1.xls][1.xls]______P_H_S_e_106"/>
      <sheetName val="Direct_MP_Updated"/>
      <sheetName val="5월_평균일수"/>
      <sheetName val="에너지성능지표℀쀀︪⇈"/>
      <sheetName val="1_공통가설"/>
      <sheetName val="태화42_"/>
      <sheetName val="BCA_INDEX"/>
      <sheetName val="에너지성능지표Ⴛ뎔迲"/>
      <sheetName val="[1.xls][1.xls]______P_H_S_e_108"/>
      <sheetName val="[1.xls][1.xls]______P_H_S_e_109"/>
      <sheetName val="[1.xls][1.xls]______P_H_S_e_110"/>
      <sheetName val="하도정산계약분"/>
      <sheetName val="계실5-1"/>
      <sheetName val="하수급견적대비"/>
      <sheetName val="투찰"/>
      <sheetName val="계수시트"/>
      <sheetName val="가설공사"/>
      <sheetName val="1,2공구원가계산서"/>
      <sheetName val="[1.xls][1.xls]______P_H_S_e_113"/>
      <sheetName val="[1.xls][1.xls]______P_H_S_e_114"/>
      <sheetName val="[1.xls][1.xls]______P_H_S_e_115"/>
      <sheetName val="[1.xls][1.xls]______P_H_S_e_117"/>
      <sheetName val="[1.xls][1.XLS]______P_H_S_e_116"/>
      <sheetName val="[1.xls][1.xls]______P_H_S_e_118"/>
      <sheetName val="[1.xls][1.xls]______P_H_S_e_119"/>
      <sheetName val="[1.xls][1.XLS]______P_H_S_e_130"/>
      <sheetName val="[1.xls][1.xls]______P_H_S_e_125"/>
      <sheetName val="[1.xls][1.xls]______P_H_S_e_121"/>
      <sheetName val="[1.xls][1.XLS]______P_H_S_e_120"/>
      <sheetName val="[1.xls][1.xls]______P_H_S_e_122"/>
      <sheetName val="[1.xls][1.xls]______P_H_S_e_124"/>
      <sheetName val="[1.xls][1.XLS]______P_H_S_e_123"/>
      <sheetName val="[1.xls][1.XLS]______P_H_S_e_126"/>
      <sheetName val="[1.xls][1.XLS]______P_H_S_e_127"/>
      <sheetName val="[1.xls][1.XLS]______P_H_S_e_128"/>
      <sheetName val="[1.xls][1.XLS]______P_H_S_e_129"/>
      <sheetName val="각입중량산출서"/>
      <sheetName val="[1.xls][1.xls]______P_H_S_e_140"/>
      <sheetName val="[1.xls][1.xls]______P_H_S_e_134"/>
      <sheetName val="[1.xls][1.xls]______P_H_S_e_133"/>
      <sheetName val="인발시험"/>
      <sheetName val="5지진시"/>
      <sheetName val="[1.xls][1.xls]______P_H_S_e_131"/>
      <sheetName val="[1.xls][1.xls]______P_H_S_e_132"/>
      <sheetName val="[1.xls][1.xls]______P_H_S_e_135"/>
      <sheetName val="[1.xls][1.xls]______P_H_S_e_136"/>
      <sheetName val="[1.xls][1.xls]______P_H_S_e_137"/>
      <sheetName val="[1.xls][1.xls]______P_H_S_e_138"/>
      <sheetName val="[1.xls][1.xls]______P_H_S_e_139"/>
      <sheetName val="[1.xls][1.xls]______P_H_S_e_150"/>
      <sheetName val="[1.xls][1.XLS]______P_H_S_e_149"/>
      <sheetName val="[1.xls][1.XLS]______P_H_S_e_141"/>
      <sheetName val="[1.xls][1.XLS]______P_H_S_e_142"/>
      <sheetName val="[1.xls][1.XLS]______P_H_S_e_143"/>
      <sheetName val="[1.xls][1.xls]______P_H_S_e_146"/>
      <sheetName val="[1.xls][1.xls]______P_H_S_e_144"/>
      <sheetName val="[1.xls][1.xls]______P_H_S_e_145"/>
      <sheetName val="[1.xls][1.XLS]______P_H_S_e_147"/>
      <sheetName val="[1.xls][1.XLS]______P_H_S_e_148"/>
      <sheetName val="[1.xls][1.xls]______P_H_S_e_154"/>
      <sheetName val="[1.xls][1.xls]______P_H_S_e_151"/>
      <sheetName val="[1.xls][1.xls]______P_H_S_e_159"/>
      <sheetName val="[1.xls][1.xls]______P_H_S_e_152"/>
      <sheetName val="[1.xls][1.xls]______P_H_S_e_153"/>
      <sheetName val="[1.xls][1.xls]______P_H_S_e_160"/>
      <sheetName val="[1.xls][1.xls]______P_H_S_e_155"/>
      <sheetName val="[1.xls][1.xls]______P_H_S_e_157"/>
      <sheetName val="[1.xls][1.xls]______P_H_S_e_156"/>
      <sheetName val="[1.xls][1.xls]______P_H_S_e_158"/>
      <sheetName val="[1.xls][1.xls]______P_H_S_e_161"/>
      <sheetName val="[1.xls][1.xls]______P_H_S_e_165"/>
      <sheetName val="[1.xls][1.XLS]______P_H_S_e_164"/>
      <sheetName val="[1.xls][1.xls]______P_H_S_e_162"/>
      <sheetName val="[1.xls][1.XLS]______P_H_S_e_163"/>
      <sheetName val="[1.xls][1.xls]___희__P_H_S_exc_4"/>
      <sheetName val="[1.xls][1.xls]___희__P_H_S_exc_3"/>
      <sheetName val="[1.xls][1.xls]___희__P_H_S_exc_2"/>
      <sheetName val="[1.xls][1.xls]______P_H_S_e_169"/>
      <sheetName val="[1.xls][1.xls]______P_H_S_e_166"/>
      <sheetName val="[1.xls][1.xls]______P_H_S_e_167"/>
      <sheetName val="[1.xls][1.xls]______P_H_S_e_168"/>
      <sheetName val="[1.xls][1.xls]______P_H_S_e_170"/>
      <sheetName val="[1.xls][1.xls]______P_H_S_e_171"/>
      <sheetName val="[1.xls][1.xls]______P_H_S_e_177"/>
      <sheetName val="[1.xls][1.xls]______P_H_S_e_176"/>
      <sheetName val="[1.xls][1.XLS]______P_H_S_e_172"/>
      <sheetName val="[1.xls][1.xls]______P_H_S_e_173"/>
      <sheetName val="[1.xls][1.xls]______P_H_S_e_174"/>
      <sheetName val="[1.xls][1.xls]______P_H_S_e_175"/>
      <sheetName val="[1.xls][1.xls]______P_H_S_e_184"/>
      <sheetName val="[1.xls][1.xls]______P_H_S_e_181"/>
      <sheetName val="[1.xls][1.xls]______P_H_S_e_179"/>
      <sheetName val="[1.xls][1.xls]______P_H_S_e_178"/>
      <sheetName val="[1.xls][1.xls]______P_H_S_e_180"/>
      <sheetName val="[1.xls][1.xls]______P_H_S_e_182"/>
      <sheetName val="[1.xls][1.xls]______P_H_S_e_183"/>
      <sheetName val="[1.xls][1.xls]______P_H_S_e_185"/>
      <sheetName val="[1.xls][1.xls]______P_H_S_e_197"/>
      <sheetName val="[1.xls][1.xls]______P_H_S_e_187"/>
      <sheetName val="[1.xls][1.xls]______P_H_S_e_186"/>
      <sheetName val="D1"/>
      <sheetName val="D8 underpass WP-D592"/>
      <sheetName val="D10 "/>
      <sheetName val="D14"/>
      <sheetName val="WP-NW01"/>
      <sheetName val="WP-SN01-01 &amp; 02"/>
      <sheetName val="WP-WE02"/>
      <sheetName val="D16"/>
      <sheetName val="D17"/>
      <sheetName val="D18"/>
      <sheetName val="E1"/>
      <sheetName val="WP-EW01"/>
      <sheetName val="WP-NS-01"/>
      <sheetName val="WP-NS-02"/>
      <sheetName val="[1.xls][1.xls]______P_H_S_e_189"/>
      <sheetName val="[1.xls][1.XLS]______P_H_S_e_188"/>
      <sheetName val="[1.xls][1.xls]______P_H_S_e_190"/>
      <sheetName val="[1.xls][1.xls]______P_H_S_e_193"/>
      <sheetName val="[1.xls][1.XLS]______P_H_S_e_191"/>
      <sheetName val="[1.xls][1.xls]______P_H_S_e_196"/>
      <sheetName val="[1.xls][1.xls]______P_H_S_e_192"/>
      <sheetName val="[1.xls][1.xls]______P_H_S_e_195"/>
      <sheetName val="[1.xls][1.xls]______P_H_S_e_194"/>
      <sheetName val="[1.xls][1.xls]______P_H_S_e_199"/>
      <sheetName val="[1.xls][1.XLS]______P_H_S_e_198"/>
      <sheetName val="단가표 (2)"/>
      <sheetName val="4.2유효폭의 계산"/>
      <sheetName val="일위대가목록"/>
      <sheetName val="일위대가_호표"/>
      <sheetName val="일위대가_산근"/>
      <sheetName val="중기사용료목록"/>
      <sheetName val="중기기초자료"/>
      <sheetName val="자재"/>
      <sheetName val="전역변수"/>
      <sheetName val="자재조서"/>
      <sheetName val="중기전역변수"/>
      <sheetName val="대가"/>
      <sheetName val="배수설비"/>
      <sheetName val="이토변실(A3-LINE)"/>
      <sheetName val="[1.xls][1.xls]______P_H_S_e_202"/>
      <sheetName val="[1.xls][1.xls]______P_H_S_e_200"/>
      <sheetName val="[1.xls][1.xls]______P_H_S_e_203"/>
      <sheetName val="[1.xls][1.xls]______P_H_S_e_201"/>
      <sheetName val="[1.xls][1.xls]______P_H_S_e_204"/>
      <sheetName val="[1.xls][1.xls]______P_H_S_e_208"/>
      <sheetName val="[1.xls][1.xls]______P_H_S_e_205"/>
      <sheetName val="[1.xls][1.xls]______P_H_S_e_206"/>
      <sheetName val="[1.xls][1.xls]______P_H_S_e_207"/>
      <sheetName val="[1.xls][1.xls]______P_H_S_e_209"/>
      <sheetName val="[1.xls][1.xls]______P_H_S_e_211"/>
      <sheetName val="[1.xls][1.xls]______P_H_S_e_210"/>
      <sheetName val="[1.xls][1.xls]______P_H_S_e_213"/>
      <sheetName val="[1.xls][1.xls]______P_H_S_e_214"/>
      <sheetName val="[1.xls][1.xls]______P_H_S_e_226"/>
      <sheetName val="[1.xls][1.XLS]______P_H_S_e_225"/>
      <sheetName val="[1.xls][1.xls]__박희__P_H_S_exc_4"/>
      <sheetName val="[1.xls][1.XLS]__박희__P_H_S_exc_3"/>
      <sheetName val="[1.xls][1.XLS]__박희__P_H_S_exc_2"/>
      <sheetName val="[1.xls][1.xls]__박희__P_H_S_exc_6"/>
      <sheetName val="[1.xls][1.XLS]__박희__P_H_S_exc_5"/>
      <sheetName val="시계열"/>
      <sheetName val="[1.xls][1.XLS]____석_P_H_S_exc_2"/>
      <sheetName val="일위대가표(유단가)"/>
      <sheetName val="부하(성남)"/>
      <sheetName val="성곽내역서"/>
      <sheetName val="기초Ȓ_x0000_"/>
      <sheetName val="Bill1. Block 2 - KC mong"/>
      <sheetName val="제출계산서"/>
      <sheetName val="Elemental Breakdown+20%"/>
      <sheetName val="K2 (K2M) (K2A)"/>
      <sheetName val="Bill 01 - CTN"/>
      <sheetName val="Cash2"/>
      <sheetName val="Z"/>
      <sheetName val="전기일위대가"/>
      <sheetName val="SORCE1"/>
      <sheetName val="[1.xls][1.XLS]__박희석_P_H_S_exc_4"/>
      <sheetName val="[1.xls][1.xls]__박희석_P_H_S_exc_3"/>
      <sheetName val="[1.xls][1.XLS]__박희석_P_H_S_exc_2"/>
      <sheetName val="제직재"/>
      <sheetName val="차트작업"/>
      <sheetName val=" 표준양식 - 파일산출서.xlsx"/>
      <sheetName val="[1.xls][1.xls]__박_석_P_H_S_exc_8"/>
      <sheetName val="[1.xls][1.xls]______P_H_S_e_216"/>
      <sheetName val="[1.xls][1.xls]______P_H_S_e_215"/>
      <sheetName val="[1.xls][1.xls]______P_H_S_e_224"/>
      <sheetName val="[1.xls][1.xls]______P_H_S_e_220"/>
      <sheetName val="[1.xls][1.XLS]______P_H_S_e_219"/>
      <sheetName val="[1.xls][1.XLS]______P_H_S_e_218"/>
      <sheetName val="[1.xls][1.XLS]______P_H_S_e_217"/>
      <sheetName val="[1.xls][1.xls]______P_H_S_e_222"/>
      <sheetName val="[1.xls][1.xls]______P_H_S_e_221"/>
      <sheetName val="[1.xls][1.xls]______P_H_S_e_223"/>
      <sheetName val="[1.xls][1.xls]______P_H_S_e_227"/>
      <sheetName val="[1.xls][1.xls]______P_H_S_e_232"/>
      <sheetName val="[1.xls][1.XLS]______P_H_S_e_230"/>
      <sheetName val="[1.xls][1.XLS]______P_H_S_e_228"/>
      <sheetName val="[1.xls][1.XLS]______P_H_S_e_229"/>
      <sheetName val="[1.xls][1.xls]______P_H_S_e_233"/>
      <sheetName val="[1.xls][1.xls]______P_H_S_e_231"/>
      <sheetName val="[1.xls][1.XLS]__박___P_H_S_exc_2"/>
      <sheetName val="[1.xls][1.xls]__박___P_H_S_exc_3"/>
      <sheetName val="공주-교대(A1)"/>
      <sheetName val="광주전남"/>
      <sheetName val="전통건설"/>
      <sheetName val="[1.xls][1.xls]______P_H_S_e_259"/>
      <sheetName val="[1.xls][1.xls]______P_H_S_e_257"/>
      <sheetName val="[1.xls][1.xls]______P_H_S_e_248"/>
      <sheetName val="[1.xls][1.XLS]______P_H_S_e_247"/>
      <sheetName val="국내조달(통합-1)"/>
      <sheetName val="차체부품 INS REPORT(갑)"/>
      <sheetName val="Quantity"/>
      <sheetName val="____"/>
      <sheetName val="소비자가"/>
      <sheetName val="[1.xls][1.xls]______P_H_S_e_246"/>
      <sheetName val="[1.xls][1.XLS]______P_H_S_e_245"/>
      <sheetName val="[1.xls][1.xls]______P_H_S_e_235"/>
      <sheetName val="[1.xls][1.xls]______P_H_S_e_234"/>
      <sheetName val="[1.xls][1.xls]______P_H_S_e_236"/>
      <sheetName val="[1.xls][1.xls]______P_H_S_e_240"/>
      <sheetName val="[1.xls][1.xls]______P_H_S_e_237"/>
      <sheetName val="[1.xls][1.xls]______P_H_S_e_238"/>
      <sheetName val="[1.xls][1.xls]______P_H_S_e_239"/>
      <sheetName val="[1.xls][1.xls]______P_H_S_e_241"/>
      <sheetName val="[1.xls][1.xls]______P_H_S_e_244"/>
      <sheetName val="[1.xls][1.xls]______P_H_S_e_242"/>
      <sheetName val="[1.xls][1.XLS]______P_H_S_e_243"/>
      <sheetName val="[1.xls][1.xls]______P_H_S_e_249"/>
      <sheetName val="[1.xls][1.xls]______P_H_S_e_254"/>
      <sheetName val="[1.xls][1.xls]______P_H_S_e_250"/>
      <sheetName val="[1.xls][1.xls]______P_H_S_e_252"/>
      <sheetName val="[1.xls][1.XLS]______P_H_S_e_251"/>
      <sheetName val="[1.xls][1.xls]______P_H_S_e_255"/>
      <sheetName val="[1.xls][1.xls]______P_H_S_e_253"/>
      <sheetName val="견적내역-2 (프로세스)"/>
      <sheetName val="견적내역-1 (유틸리티)"/>
      <sheetName val="[1.xls][1.xls]______P_H_S_e_258"/>
      <sheetName val="[1.xls][1.xls]______P_H_S_e_256"/>
      <sheetName val="[1.xls][1.xls]______P_H_S_e_261"/>
      <sheetName val="[1.xls][1.XLS]______P_H_S_e_260"/>
      <sheetName val="[1.xls][1.xls]______P_H_S_e_262"/>
      <sheetName val="[1.xls][1.xls]______P_H_S_e_264"/>
      <sheetName val="[1.xls][1.XLS]______P_H_S_e_263"/>
      <sheetName val="[1.xls][1.xls]______P_H_S_e_281"/>
      <sheetName val="[1.xls][1.XLS]______P_H_S_e_280"/>
      <sheetName val="[1.xls][1.xls]______P_H_S_e_272"/>
      <sheetName val="[1.xls][1.XLS]______P_H_S_e_269"/>
      <sheetName val="[1.xls][1.XLS]______P_H_S_e_268"/>
      <sheetName val="[1.xls][1.xls]______P_H_S_e_265"/>
      <sheetName val="[1.xls][1.xls]______P_H_S_e_267"/>
      <sheetName val="[1.xls][1.XLS]______P_H_S_e_266"/>
      <sheetName val="[1.xls][1.xls]______P_H_S_e_274"/>
      <sheetName val="[1.xls][1.xls]______P_H_S_e_270"/>
      <sheetName val="[1.xls][1.xls]______P_H_S_e_271"/>
      <sheetName val="[1.xls][1.xls]______P_H_S_e_273"/>
      <sheetName val="[1.xls][1.xls]______P_H_S_e_276"/>
      <sheetName val="[1.xls][1.xls]______P_H_S_e_279"/>
      <sheetName val="[1.xls][1.xls]______P_H_S_e_275"/>
      <sheetName val="[1.xls][1.xls]______P_H_S_e_277"/>
      <sheetName val="[1.xls][1.xls]______P_H_S_e_278"/>
      <sheetName val="[1.xls][1.xls]______P_H_S_e_282"/>
      <sheetName val="[1.xls][1.xls]______P_H_S_e_326"/>
      <sheetName val="[1.xls][1.XLS]______P_H_S_e_323"/>
      <sheetName val="[1.xls][1.xls]______P_H_S_e_297"/>
      <sheetName val="[1.xls][1.XLS]______P_H_S_e_296"/>
      <sheetName val="[1.xls][1.xls]____석_P_H_S_exc_3"/>
      <sheetName val="[1.xls][1.xls]______P_H_S_e_284"/>
      <sheetName val="[1.xls][1.xls]______P_H_S_e_283"/>
      <sheetName val="[1.xls][1.xls]______P_H_S_e_285"/>
      <sheetName val="[1.xls][1.xls]______P_H_S_e_286"/>
      <sheetName val="[1.xls][1.xls]______P_H_S_e_291"/>
      <sheetName val="[1.xls][1.XLS]______P_H_S_e_287"/>
      <sheetName val="에너지성능지표က뎔迲_x0000_㸀蠿"/>
      <sheetName val="[1.xls][1.xls]__박_석_P_H_S_ex_10"/>
      <sheetName val="[1.xls][1.XLS]__박_석_P_H_S_exc_9"/>
      <sheetName val="[1.xls][1.xls]__박_석_P_H_S_ex_11"/>
      <sheetName val="[1.xls][1.xls]__박_석_P_H_S_ex_13"/>
      <sheetName val="[1.xls][1.XLS]__박_석_P_H_S_ex_12"/>
      <sheetName val="[1.xls][1.xls]__박_석_P_H_S_ex_14"/>
      <sheetName val="[1.xls][1.xls]__박_석_P_H_S_ex_15"/>
      <sheetName val="[1.xls][1.xls]__박_석_P_H_S_ex_17"/>
      <sheetName val="[1.xls][1.XLS]__박_석_P_H_S_ex_16"/>
      <sheetName val="마산월령동골조물량변경"/>
      <sheetName val="관급자재"/>
      <sheetName val="A갑지"/>
      <sheetName val="협조전"/>
      <sheetName val="면적표"/>
      <sheetName val="[1.xls][1.xls]______P_H_S_e_292"/>
      <sheetName val="[1.xls][1.xls]______P_H_S_e_288"/>
      <sheetName val="[1.xls][1.xls]______P_H_S_e_289"/>
      <sheetName val="[1.xls][1.xls]______P_H_S_e_290"/>
      <sheetName val="[1.xls][1.xls]______P_H_S_e_294"/>
      <sheetName val="[1.xls][1.XLS]______P_H_S_e_293"/>
      <sheetName val="[1.xls][1.xls]______P_H_S_e_295"/>
      <sheetName val="[1.xls][1.xls]______P_H_S_e_300"/>
      <sheetName val="[1.xls][1.XLS]______P_H_S_e_298"/>
      <sheetName val="[1.xls][1.xls]______P_H_S_e_299"/>
      <sheetName val="자재_계약일(2013_09_16)"/>
      <sheetName val="공통_계약일(2013_09_16)"/>
      <sheetName val="12.재이용"/>
      <sheetName val="적산자료"/>
      <sheetName val="에너지성능지표セ迢颚"/>
      <sheetName val="업체코드"/>
      <sheetName val="각 파트합본(제외업체삭제)"/>
      <sheetName val="평3"/>
      <sheetName val="E.S적용금액 - 9차"/>
      <sheetName val="[1.xls][1.xls]______P_H_S_e_302"/>
      <sheetName val="[1.xls][1.XLS]______P_H_S_e_301"/>
      <sheetName val="[1.xls][1.xls]______P_H_S_e_303"/>
      <sheetName val="[1.xls][1.xls]______P_H_S_e_304"/>
      <sheetName val="[1.xls][1.xls]______P_H_S_e_305"/>
      <sheetName val="[1.xls][1.xls]______P_H_S_e_306"/>
      <sheetName val="[1.xls][1.xls]______P_H_S_e_307"/>
      <sheetName val="[1.xls][1.xls]______P_H_S_e_308"/>
      <sheetName val="[1.xls][1.xls]______P_H_S_e_310"/>
      <sheetName val="[1.xls][1.xls]______P_H_S_e_312"/>
      <sheetName val="[1.xls][1.xls]______P_H_S_e_309"/>
      <sheetName val="[1.xls][1.xls]______P_H_S_e_311"/>
      <sheetName val="[1.xls][1.xls]______P_H_S_e_314"/>
      <sheetName val="[1.xls][1.xls]______P_H_S_e_321"/>
      <sheetName val="[1.xls][1.xls]______P_H_S_e_313"/>
      <sheetName val="[1.xls][1.xls]______P_H_S_e_322"/>
      <sheetName val="[1.xls][1.xls]______P_H_S_e_315"/>
      <sheetName val="[1.xls][1.xls]______P_H_S_e_316"/>
      <sheetName val="[1.xls][1.xls]______P_H_S_e_317"/>
      <sheetName val="[1.xls][1.xls]______P_H_S_e_318"/>
      <sheetName val="[1.xls][1.xls]______P_H_S_e_319"/>
      <sheetName val="[1.xls][1.xls]______P_H_S_e_320"/>
      <sheetName val="[1.xls][1.xls]______P_H_S_e_324"/>
      <sheetName val="산출근거"/>
      <sheetName val="[1.xls][1.XLS]______P_H_S_e_325"/>
      <sheetName val="[1.xls][1.xls]______P_H_S_e_369"/>
      <sheetName val="[1.xls][1.xls]______P_H_S_e_346"/>
      <sheetName val="[1.xls][1.XLS]______P_H_S_e_345"/>
      <sheetName val="[1.xls][1.xls]__박___P_H_S_exc_4"/>
      <sheetName val="중연"/>
      <sheetName val="손익총괄"/>
      <sheetName val="조정명세"/>
      <sheetName val="광주"/>
      <sheetName val="당해년도분석"/>
      <sheetName val="총매출액증감"/>
      <sheetName val="PU경상이익증감"/>
      <sheetName val="전략적목표REVIEW"/>
      <sheetName val="´ë±¸"/>
      <sheetName val="¾ð¾ç"/>
      <sheetName val="¿ë¿¬"/>
      <sheetName val="¿ï»ê"/>
      <sheetName val="Áß¿¬"/>
      <sheetName val="ÁøÃµ"/>
      <sheetName val="¼ÕÀÍÃÑ°ý"/>
      <sheetName val="Á¶Á¤¸í¼¼"/>
      <sheetName val="±¸¹Ì"/>
      <sheetName val="±¤ÁÖ"/>
      <sheetName val="Ç¥Áö"/>
      <sheetName val="´çÇØ³âµµºÐ¼®"/>
      <sheetName val="¼ÕÀÍºÐ¼®"/>
      <sheetName val="ÃÑ¸ÅÃâ¾×Áõ°¨"/>
      <sheetName val="PU°æ»óÀÌÀÍÁõ°¨"/>
      <sheetName val="Àü·«Àû¸ñÇ¥REVIEW"/>
      <sheetName val="¹°°¡ÀÚ·áºñ±³"/>
      <sheetName val="3»ç´Ü°¡ºñ±³"/>
      <sheetName val="´ëµ¿"/>
      <sheetName val="¼º¸²"/>
      <sheetName val="±Ý°­"/>
      <sheetName val="기초코드"/>
      <sheetName val="수로단위수량"/>
      <sheetName val="AHU硘Ï"/>
      <sheetName val="비계,CON'C"/>
      <sheetName val="[1.XLS][1.XLS]___________exc_23"/>
      <sheetName val="[1.XLS][1.XLS]\\박근환\광주공장\excel\"/>
      <sheetName val="[1.XLS][1.XLS]___________exce_3"/>
      <sheetName val="[1.XLS][1.XLS]___________exce_2"/>
      <sheetName val="[1.XLS][1.XLS]___________exce_6"/>
      <sheetName val="[1.XLS][1.XLS]___________exce_4"/>
      <sheetName val="[1.XLS][1.XLS]___________exce_5"/>
      <sheetName val="[1.XLS][1.XLS]___________exce_7"/>
      <sheetName val="[1.XLS][1.XLS]___________exce_9"/>
      <sheetName val="[1.XLS][1.XLS]___________exce_8"/>
      <sheetName val="[1.XLS][1.XLS]___________exc_10"/>
      <sheetName val="[1.XLS][1.XLS]___________exc_11"/>
      <sheetName val="[1.XLS][1.XLS]___________exc_15"/>
      <sheetName val="[1.XLS][1.XLS]___________exc_14"/>
      <sheetName val="[1.XLS][1.XLS]___________exc_13"/>
      <sheetName val="[1.XLS][1.XLS]___________exc_12"/>
      <sheetName val="[1.XLS][1.XLS]___________exc_17"/>
      <sheetName val="[1.XLS][1.XLS]___________exc_16"/>
      <sheetName val="[1.XLS][1.XLS]___________exc_21"/>
      <sheetName val="[1.XLS][1.XLS]___________exc_20"/>
      <sheetName val="[1.XLS][1.XLS]___________exc_19"/>
      <sheetName val="[1.XLS][1.XLS]___________exc_18"/>
      <sheetName val="[1.XLS][1.XLS]___________exc_22"/>
      <sheetName val="[1.XLS][1.XLS]___________exc_36"/>
      <sheetName val="[1.XLS][1.XLS]___________exc_35"/>
      <sheetName val="[1.XLS][1.XLS]___________exc_24"/>
      <sheetName val="[1.XLS][1.XLS]___________exc_26"/>
      <sheetName val="[1.XLS][1.XLS]___________exc_25"/>
      <sheetName val="[1.XLS][1.XLS]___________exc_28"/>
      <sheetName val="[1.XLS][1.XLS]___________exc_27"/>
      <sheetName val="[1.XLS][1.XLS]___________exc_29"/>
      <sheetName val="[1.XLS][1.XLS]___________exc_30"/>
      <sheetName val="[1.XLS][1.XLS]___________exc_32"/>
      <sheetName val="[1.XLS][1.XLS]___________exc_31"/>
      <sheetName val="[1.XLS][1.XLS]___________exc_34"/>
      <sheetName val="[1.XLS][1.XLS]___________exc_33"/>
      <sheetName val="[1.XLS][1.XLS]___________exc_37"/>
      <sheetName val="[1.xls][1.XLS]___________exc_38"/>
      <sheetName val="[1.xls][1.XLS]___________exc_39"/>
      <sheetName val="[1.xls][1.XLS]___________exc_40"/>
      <sheetName val="영업소諠"/>
      <sheetName val="[1.xls][1.xls]______P_H_S_e_327"/>
      <sheetName val="[1.xls][1.xls]______P_H_S_e_328"/>
      <sheetName val="[1.xls][1.xls]______P_H_S_e_330"/>
      <sheetName val="[1.xls][1.xls]______P_H_S_e_329"/>
      <sheetName val="[1.xls][1.xls]______P_H_S_e_331"/>
      <sheetName val="[1.xls][1.xls]______P_H_S_e_337"/>
      <sheetName val="[1.xls][1.xls]______P_H_S_e_338"/>
      <sheetName val="[1.xls][1.xls]______P_H_S_e_332"/>
      <sheetName val="[1.xls][1.xls]______P_H_S_e_333"/>
      <sheetName val="[1.xls][1.xls]______P_H_S_e_334"/>
      <sheetName val="[1.xls][1.xls]______P_H_S_e_336"/>
      <sheetName val="[1.xls][1.xls]______P_H_S_e_335"/>
      <sheetName val="[1.xls][1.xls]______P_H_S_e_344"/>
      <sheetName val="[1.xls][1.xls]______P_H_S_e_340"/>
      <sheetName val="[1.xls][1.xls]______P_H_S_e_339"/>
      <sheetName val="[1.xls][1.XLS]______P_H_S_e_341"/>
      <sheetName val="[1.xls][1.xls]______P_H_S_e_342"/>
      <sheetName val="[1.xls][1.xls]______P_H_S_e_343"/>
      <sheetName val="[1.xls][1.xls]______P_H_S_e_356"/>
      <sheetName val="[1.xls][1.xls]______P_H_S_e_357"/>
      <sheetName val="[1.xls][1.xls]______P_H_S_e_348"/>
      <sheetName val="[1.xls][1.xls]______P_H_S_e_347"/>
      <sheetName val="[1.xls][1.xls]______P_H_S_e_349"/>
      <sheetName val="[1.xls][1.xls]______P_H_S_e_350"/>
      <sheetName val="[1.xls][1.xls]______P_H_S_e_352"/>
      <sheetName val="[1.xls][1.xls]______P_H_S_e_355"/>
      <sheetName val="[1.xls][1.xls]______P_H_S_e_351"/>
      <sheetName val="[1.xls][1.xls]______P_H_S_e_353"/>
      <sheetName val="[1.xls][1.xls]______P_H_S_e_354"/>
      <sheetName val="[1.xls][1.xls]______P_H_S_e_362"/>
      <sheetName val="[1.xls][1.XLS]______P_H_S_e_361"/>
      <sheetName val="[1.xls][1.XLS]______P_H_S_e_358"/>
      <sheetName val="[1.xls][1.XLS]______P_H_S_e_359"/>
      <sheetName val="[1.xls][1.XLS]______P_H_S_e_360"/>
      <sheetName val="[1.xls][1.xls]______P_H_S_e_363"/>
      <sheetName val="[1.xls][1.xls]______P_H_S_e_364"/>
      <sheetName val="[1.xls][1.xls]______P_H_S_e_365"/>
      <sheetName val="[1.xls][1.xls]______P_H_S_e_367"/>
      <sheetName val="[1.xls][1.XLS]______P_H_S_e_366"/>
      <sheetName val="[1.xls][1.xls]______P_H_S_e_368"/>
      <sheetName val="[1.xls][1.xls]______P_H_S_e_371"/>
      <sheetName val="[1.xls][1.XLS]______P_H_S_e_370"/>
      <sheetName val="[1.xls][1.xls]______P_H_S_e_372"/>
      <sheetName val="[1.xls][1.xls]______P_H_S_e_373"/>
      <sheetName val="[1.xls][1.xls]______P_H_S_e_374"/>
      <sheetName val="[1.xls][1.xls]______P_H_S_e_375"/>
      <sheetName val="[1.xls][1.xls]______P_H_S_e_377"/>
      <sheetName val="[1.xls][1.XLS]______P_H_S_e_376"/>
      <sheetName val="물가시세표"/>
      <sheetName val="[1.xls][1.XLS]__박희__P_H_S_exc_7"/>
      <sheetName val="단가산출서(기계)"/>
      <sheetName val="찍기"/>
      <sheetName val="공사비지불 (2)"/>
      <sheetName val="[1.xls][1.xls]______P_H_S_e_385"/>
      <sheetName val="[1.xls][1.XLS]______P_H_S_e_384"/>
      <sheetName val="[1.xls][1.xls]______P_H_S_e_382"/>
      <sheetName val="[1.xls][1.xls]______P_H_S_e_378"/>
      <sheetName val="[1.xls][1.xls]______P_H_S_e_379"/>
      <sheetName val="[1.xls][1.xls]______P_H_S_e_380"/>
      <sheetName val="[1.xls][1.xls]______P_H_S_e_381"/>
      <sheetName val="[1.xls][1.XLS]______P_H_S_e_383"/>
      <sheetName val="[1.xls][1.xls]______P_H_S_e_387"/>
      <sheetName val="[1.xls][1.xls]______P_H_S_e_386"/>
      <sheetName val="[1.xls][1.xls]______P_H_S_e_388"/>
      <sheetName val="[1.xls][1.xls]______P_H_S_e_390"/>
      <sheetName val="[1.xls][1.xls]______P_H_S_e_389"/>
      <sheetName val="[1.xls][1.xls]______P_H_S_e_391"/>
      <sheetName val="[1.xls][1.xls]______P_H_S_e_397"/>
      <sheetName val="[1.xls][1.XLS]______P_H_S_e_396"/>
      <sheetName val="[1.xls][1.xls]______P_H_S_e_395"/>
      <sheetName val="[1.xls][1.xls]______P_H_S_e_392"/>
      <sheetName val="[1.xls][1.xls]______P_H_S_e_393"/>
      <sheetName val="[1.xls][1.xls]______P_H_S_e_394"/>
      <sheetName val="[1.xls][1.xls]______P_H_S_e_398"/>
      <sheetName val="[1.xls][1.xls]______P_H_S_e_400"/>
      <sheetName val="[1.xls][1.XLS]______P_H_S_e_399"/>
      <sheetName val="[1.xls][1.xls]______P_H_S_e_401"/>
      <sheetName val="[1.xls][1.xls]______P_H_S_e_402"/>
      <sheetName val="[1.xls][1.xls]____석_P_H_S_exc_4"/>
      <sheetName val="정릉_xdaf8_缡_x0000_"/>
      <sheetName val="변압기 및 발전기 용량"/>
      <sheetName val="[1.xls][1.xls]______P_H_S_e_437"/>
      <sheetName val="[1.xls][1.xls]______P_H_S_e_440"/>
      <sheetName val="_x005f_x000f__x005f_x0000_"/>
      <sheetName val="구조물공총"/>
      <sheetName val="돌붙임계"/>
      <sheetName val="돌붙임단위"/>
      <sheetName val="옹벽조서"/>
      <sheetName val="반중력식옹벽수량"/>
      <sheetName val="신축이음"/>
      <sheetName val="18˗"/>
      <sheetName val="Finansal tamamlanma Eğrisi"/>
      <sheetName val="FA_SUMMARY"/>
      <sheetName val="[1.xls][1.xls]__박희석_P_H_S_exc_5"/>
      <sheetName val="[1.xls][1.xls]__박희석_P_H_S_exc_6"/>
      <sheetName val="수리결_x0000_"/>
      <sheetName val="P. control"/>
      <sheetName val="[1.xls][1.XLS]____석_P_H_S_exc_5"/>
      <sheetName val="입찰보고"/>
      <sheetName val="[1.xls][1.XLS]___희석_P_H_S_exc_4"/>
      <sheetName val="에너지성능지표瀀⾐捰"/>
      <sheetName val="[1.xls][1.xls]______P_H_S_e_410"/>
      <sheetName val="[1.xls][1.XLS]______P_H_S_e_403"/>
      <sheetName val="손익구조"/>
      <sheetName val="재무자료"/>
      <sheetName val="3_7교축하중"/>
      <sheetName val="[1_xls][1_xls]______C______99_4"/>
      <sheetName val="[1_xls][1_xls]______C______99_3"/>
      <sheetName val="[1_xls][1_xls]______C______99_2"/>
      <sheetName val="[1_xls][1_xls]______C______99_7"/>
      <sheetName val="[1_xls][1_xls]______C______99_6"/>
      <sheetName val="[1_xls][1_xls]______C______99_5"/>
      <sheetName val="2-1__경관조명_내역총괄표"/>
      <sheetName val="돌담교_상부수량"/>
      <sheetName val="_냉각수펌프"/>
      <sheetName val="MAIN_GATE_HOUSE"/>
      <sheetName val="CRUDE_RE-bar"/>
      <sheetName val="[1.xls][1.xls]__박희석_P_H_S_exc_7"/>
      <sheetName val="[1.xls][1.XLS]__박희석_P_H_S_exc_8"/>
      <sheetName val="공통가설(기준안)"/>
      <sheetName val="4-0.툫자_x005f_x0000__x005f_x0000_문)"/>
      <sheetName val="_x005f_x0000_"/>
      <sheetName val="_x005f_x0000__x005f_x0008__x005f_x0000_ꪀᗈ_x005f_x0000_"/>
      <sheetName val="구리토평_x005f_x0000__x005f_x0000_Ԁ"/>
      <sheetName val="________x005f_x0000__x005f_x0000___x005f_x0002__2"/>
      <sheetName val="급殘⿗_x005f_x0000_"/>
      <sheetName val="영업소_x005f_x0000_"/>
      <sheetName val="1.공통가설_x005f_x0000__x005f_x0000_"/>
      <sheetName val="간접비 _x005f_x0000__x005f_x0000__x005f_x0005_"/>
      <sheetName val="주식"/>
      <sheetName val="변경후"/>
      <sheetName val="DETAIL SHEET"/>
      <sheetName val="_REF"/>
      <sheetName val="[1.xls][1.xls]______P_H_S_e_406"/>
      <sheetName val="[1.xls][1.XLS]______P_H_S_e_405"/>
      <sheetName val="[1.xls][1.xls]______P_H_S_e_404"/>
      <sheetName val="[1.xls][1.xls]______P_H_S_e_407"/>
      <sheetName val="[1.xls][1.xls]______P_H_S_e_408"/>
      <sheetName val="[1.xls][1.xls]______P_H_S_e_409"/>
      <sheetName val="[1.xls][1.xls]______P_H_S_e_417"/>
      <sheetName val="[1.xls][1.xls]______P_H_S_e_414"/>
      <sheetName val="[1.xls][1.XLS]______P_H_S_e_413"/>
      <sheetName val="[1.xls][1.xls]______P_H_S_e_412"/>
      <sheetName val="[1.xls][1.XLS]______P_H_S_e_411"/>
      <sheetName val="[1.xls][1.xls]______P_H_S_e_415"/>
      <sheetName val="[1.xls][1.xls]______P_H_S_e_416"/>
      <sheetName val="[1.xls][1.xls]______P_H_S_e_418"/>
      <sheetName val="절취및터파기"/>
      <sheetName val="문학간접"/>
      <sheetName val="Finansal_tamamlanma_Eğrisi2"/>
      <sheetName val="Finansal_tamamlanma_Eğrisi"/>
      <sheetName val="Finansal_tamamlanma_Eğrisi1"/>
      <sheetName val="Finansal_tamamlanma_Eğrisi3"/>
      <sheetName val="15_문제점3"/>
      <sheetName val="Finansal_tamamlanma_Eğrisi4"/>
      <sheetName val="15_문제점4"/>
      <sheetName val="[1.xls][1.xls]______P_H_S_e_420"/>
      <sheetName val="[1.xls][1.xls]______P_H_S_e_419"/>
      <sheetName val="[1.xls][1.xls]______P_H_S_e_421"/>
      <sheetName val="[1.xls][1.xls]______P_H_S_e_424"/>
      <sheetName val="[1.xls][1.xls]______P_H_S_e_425"/>
      <sheetName val="[1.xls][1.xls]______P_H_S_e_422"/>
      <sheetName val="[1.xls][1.xls]______P_H_S_e_423"/>
      <sheetName val="[1.xls][1.XLS]______P_H_S_e_430"/>
      <sheetName val="[1.xls][1.xls]______P_H_S_e_426"/>
      <sheetName val="[1.xls][1.xls]______P_H_S_e_428"/>
      <sheetName val="[1.xls][1.xls]______P_H_S_e_427"/>
      <sheetName val="[1.xls][1.xls]______P_H_S_e_429"/>
      <sheetName val="[1.xls][1.XLS]______P_H_S_e_432"/>
      <sheetName val="[1.xls][1.xls]______P_H_S_e_431"/>
      <sheetName val="[1.xls][1.xls]______P_H_S_e_433"/>
      <sheetName val="[1.xls][1.xls]______P_H_S_e_434"/>
      <sheetName val="[1.xls][1.xls]______P_H_S_e_435"/>
      <sheetName val="[1.xls][1.xls]______P_H_S_e_436"/>
      <sheetName val="[1.xls][1.xls]______P_H_S_e_438"/>
      <sheetName val="[1.xls][1.xls]______P_H_S_e_439"/>
      <sheetName val="[1.xls][1.xls]______P_H_S_e_443"/>
      <sheetName val="[1.xls][1.xls]______P_H_S_e_444"/>
      <sheetName val="[1.xls][1.xls]______P_H_S_e_441"/>
      <sheetName val="[1.xls][1.xls]______P_H_S_e_442"/>
      <sheetName val="[1.xls][1.xls]______P_H_S_e_445"/>
      <sheetName val="[1.xls][1.xls]______P_H_S_e_446"/>
      <sheetName val="업협"/>
      <sheetName val="도장비"/>
      <sheetName val="잡철물"/>
      <sheetName val="중기일위대가"/>
      <sheetName val="WING3"/>
      <sheetName val="변경내역"/>
      <sheetName val="File_관급"/>
      <sheetName val="공정집계"/>
      <sheetName val="건축(내역)"/>
      <sheetName val="내역을"/>
      <sheetName val="[1.xls][1.xls]______P_H_S_e_804"/>
      <sheetName val="[1.xls][1.XLS]______P_H_S_e_487"/>
      <sheetName val="[1.xls][1.xls]______P_H_S_e_478"/>
      <sheetName val="[1.xls][1.XLS]______P_H_S_e_475"/>
      <sheetName val="[1.xls][1.xls]______P_H_S_e_473"/>
      <sheetName val="[1.xls][1.XLS]______P_H_S_e_469"/>
      <sheetName val="3. KC - PODIUM"/>
      <sheetName val="1.개요입력"/>
      <sheetName val="[1.xls][1.xls]______P_H_S_e_450"/>
      <sheetName val="[1.xls][1.XLS]______P_H_S_e_447"/>
      <sheetName val="[1.xls][1.xls]______P_H_S_e_448"/>
      <sheetName val="[1.xls][1.xls]______P_H_S_e_452"/>
      <sheetName val="[1.xls][1.xls]______P_H_S_e_449"/>
      <sheetName val="[1.xls][1.xls]______P_H_S_e_451"/>
      <sheetName val="[1.xls][1.xls]______P_H_S_e_453"/>
      <sheetName val="[1.xls][1.xls]______P_H_S_e_466"/>
      <sheetName val="[1.xls][1.xls]______P_H_S_e_468"/>
      <sheetName val="[1.xls][1.XLS]______P_H_S_e_462"/>
      <sheetName val="[1.xls][1.xls]______P_H_S_e_455"/>
      <sheetName val="[1.xls][1.xls]______P_H_S_e_454"/>
      <sheetName val="[1.xls][1.XLS]______P_H_S_e_456"/>
      <sheetName val="[1.xls][1.XLS]______P_H_S_e_457"/>
      <sheetName val="[1.xls][1.XLS]______P_H_S_e_458"/>
      <sheetName val="[1.xls][1.XLS]______P_H_S_e_459"/>
      <sheetName val="[1.xls][1.XLS]______P_H_S_e_460"/>
      <sheetName val="[1.xls][1.XLS]______P_H_S_e_461"/>
      <sheetName val="[1.xls][1.xls]______P_H_S_e_465"/>
      <sheetName val="[1.xls][1.xls]______P_H_S_e_463"/>
      <sheetName val="[1.xls][1.xls]______P_H_S_e_464"/>
      <sheetName val="[1.xls][1.xls]______P_H_S_e_467"/>
      <sheetName val="[1.xls][1.XLS]______P_H_S_e_472"/>
      <sheetName val="[1.xls][1.XLS]______P_H_S_e_470"/>
      <sheetName val="[1.xls][1.XLS]______P_H_S_e_471"/>
      <sheetName val="[1.xls][1.XLS]______P_H_S_e_474"/>
      <sheetName val="[1.xls][1.xls]______P_H_S_e_476"/>
      <sheetName val="[1.xls][1.xls]______P_H_S_e_477"/>
      <sheetName val="[1.xls][1.xls]______P_H_S_e_480"/>
      <sheetName val="[1.xls][1.XLS]______P_H_S_e_479"/>
      <sheetName val="[1.xls][1.xls]______P_H_S_e_482"/>
      <sheetName val="[1.xls][1.xls]______P_H_S_e_481"/>
      <sheetName val="[1.xls][1.xls]______P_H_S_e_483"/>
      <sheetName val="[1.xls][1.xls]______P_H_S_e_484"/>
      <sheetName val="[1.xls][1.xls]______P_H_S_e_485"/>
      <sheetName val="[1.xls][1.xls]______P_H_S_e_486"/>
      <sheetName val="[1.xls][1.xls]______P_H_S_e_805"/>
      <sheetName val="[1.xls][1.xls]______P_H_S_e_491"/>
      <sheetName val="[1.xls][1.xls]______P_H_S_e_488"/>
      <sheetName val="[1.xls][1.xls]______P_H_S_e_489"/>
      <sheetName val="[1.xls][1.xls]______P_H_S_e_490"/>
      <sheetName val="[1.xls][1.xls]______P_H_S_e_496"/>
      <sheetName val="[1.xls][1.xls]______P_H_S_e_497"/>
      <sheetName val="[1.xls][1.xls]______P_H_S_e_492"/>
      <sheetName val="[1.xls][1.xls]______P_H_S_e_493"/>
      <sheetName val="[1.xls][1.xls]______P_H_S_e_494"/>
      <sheetName val="[1.xls][1.xls]______P_H_S_e_495"/>
      <sheetName val="[1.xls][1.xls]______P_H_S_e_499"/>
      <sheetName val="[1.xls][1.xls]______P_H_S_e_498"/>
      <sheetName val="[1.xls][1.xls]______P_H_S_e_505"/>
      <sheetName val="[1.xls][1.xls]______P_H_S_e_500"/>
      <sheetName val="[1.xls][1.xls]______P_H_S_e_501"/>
      <sheetName val="[1.xls][1.xls]______P_H_S_e_502"/>
      <sheetName val="[1.xls][1.xls]______P_H_S_e_503"/>
      <sheetName val="[1.xls][1.xls]______P_H_S_e_504"/>
      <sheetName val="[1.xls][1.xls]______P_H_S_e_506"/>
      <sheetName val="[1.xls][1.xls]______P_H_S_e_507"/>
      <sheetName val="[1.xls][1.xls]______P_H_S_e_508"/>
      <sheetName val="[1.xls][1.xls]______P_H_S_e_509"/>
      <sheetName val="[1.xls][1.xls]______P_H_S_e_793"/>
      <sheetName val="[1.xls][1.XLS]______P_H_S_e_787"/>
      <sheetName val="[1.xls][1.xls]______P_H_S_e_601"/>
      <sheetName val="[1.xls][1.XLS]______P_H_S_e_600"/>
      <sheetName val="내장공사"/>
      <sheetName val="전년,계획,실적(작업)"/>
      <sheetName val="수량조서"/>
      <sheetName val="[1.xls][1.XLS]___________exc_41"/>
      <sheetName val="[1.xls][1.XLS]___________exc_42"/>
      <sheetName val="[1.xls][1.XLS]___________exc_43"/>
      <sheetName val="업무처리전"/>
      <sheetName val="#1"/>
      <sheetName val="시멘트"/>
      <sheetName val="수불부"/>
      <sheetName val="구미2월"/>
      <sheetName val="안양2월"/>
      <sheetName val="참고"/>
      <sheetName val="경영비율 "/>
      <sheetName val="04고객별 담당자"/>
      <sheetName val="제조원가명세서"/>
      <sheetName val="정율표"/>
      <sheetName val="판가"/>
      <sheetName val="JUYO"/>
      <sheetName val="CHAB"/>
      <sheetName val="대여금현황sample"/>
      <sheetName val="6.CF"/>
      <sheetName val="풍량"/>
      <sheetName val="TNC(1안)"/>
      <sheetName val="청도 년도별 손익 (RMB)"/>
      <sheetName val="1-12월"/>
      <sheetName val="샘플_생관"/>
      <sheetName val="controll"/>
      <sheetName val="07제품별수익성"/>
      <sheetName val="월급제인원실적"/>
      <sheetName val="일급제인원실적"/>
      <sheetName val="산자강선PU(배부후)"/>
      <sheetName val="인상안"/>
      <sheetName val="1급갑"/>
      <sheetName val="버튼"/>
      <sheetName val="첨부.지수현황상세"/>
      <sheetName val="생산량"/>
      <sheetName val="2_2_2.ROIC월별"/>
      <sheetName val="07DATA"/>
      <sheetName val="CNG버스국내시장"/>
      <sheetName val="PRICAT99"/>
      <sheetName val="직급실적"/>
      <sheetName val="적용환율"/>
      <sheetName val="시산표"/>
      <sheetName val="KPI (QA) 2012"/>
      <sheetName val="01_12月_Lot별_판매실적.xls"/>
      <sheetName val="T&amp;C"/>
      <sheetName val="10고객별 담당자"/>
      <sheetName val="Quality-3"/>
      <sheetName val="3-2. Claim and Complaint"/>
      <sheetName val="산자사 운전용품"/>
      <sheetName val="그룹"/>
      <sheetName val="분석"/>
      <sheetName val="▶판매량Trend(수정안)"/>
      <sheetName val="▶판가Trend(수정안)"/>
      <sheetName val="3931A（600A）#6"/>
      <sheetName val="총무"/>
      <sheetName val="Sheet3 (3)"/>
      <sheetName val="인상효1"/>
      <sheetName val="2-2.매출분석"/>
      <sheetName val="비용"/>
      <sheetName val="DSN Spec."/>
      <sheetName val="RT Spec."/>
      <sheetName val="고합"/>
      <sheetName val="대여금집계표"/>
      <sheetName val="여신판매액"/>
      <sheetName val="본사인상전"/>
      <sheetName val="연령현황"/>
      <sheetName val="DTY"/>
      <sheetName val="POY"/>
      <sheetName val="SDY"/>
      <sheetName val="WD"/>
      <sheetName val="_x0000__x000e__x0000__x000f_ _x0007__x0000_"/>
      <sheetName val="화학PG계"/>
      <sheetName val="Resource단가"/>
      <sheetName val="_x0000__x000e__x0000__x000f__x0009__x0007__x0000_"/>
      <sheetName val="조정방법"/>
      <sheetName val="경영비율_1"/>
      <sheetName val="04고객별_담당자1"/>
      <sheetName val="6_CF1"/>
      <sheetName val="청도_년도별_손익_(RMB)1"/>
      <sheetName val="첨부_지수현황상세1"/>
      <sheetName val="2_2_2_ROIC월별1"/>
      <sheetName val="KPI_(QA)_20121"/>
      <sheetName val="01_12月_Lot별_판매실적_xls1"/>
      <sheetName val="10고객별_담당자1"/>
      <sheetName val="3-2__Claim_and_Complaint1"/>
      <sheetName val="산자사_운전용품1"/>
      <sheetName val="Sheet3_(3)1"/>
      <sheetName val="2-2_매출분석1"/>
      <sheetName val="DSN_Spec_1"/>
      <sheetName val="RT_Spec_1"/>
      <sheetName val="경영비율_"/>
      <sheetName val="04고객별_담당자"/>
      <sheetName val="6_CF"/>
      <sheetName val="청도_년도별_손익_(RMB)"/>
      <sheetName val="첨부_지수현황상세"/>
      <sheetName val="2_2_2_ROIC월별"/>
      <sheetName val="KPI_(QA)_2012"/>
      <sheetName val="01_12月_Lot별_판매실적_xls"/>
      <sheetName val="10고객별_담당자"/>
      <sheetName val="3-2__Claim_and_Complaint"/>
      <sheetName val="산자사_운전용품"/>
      <sheetName val="Sheet3_(3)"/>
      <sheetName val="2-2_매출분석"/>
      <sheetName val="DSN_Spec_"/>
      <sheetName val="RT_Spec_"/>
      <sheetName val="1.xls"/>
      <sheetName val="이론&amp;가동"/>
      <sheetName val="220 (2)"/>
      <sheetName val="▶제조"/>
      <sheetName val="_x000d__x0000__x000a_Ơ믣"/>
      <sheetName val="_x000a__x0000__x000a_Ơ믣"/>
      <sheetName val="_x000d_"/>
      <sheetName val="_x000a_"/>
      <sheetName val="중국수출 (업체별_국가별)"/>
      <sheetName val="별제권_정리담보권"/>
      <sheetName val="3_1_1.제조비용년간"/>
      <sheetName val="원가내역"/>
      <sheetName val="납기코드"/>
      <sheetName val="요인분석"/>
      <sheetName val="_x005f_x0000__x005f_x000e__x005f_x0000__x005f_x000f_ _x"/>
      <sheetName val="_x005f_x0000__x005f_x000e__x005f_x0000__x005f_x000f__x0"/>
      <sheetName val="Q7-8"/>
      <sheetName val="월급제부서원가별"/>
      <sheetName val="일급제부서원가별"/>
      <sheetName val="매출이익-계획vnd"/>
      <sheetName val="_x005f_x0000__x005f_x000e__x005f_x0000__x005f_x000f__x0009__x"/>
      <sheetName val="항목등록"/>
      <sheetName val="--"/>
      <sheetName val="GR1"/>
      <sheetName val="_"/>
      <sheetName val="첨부2"/>
      <sheetName val="경영비율_2"/>
      <sheetName val="04고객별_담당자2"/>
      <sheetName val="6_CF2"/>
      <sheetName val="청도_년도별_손익_(RMB)2"/>
      <sheetName val="첨부_지수현황상세2"/>
      <sheetName val="2_2_2_ROIC월별2"/>
      <sheetName val="산자사_운전용품2"/>
      <sheetName val="KPI_(QA)_20122"/>
      <sheetName val="10고객별_담당자2"/>
      <sheetName val="3-2__Claim_and_Complaint2"/>
      <sheetName val="01_12月_Lot별_판매실적_xls2"/>
      <sheetName val="Sheet3_(3)2"/>
      <sheetName val=" "/>
      <sheetName val="2-2_매출분석2"/>
      <sheetName val="DSN_Spec_2"/>
      <sheetName val="RT_Spec_2"/>
      <sheetName val="11고객별_담당자"/>
      <sheetName val="1_xls"/>
      <sheetName val="220_(2)"/>
      <sheetName val="중국수출_(업체별_국가별)"/>
      <sheetName val="3_1_1_제조비용년간"/>
      <sheetName val="원료구매"/>
      <sheetName val="2계열 H350"/>
      <sheetName val="2계열 H350 KPTG #14 15Y"/>
      <sheetName val="_1"/>
      <sheetName val="경영비율_3"/>
      <sheetName val="04고객별_담당자3"/>
      <sheetName val="6_CF3"/>
      <sheetName val="청도_년도별_손익_(RMB)3"/>
      <sheetName val="첨부_지수현황상세3"/>
      <sheetName val="2_2_2_ROIC월별3"/>
      <sheetName val="KPI_(QA)_20123"/>
      <sheetName val="10고객별_담당자3"/>
      <sheetName val="3-2__Claim_and_Complaint3"/>
      <sheetName val="01_12月_Lot별_판매실적_xls3"/>
      <sheetName val="산자사_운전용품3"/>
      <sheetName val="Sheet3_(3)3"/>
      <sheetName val="2-2_매출분석3"/>
      <sheetName val="DSN_Spec_3"/>
      <sheetName val="RT_Spec_3"/>
      <sheetName val="11고객별_담당자1"/>
      <sheetName val="1_xls1"/>
      <sheetName val="원97"/>
      <sheetName val="￠1.45-1124"/>
      <sheetName val="Ölçüleri"/>
      <sheetName val="1_03수익성대비표"/>
      <sheetName val="견적집계표"/>
      <sheetName val="대차"/>
      <sheetName val="경영비율_4"/>
      <sheetName val="04고객별_담당자4"/>
      <sheetName val="6_CF4"/>
      <sheetName val="청도_년도별_손익_(RMB)4"/>
      <sheetName val="첨부_지수현황상세4"/>
      <sheetName val="2_2_2_ROIC월별4"/>
      <sheetName val="KPI_(QA)_20124"/>
      <sheetName val="10고객별_담당자4"/>
      <sheetName val="집계"/>
      <sheetName val="매크로 보안수준 설명"/>
      <sheetName val="사용방법"/>
      <sheetName val="공급자정보"/>
      <sheetName val="AS접수관리"/>
      <sheetName val="AS접수카드"/>
      <sheetName val="[1.xls][1.xls]______P_H_S_e_566"/>
      <sheetName val="[1.xls][1.xls]______P_H_S_e_567"/>
      <sheetName val="[1.xls][1.xls]______P_H_S_e_565"/>
      <sheetName val="[1.xls][1.XLS]______P_H_S_e_557"/>
      <sheetName val="[1.xls][1.xls]___희석_P_H_S_exc_7"/>
      <sheetName val="[1.xls][1.xls]___희석_P_H_S_exc_8"/>
      <sheetName val="[1.xls][1.xls]___희석_P_H_S_exc_6"/>
      <sheetName val="[1.xls][1.XLS]___희석_P_H_S_exc_5"/>
      <sheetName val="[1.xls][1.XLS]___희석_P_H_S_exc_9"/>
      <sheetName val="[1.xls][1.xls]______P_H_S_e_524"/>
      <sheetName val="[1.xls][1.xls]______P_H_S_e_512"/>
      <sheetName val="[1.xls][1.xls]______P_H_S_e_513"/>
      <sheetName val="[1.xls][1.xls]______P_H_S_e_510"/>
      <sheetName val="[1.xls][1.xls]______P_H_S_e_511"/>
      <sheetName val="[1.xls][1.xls]______P_H_S_e_515"/>
      <sheetName val="[1.xls][1.xls]______P_H_S_e_514"/>
      <sheetName val="[1.xls][1.xls]______P_H_S_e_516"/>
      <sheetName val="[1.xls][1.xls]______P_H_S_e_521"/>
      <sheetName val="[1.xls][1.xls]______P_H_S_e_522"/>
      <sheetName val="[1.xls][1.xls]______P_H_S_e_517"/>
      <sheetName val="[1.xls][1.xls]______P_H_S_e_518"/>
      <sheetName val="[1.xls][1.xls]______P_H_S_e_519"/>
      <sheetName val="[1.xls][1.xls]______P_H_S_e_520"/>
      <sheetName val="[1.xls][1.xls]______P_H_S_e_523"/>
      <sheetName val="[1.xls][1.xls]______P_H_S_e_527"/>
      <sheetName val="[1.xls][1.xls]______P_H_S_e_525"/>
      <sheetName val="[1.xls][1.xls]______P_H_S_e_526"/>
      <sheetName val="[1.xls][1.xls]______P_H_S_e_529"/>
      <sheetName val="[1.xls][1.XLS]______P_H_S_e_528"/>
      <sheetName val="[1.xls][1.xls]______P_H_S_e_530"/>
      <sheetName val="[1.xls][1.xls]______P_H_S_e_552"/>
      <sheetName val="노원열병합  건축공사기성내역서"/>
      <sheetName val="EQUIP LIST"/>
      <sheetName val="연돌일위집계"/>
      <sheetName val="[1.xls][1.xls]______P_H_S_e_534"/>
      <sheetName val="[1.xls][1.xls]______P_H_S_e_535"/>
      <sheetName val="[1.xls][1.xls]______P_H_S_e_532"/>
      <sheetName val="[1.xls][1.xls]______P_H_S_e_533"/>
      <sheetName val="[1.xls][1.xls]______P_H_S_e_531"/>
      <sheetName val="[1.xls][1.xls]______P_H_S_e_536"/>
      <sheetName val="관경"/>
      <sheetName val="1.건물개요"/>
      <sheetName val="2.설계조건"/>
      <sheetName val="4. 열원설비"/>
      <sheetName val="5.환기설비"/>
      <sheetName val="5.3환기팬선정"/>
      <sheetName val="6-1급수"/>
      <sheetName val="6-2급탕"/>
      <sheetName val="6-3 배수"/>
      <sheetName val="6-4 위생용 펌프선정"/>
      <sheetName val="위생기구"/>
      <sheetName val="전기실 풍량"/>
      <sheetName val="증기열원의집계"/>
      <sheetName val="보일러의선정"/>
      <sheetName val="8-3 환기유니트"/>
      <sheetName val="[1.xls][1.xls]______P_H_S_e_541"/>
      <sheetName val="[1.xls][1.XLS]______P_H_S_e_540"/>
      <sheetName val="[1.xls][1.XLS]______P_H_S_e_537"/>
      <sheetName val="[1.xls][1.XLS]______P_H_S_e_538"/>
      <sheetName val="[1.xls][1.XLS]______P_H_S_e_539"/>
      <sheetName val="[1.xls][1.xls]______P_H_S_e_542"/>
      <sheetName val="[1.xls][1.xls]______P_H_S_e_543"/>
      <sheetName val="[1.xls][1.xls]______P_H_S_e_544"/>
      <sheetName val="[1.xls][1.xls]______P_H_S_e_546"/>
      <sheetName val="[1.xls][1.xls]______P_H_S_e_547"/>
      <sheetName val="[1.xls][1.xls]______P_H_S_e_545"/>
      <sheetName val="[1.xls][1.xls]______P_H_S_e_548"/>
      <sheetName val="[1.xls][1.xls]______P_H_S_e_551"/>
      <sheetName val="[1.xls][1.xls]______P_H_S_e_549"/>
      <sheetName val="[1.xls][1.xls]______P_H_S_e_550"/>
      <sheetName val="[1.xls][1.xls]______P_H_S_e_553"/>
      <sheetName val="[1.xls][1.xls]______P_H_S_e_554"/>
      <sheetName val="[1.xls][1.xls]______P_H_S_e_555"/>
      <sheetName val="배수공 시멘트 및 골재량 산출"/>
      <sheetName val="[1.xls][1.xls]______P_H_S_e_556"/>
      <sheetName val="[1.xls][1.xls]______P_H_S_e_562"/>
      <sheetName val="[1.xls][1.xls]__박희석_P_H_S_exc_9"/>
      <sheetName val="[1.xls][1.xls]______P_H_S_e_558"/>
      <sheetName val="[1.xls][1.xls]______P_H_S_e_559"/>
      <sheetName val="[1.xls][1.xls]______P_H_S_e_560"/>
      <sheetName val="[1.xls][1.xls]______P_H_S_e_561"/>
      <sheetName val="[1.xls][1.xls]______P_H_S_e_563"/>
      <sheetName val="[1.xls][1.xls]______P_H_S_e_564"/>
      <sheetName val="[1.xls][1.xls]______P_H_S_e_568"/>
      <sheetName val="[1.xls][1.xls]______P_H_S_e_583"/>
      <sheetName val="[1.xls][1.xls]______P_H_S_e_592"/>
      <sheetName val="[1.xls][1.xls]______P_H_S_e_572"/>
      <sheetName val="[1.xls][1.xls]______P_H_S_e_571"/>
      <sheetName val="[1.xls][1.XLS]______P_H_S_e_570"/>
      <sheetName val="[1.xls][1.XLS]______P_H_S_e_569"/>
      <sheetName val="[1.xls][1.xls]______P_H_S_e_573"/>
      <sheetName val="[1.xls][1.xls]______P_H_S_e_574"/>
      <sheetName val="[1.xls][1.xls]______P_H_S_e_575"/>
      <sheetName val="[1.xls][1.xls]______P_H_S_e_578"/>
      <sheetName val="[1.xls][1.XLS]______P_H_S_e_576"/>
      <sheetName val="[1.xls][1.xls]______P_H_S_e_579"/>
      <sheetName val="[1.xls][1.xls]______P_H_S_e_577"/>
      <sheetName val="[1.xls][1.xls]______P_H_S_e_581"/>
      <sheetName val="[1.xls][1.xls]______P_H_S_e_582"/>
      <sheetName val="[1.xls][1.xls]______P_H_S_e_580"/>
      <sheetName val="[1.xls][1.xls]______P_H_S_e_589"/>
      <sheetName val="[1.xls][1.xls]______P_H_S_e_584"/>
      <sheetName val="[1.xls][1.xls]______P_H_S_e_587"/>
      <sheetName val="[1.xls][1.xls]______P_H_S_e_585"/>
      <sheetName val="[1.xls][1.xls]______P_H_S_e_588"/>
      <sheetName val="[1.xls][1.xls]______P_H_S_e_586"/>
      <sheetName val="[1.xls][1.xls]______P_H_S_e_590"/>
      <sheetName val="열린교실"/>
      <sheetName val="[1.xls][1.xls]______P_H_S_e_591"/>
      <sheetName val="[1.xls][1.xls]______P_H_S_e_597"/>
      <sheetName val="[1.xls][1.xls]______P_H_S_e_595"/>
      <sheetName val="[1.xls][1.xls]______P_H_S_e_596"/>
      <sheetName val="[1.xls][1.xls]______P_H_S_e_593"/>
      <sheetName val="[1.xls][1.xls]______P_H_S_e_594"/>
      <sheetName val="[1.xls][1.xls]______P_H_S_e_598"/>
      <sheetName val="[1.xls][1.xls]______P_H_S_e_599"/>
      <sheetName val="[1.xls][1.xls]__박희석_P_H_S_ex_10"/>
      <sheetName val="실행표"/>
      <sheetName val="계림8구역내역서"/>
      <sheetName val="계림8구역-산출"/>
      <sheetName val="내역서(남악오룡1차)_자동제어"/>
      <sheetName val="내역서(남악오룡1차)-산출"/>
      <sheetName val="내역서(남악오룡2차)_자동제어"/>
      <sheetName val="내역서(남악오룡2차)_산출"/>
      <sheetName val="내역서_남악오룡3차"/>
      <sheetName val="내역서_남악오룡3차-산출"/>
      <sheetName val="계림8구역-산출 (2)"/>
      <sheetName val="sw1"/>
      <sheetName val="[1.xls][1.xls]___희석_P_H_S_ex_11"/>
      <sheetName val="[1.xls][1.XLS]___희석_P_H_S_ex_10"/>
      <sheetName val="단가집"/>
      <sheetName val="㼕ༀ㔀"/>
      <sheetName val="총괄내역서"/>
      <sheetName val="nys"/>
      <sheetName val="[1.xls][1.xls]______P_H_S_e_613"/>
      <sheetName val="[1.xls][1.xls]______P_H_S_e_614"/>
      <sheetName val="[1.xls][1.xls]______P_H_S_e_605"/>
      <sheetName val="[1.xls][1.xls]______P_H_S_e_606"/>
      <sheetName val="[1.xls][1.xls]______P_H_S_e_602"/>
      <sheetName val="[1.xls][1.xls]______P_H_S_e_604"/>
      <sheetName val="[1.xls][1.XLS]______P_H_S_e_603"/>
      <sheetName val="[1.xls][1.xls]______P_H_S_e_607"/>
      <sheetName val="[1.xls][1.xls]______P_H_S_e_608"/>
      <sheetName val="[1.xls][1.xls]______P_H_S_e_609"/>
      <sheetName val="[1.xls][1.xls]______P_H_S_e_610"/>
      <sheetName val="[1.xls][1.xls]______P_H_S_e_611"/>
      <sheetName val="[1.xls][1.xls]______P_H_S_e_612"/>
      <sheetName val="[1.xls][1.xls]______P_H_S_e_615"/>
      <sheetName val="[1.xls][1.xls]______P_H_S_e_630"/>
      <sheetName val="[1.xls][1.xls]______P_H_S_e_657"/>
      <sheetName val="[1.xls][1.xls]______P_H_S_e_626"/>
      <sheetName val="[1.xls][1.xls]______P_H_S_e_627"/>
      <sheetName val="수주추정"/>
      <sheetName val="자재집계 &amp; 총괄표"/>
      <sheetName val="단말장비내역"/>
      <sheetName val="(TCU)장비내역"/>
      <sheetName val="통신회선내역"/>
      <sheetName val="CJS4A7615D02002"/>
      <sheetName val="IPS4D2615D00301"/>
      <sheetName val="㰀_x0009_Ā _x0000__x0000__x0000__x0000__x0000__x0000__x0000__x0000_ĀĀ_x0000__x0000_"/>
      <sheetName val="대외공문"/>
      <sheetName val="㰀_x0009_Ā "/>
      <sheetName val="99수불"/>
      <sheetName val="so-021"/>
      <sheetName val="RD제품개발투자비(매가)"/>
      <sheetName val="검토2"/>
      <sheetName val="F요청서"/>
      <sheetName val="F변경사유"/>
      <sheetName val="원가계산서(공)"/>
      <sheetName val="F물량산출"/>
      <sheetName val="공사비증감비교표"/>
      <sheetName val="공사비 연습"/>
      <sheetName val="건축샘플"/>
      <sheetName val="물량증감표1"/>
      <sheetName val="공사비증감대비"/>
      <sheetName val="물가조사"/>
      <sheetName val="분배표"/>
      <sheetName val="토적표@"/>
      <sheetName val="운반집계표@"/>
      <sheetName val="이월수량@"/>
      <sheetName val="표토제거"/>
      <sheetName val="총흙깍기"/>
      <sheetName val="총흙쌓기"/>
      <sheetName val="산출내역 (1)"/>
      <sheetName val="과천MAIN"/>
      <sheetName val="1.개デ࿤"/>
      <sheetName val="[1.xls][1.xls]______P_H_S_e_622"/>
      <sheetName val="[1.xls][1.xls]___희__P_H_S_ex_10"/>
      <sheetName val="[1.xls][1.xls]___희__P_H_S_exc_6"/>
      <sheetName val="[1.xls][1.xls]___희__P_H_S_exc_5"/>
      <sheetName val="[1.xls][1.xls]___희__P_H_S_exc_8"/>
      <sheetName val="[1.xls][1.xls]___희__P_H_S_exc_7"/>
      <sheetName val="[1.xls][1.xls]___희__P_H_S_exc_9"/>
      <sheetName val="[1.xls][1.xls]___희__P_H_S_ex_12"/>
      <sheetName val="[1.xls][1.xls]___희__P_H_S_ex_11"/>
      <sheetName val="[1.xls][1.xls]___희__P_H_S_ex_13"/>
      <sheetName val="[1.xls][1.xls]___희__P_H_S_ex_14"/>
      <sheetName val="[1.xls][1.xls]______P_H_S_e_623"/>
      <sheetName val="[1.xls][1.xls]______P_H_S_e_621"/>
      <sheetName val="[1.xls][1.XLS]______P_H_S_e_620"/>
      <sheetName val="[1.xls][1.XLS]______P_H_S_e_618"/>
      <sheetName val="주민복지관"/>
      <sheetName val="산출금액내역"/>
      <sheetName val="토공사및_흙막이공사9"/>
      <sheetName val="써100_(A4)9"/>
      <sheetName val="남양시작동자105노65기1_3화1_29"/>
      <sheetName val="97_사업추정(WEKI)9"/>
      <sheetName val="표지_(2)9"/>
      <sheetName val="unit_49"/>
      <sheetName val="F_C_U_ZONE집계9"/>
      <sheetName val="A_H_U_ZONE별집계9"/>
      <sheetName val="PAC_집계9"/>
      <sheetName val="1_가스소비량9"/>
      <sheetName val="1-3_가스관경계산-19"/>
      <sheetName val="1-4_가스관경계산-29"/>
      <sheetName val="1-5_가스관경계산-39"/>
      <sheetName val="1-6_가스관경계산-4_9"/>
      <sheetName val="1-7_가스관경계산-59"/>
      <sheetName val="1-7_가스차압산출9"/>
      <sheetName val="덕트_및_배기그릴선정9"/>
      <sheetName val="OCT_FDN9"/>
      <sheetName val="EXT_CHECK9"/>
      <sheetName val="P-127E1,E2_9"/>
      <sheetName val="P-123E1,E2_9"/>
      <sheetName val="P-128E_9"/>
      <sheetName val="1_견적서목록9"/>
      <sheetName val="부하계산서_(영문)9"/>
      <sheetName val="PEND-ITEM_(2)9"/>
      <sheetName val="견적표지_(횡)9"/>
      <sheetName val="부하집계표_(2안)9"/>
      <sheetName val="부하계산서_9"/>
      <sheetName val="UNIT_COOLER_선정표9"/>
      <sheetName val="ACCUMULALOR_(2안)9"/>
      <sheetName val="동력집계표_(2안)9"/>
      <sheetName val="cooling_tower_(2)9"/>
      <sheetName val="cooling_water_pump9"/>
      <sheetName val="DEFROEST_PUMP9"/>
      <sheetName val="기기선정표_(2안)9"/>
      <sheetName val="cooling_tower9"/>
      <sheetName val="부하집계표_(2)9"/>
      <sheetName val="토목내역서_(도급단가)9"/>
      <sheetName val="BEND_LOSS9"/>
      <sheetName val="（３）_9"/>
      <sheetName val="목차_(2)9"/>
      <sheetName val="1-1_손익(부문별)9"/>
      <sheetName val="1-2_손익(월별)9"/>
      <sheetName val="2-1_판관비(부문)9"/>
      <sheetName val="2-2_판관비(월별)9"/>
      <sheetName val="3-1_수익비용(부문별)9"/>
      <sheetName val="3-2_수익비용(월별)9"/>
      <sheetName val="4-1_투자(부문)9"/>
      <sheetName val="4-2_투자(월별)9"/>
      <sheetName val="5-1_인원(부문)9"/>
      <sheetName val="5-2_인원(월별)9"/>
      <sheetName val="6_산출근거9"/>
      <sheetName val="7_현금흐름9"/>
      <sheetName val="마케팅1_(2)9"/>
      <sheetName val="마케팅1_(3)9"/>
      <sheetName val="마케팅1_(4)9"/>
      <sheetName val="01_1담당매출계획27_8$9"/>
      <sheetName val="01매출계획_선용품9"/>
      <sheetName val="작업악성채권직원판매제외(거래선별)_9"/>
      <sheetName val="작업악성채권직원판매제외_(담당별종합)9"/>
      <sheetName val="작업악성채권직원판매제외_(담당별)9"/>
      <sheetName val="판촉비예산_9"/>
      <sheetName val="인테리어_시설9"/>
      <sheetName val="파_3층_특설_장치장식비9"/>
      <sheetName val="총괄_(03년11월)h&amp;s9"/>
      <sheetName val="총괄_(03년11월)여행9"/>
      <sheetName val="세부내용_(03년11월)여행9"/>
      <sheetName val="개인_세부내용_(03년11월)여행9"/>
      <sheetName val="동구일반상품_9"/>
      <sheetName val="TRE_TABLE9"/>
      <sheetName val="PE거푸집(1_2)9"/>
      <sheetName val="PUNCH_LIST9"/>
      <sheetName val="WELDING_JOINT_INSPECTION_STATU9"/>
      <sheetName val="WEIGHT_LIST9"/>
      <sheetName val="산#2-1_(2)9"/>
      <sheetName val="P_M_별9"/>
      <sheetName val="1차_내역서9"/>
      <sheetName val="3_건축(현장안)9"/>
      <sheetName val="A_LINE9"/>
      <sheetName val="2_2_10_샤시등9"/>
      <sheetName val="A3_공사비_검토9"/>
      <sheetName val="C3_토목_옹벽9"/>
      <sheetName val="A6_샤시등9"/>
      <sheetName val="7_수지9"/>
      <sheetName val="TOWER_12TON9"/>
      <sheetName val="JIB_CRANE,HOIST9"/>
      <sheetName val="TOWER_10TON9"/>
      <sheetName val="토공(우물통,기타)_9"/>
      <sheetName val="BSD__2_9"/>
      <sheetName val="내역서_(2)9"/>
      <sheetName val="배수입상_9"/>
      <sheetName val="1장_9"/>
      <sheetName val="1_개요_9"/>
      <sheetName val="2_조건_9"/>
      <sheetName val="3_공식붙임9"/>
      <sheetName val="4장_9"/>
      <sheetName val="1_AHU_9"/>
      <sheetName val="2_AHU-19"/>
      <sheetName val="2_FAN9"/>
      <sheetName val="1_급탕9"/>
      <sheetName val="6장_별첨9"/>
      <sheetName val="내역서_(3)9"/>
      <sheetName val="내역서_(4)9"/>
      <sheetName val="전선_및_전선관9"/>
      <sheetName val="추정공사비_산출결과9"/>
      <sheetName val="에너지성능지표검토서(기계,_전기,_신재생)9"/>
      <sheetName val="월별손익(용역)_9"/>
      <sheetName val="1-1_손익(온정각)9"/>
      <sheetName val="1-1_손익(관광식당)9"/>
      <sheetName val="1-1_손익(직원식당)9"/>
      <sheetName val="1-2_월별손익(온정각)9"/>
      <sheetName val="1-2_월별손익(관광식당)9"/>
      <sheetName val="1-2_월별손익(직원식당)9"/>
      <sheetName val="2-1_판관비(지원)9"/>
      <sheetName val="2-1_판관비(관광)9"/>
      <sheetName val="2-1_판관비(직원)_9"/>
      <sheetName val="2-1_판관비(온정각)9"/>
      <sheetName val="2000년_공정표8"/>
      <sheetName val="2-2_월별판관비(온정각)9"/>
      <sheetName val="구조______8"/>
      <sheetName val="IMP_(REACTOR)8"/>
      <sheetName val="아파트_9"/>
      <sheetName val="1_수인터널8"/>
      <sheetName val="갑지_(2)8"/>
      <sheetName val="비목별_투자_집계8"/>
      <sheetName val="자재비내역_8"/>
      <sheetName val="운반비_내역8"/>
      <sheetName val="사무_용품비8"/>
      <sheetName val="지대_및_집세8"/>
      <sheetName val="갑지_2_(2)8"/>
      <sheetName val="갑지_28"/>
      <sheetName val="2-2_월별판관비(지원)9"/>
      <sheetName val="2-2_월별판관비(직원)9"/>
      <sheetName val="2-2_월별판관비(휴게소)9"/>
      <sheetName val="2-2_월별판관비(스넥코너)9"/>
      <sheetName val="2-2_월별판관비(음료코너)9"/>
      <sheetName val="2-2_월별판관비(온천장)9"/>
      <sheetName val="5-1_인원(온정각)9"/>
      <sheetName val="99년누계_(월별)9"/>
      <sheetName val="플랜트_설치8"/>
      <sheetName val="콤보박스와_리스트박스의_연결8"/>
      <sheetName val="0_갑지8"/>
      <sheetName val="1_공통가설공사8"/>
      <sheetName val="2_토목공사8"/>
      <sheetName val="3_건축공사8"/>
      <sheetName val="4_설비공사8"/>
      <sheetName val="5_전기공사8"/>
      <sheetName val="7_안전관리비8"/>
      <sheetName val="8_현장관리비8"/>
      <sheetName val="인원투입_계획표8"/>
      <sheetName val="공사계약현황_(기계설비))8"/>
      <sheetName val="공사계약현황_(전기)8"/>
      <sheetName val="2000_058"/>
      <sheetName val="1_설계조건8"/>
      <sheetName val="공사예산하조서(O_K)8"/>
      <sheetName val="C_배수관공8"/>
      <sheetName val="수목데이타_8"/>
      <sheetName val="고효율_유도전동기_적용비율_계산서9"/>
      <sheetName val="정산서_8"/>
      <sheetName val="역T형옹벽(3_0)8"/>
      <sheetName val="1_설계기준8"/>
      <sheetName val="5_공종별예산내역서8"/>
      <sheetName val="건축실행__(5)8"/>
      <sheetName val="참고용_(2)8"/>
      <sheetName val="COMPARISON_TABLE8"/>
      <sheetName val="Eq__Mobilization8"/>
      <sheetName val="간접비_총괄표8"/>
      <sheetName val="1_CB8"/>
      <sheetName val="1_CB_(2)8"/>
      <sheetName val="1_CB_(3)8"/>
      <sheetName val="2_냉난방설비공사8"/>
      <sheetName val="7_자동제어공사8"/>
      <sheetName val="1_취수장8"/>
      <sheetName val="3_고급화검토8"/>
      <sheetName val="2_공사비_검토8"/>
      <sheetName val="6PILE__(돌출)8"/>
      <sheetName val="C급보_8"/>
      <sheetName val="wage_Cal8"/>
      <sheetName val="단가_3"/>
      <sheetName val="수량산출서_갑지3"/>
      <sheetName val="일단의_주택지3"/>
      <sheetName val="실행내역_3"/>
      <sheetName val="설_계3"/>
      <sheetName val="입출재고현황_(2)3"/>
      <sheetName val="4-3_보온_기본물량집계3"/>
      <sheetName val="하도내역_(철콘)3"/>
      <sheetName val="Mech_CIF8"/>
      <sheetName val="비교손익계산서_3"/>
      <sheetName val="2003_123"/>
      <sheetName val="2002_123"/>
      <sheetName val="영업_일13"/>
      <sheetName val="환경기계공정표_(3)3"/>
      <sheetName val="SEV_wiress4_Total3"/>
      <sheetName val="SEV_wireles_4__fire_fighting_3"/>
      <sheetName val="SEV_wireles_4__fire_Alarm3"/>
      <sheetName val="B_1-13"/>
      <sheetName val="B_1-23"/>
      <sheetName val="B_1-33"/>
      <sheetName val="B_1-43"/>
      <sheetName val="B_1-53"/>
      <sheetName val="B_1-63"/>
      <sheetName val="B_1-73"/>
      <sheetName val="B_23"/>
      <sheetName val="B_33"/>
      <sheetName val="B_43"/>
      <sheetName val="B_6-13"/>
      <sheetName val="B_6-23"/>
      <sheetName val="7_경제성결과3"/>
      <sheetName val="2_대외공문3"/>
      <sheetName val="Sheet1_(2)3"/>
      <sheetName val="인건비_3"/>
      <sheetName val="2__공원조도3"/>
      <sheetName val="4-0_툫자3"/>
      <sheetName val="단위세대_개요3"/>
      <sheetName val="1_집계표3"/>
      <sheetName val="2_공통가설공사3"/>
      <sheetName val="4_기계설비공사3"/>
      <sheetName val="7__안전관리비3"/>
      <sheetName val="식대_숙직비3"/>
      <sheetName val="DATA_입력란3"/>
      <sheetName val="1__설계조건_2_단면가정_3__하중계산3"/>
      <sheetName val="3련_BOX3"/>
      <sheetName val="1_설계조건_3"/>
      <sheetName val="설계기준설명_3"/>
      <sheetName val="2_단면가정_(BASE)3"/>
      <sheetName val="3_하중및토압_(고정)3"/>
      <sheetName val="4_작용하중(고정)3"/>
      <sheetName val="5_안정검토(고정)(풍화암)3"/>
      <sheetName val="6_벽체계산3"/>
      <sheetName val="7_흉벽계산(ASCON)3"/>
      <sheetName val="8_FOOTING3"/>
      <sheetName val="9_날개벽3"/>
      <sheetName val="10_교좌받침3"/>
      <sheetName val="11_접속슬라브(ASCON)3"/>
      <sheetName val="1_구리중_(제조사A)3"/>
      <sheetName val="1_구리중_(제조사B)3"/>
      <sheetName val="1_구리중_(제조사C)3"/>
      <sheetName val="2_토평초(제조사A)3"/>
      <sheetName val="2_토평초(제조사B)3"/>
      <sheetName val="2_토평초(제조사C)3"/>
      <sheetName val="3_평내초(제조사A)3"/>
      <sheetName val="3_평내초(제조사B)3"/>
      <sheetName val="3_평내초(제조사C)3"/>
      <sheetName val="실외기_배관트레이3"/>
      <sheetName val="중앙콘트롤러설치용전선_3"/>
      <sheetName val="토목내역_(2)3"/>
      <sheetName val="EQUIPMENT_-23"/>
      <sheetName val="할증_3"/>
      <sheetName val="승용C_S3"/>
      <sheetName val="상용C_S3"/>
      <sheetName val="BSD_(2)3"/>
      <sheetName val="프린트_(3)3"/>
      <sheetName val="간지-2_(2)3"/>
      <sheetName val="_1__개요3"/>
      <sheetName val="_2__난방설비3"/>
      <sheetName val="열관류율_계산서3"/>
      <sheetName val="2_3_세대별난방부하집계3"/>
      <sheetName val="GEN_3"/>
      <sheetName val="을_13"/>
      <sheetName val="을_23"/>
      <sheetName val="1_우편집중내역서3"/>
      <sheetName val="신단가_(내진설치비)3"/>
      <sheetName val="보일러_선정3"/>
      <sheetName val="84A_(2)3"/>
      <sheetName val="84B_(2)3"/>
      <sheetName val="84C_(2)3"/>
      <sheetName val="101A_(2)3"/>
      <sheetName val="101B_(2)3"/>
      <sheetName val="101C_(2)3"/>
      <sheetName val="난방부하집계_(2)3"/>
      <sheetName val="2_3_세대별난방부하집계_(2)3"/>
      <sheetName val="보일러_선정_(2)3"/>
      <sheetName val="4_급수설비3"/>
      <sheetName val="4_2_급수입상배관3"/>
      <sheetName val="4_3_급수횡주관3"/>
      <sheetName val="5_1_열교환기3"/>
      <sheetName val="9,10월신제품_(2)3"/>
      <sheetName val="건___축3"/>
      <sheetName val="crude_SLAB_RE-bar3"/>
      <sheetName val="자__재3"/>
      <sheetName val="12_173"/>
      <sheetName val="가스공사_3"/>
      <sheetName val="내역서1999_8최종3"/>
      <sheetName val="수배전반_을지3"/>
      <sheetName val="Bag_Filter_Sizing3"/>
      <sheetName val="BOX구조해석_설명서3"/>
      <sheetName val="철근량_검토3"/>
      <sheetName val="1_공사개요(입력)3"/>
      <sheetName val="LEGEND_i3"/>
      <sheetName val="4_3__급수펌프선정3"/>
      <sheetName val="4_3_2_급탕순환펌프3"/>
      <sheetName val="4_3_3__배수펌프3"/>
      <sheetName val="4_4__전기온수기3"/>
      <sheetName val="4_5__보일러3"/>
      <sheetName val="4_4__급탕탱크3"/>
      <sheetName val="4_6__급탕탱크3"/>
      <sheetName val="준검_내역서3"/>
      <sheetName val="1_내역(청_하역장전등)3"/>
      <sheetName val="G_R300경비3"/>
      <sheetName val="3BL공동구_수량3"/>
      <sheetName val="집_계_표3"/>
      <sheetName val="전화_인터넷(현장)3"/>
      <sheetName val="3_0냉난방열원집계3"/>
      <sheetName val="4_1AHU3"/>
      <sheetName val="4_3_공기압축기3"/>
      <sheetName val="4_7_전기라디에타_3"/>
      <sheetName val="4_9_AC_3"/>
      <sheetName val="4_11_FAN3"/>
      <sheetName val="4_12_TANK_4_13_탈취기3"/>
      <sheetName val="4_14_PUMP3"/>
      <sheetName val="5_위생설비3"/>
      <sheetName val="8_PILE__(돌출)3"/>
      <sheetName val="Sheet2_(2)3"/>
      <sheetName val="6__안전관리비3"/>
      <sheetName val="5__현장관리비(new)_3"/>
      <sheetName val="평형별_세대수3"/>
      <sheetName val="정계약_현황3"/>
      <sheetName val="1_기계_납품_진행__현황3"/>
      <sheetName val="2_협력업체_담당자_및_연락처3"/>
      <sheetName val="파주_운정지구_A8블럭3"/>
      <sheetName val="_총괄표3"/>
      <sheetName val="블럭_손익3"/>
      <sheetName val="총_원가계산3"/>
      <sheetName val="5_세운W-A3"/>
      <sheetName val="IMPEADENCE_MAP_취수장"/>
      <sheetName val="현장관리비_산출내역"/>
      <sheetName val="Internal_Floor"/>
      <sheetName val="MEEDCO_Vehicle_List"/>
      <sheetName val="단가_및_재료비"/>
      <sheetName val="내역서_"/>
      <sheetName val="Check_List"/>
      <sheetName val="사원증_제작"/>
      <sheetName val="메일,_웹하드"/>
      <sheetName val="협업,_협회"/>
      <sheetName val="Sheet3_(2)"/>
      <sheetName val="일위대가_집계표"/>
      <sheetName val="4-2_실행분석표(실적)"/>
      <sheetName val="간접비_"/>
      <sheetName val="급수_(LPM)"/>
      <sheetName val="3-3_빙축열시스템부하"/>
      <sheetName val="[1_xls][1_xls]______C______99_8"/>
      <sheetName val="[1_xls][1_xls]______P_H_S_ex_17"/>
      <sheetName val="[1_xls][1_XLS]______P_H_S_ex_14"/>
      <sheetName val="[1_XLS][1_XLS]______P_H_S_exc_4"/>
      <sheetName val="[1_XLS][1_XLS]______P_H_S_exc_2"/>
      <sheetName val="[1_XLS][1_XLS]______P_H_S_exc_3"/>
      <sheetName val="[1_XLS][1_XLS]______P_H_S_exc_5"/>
      <sheetName val="[1_XLS][1_XLS]______P_H_S_exc_8"/>
      <sheetName val="[1_XLS][1_XLS]______P_H_S_exc_7"/>
      <sheetName val="[1_XLS][1_XLS]______P_H_S_exc_6"/>
      <sheetName val="[1_XLS][1_XLS]______P_H_S_exc_9"/>
      <sheetName val="[1_XLS][1_XLS]______P_H_S_ex_11"/>
      <sheetName val="[1_XLS][1_XLS]______P_H_S_ex_10"/>
      <sheetName val="[1_XLS][1_XLS]______P_H_S_ex_13"/>
      <sheetName val="[1_XLS][1_XLS]______P_H_S_ex_12"/>
      <sheetName val="견적_(2)"/>
      <sheetName val="[1_xls][1_xls]______P_H_S_ex_15"/>
      <sheetName val="[1_xls][1_xls]______P_H_S_ex_16"/>
      <sheetName val="[1_xls][1_xls]______P_H_S_ex_50"/>
      <sheetName val="[1_xls][1_xls]______P_H_S_ex_18"/>
      <sheetName val="Q(&amp;F)蓑ĀNateOn_정보(&amp;V)"/>
      <sheetName val="?"/>
      <sheetName val="[1_xls][1_xls]______P_H_S_ex_19"/>
      <sheetName val="[1_xls][1_xls]______P_H_S_ex_20"/>
      <sheetName val="[1_xls][1_xls]______P_H_S_ex_21"/>
      <sheetName val="[1_xls][1_xls]______P_H_S_ex_22"/>
      <sheetName val="[1_xls][1_xls]______P_H_S_ex_23"/>
      <sheetName val="[1_xls][1_xls]______P_H_S_ex_24"/>
      <sheetName val="[1_xls][1_xls]______P_H_S_ex_25"/>
      <sheetName val="[1_xls][1_xls]______P_H_S_ex_26"/>
      <sheetName val="[1_xls][1_xls]______P_H_S_ex_27"/>
      <sheetName val="[1_xls][1_xls]______P_H_S_ex_28"/>
      <sheetName val="[1_xls][1_xls]______P_H_S_ex_30"/>
      <sheetName val="[1_xls][1_xls]______P_H_S_ex_29"/>
      <sheetName val="[1_xls][1_xls]______P_H_S_ex_31"/>
      <sheetName val="[1_xls][1_xls]______P_H_S_ex_32"/>
      <sheetName val="[1_xls][1_xls]______P_H_S_ex_33"/>
      <sheetName val="[1_xls][1_xls]______P_H_S_ex_34"/>
      <sheetName val="[1_xls][1_xls]______P_H_S_ex_35"/>
      <sheetName val="[1_xls][1_xls]______P_H_S_ex_36"/>
      <sheetName val="[1_xls][1_xls]______P_H_S_ex_37"/>
      <sheetName val="[1_xls][1_xls]______P_H_S_ex_38"/>
      <sheetName val="[1_xls][1_xls]______P_H_S_ex_39"/>
      <sheetName val="[1_xls][1_xls]______P_H_S_ex_40"/>
      <sheetName val="[1_xls][1_xls]______P_H_S_ex_41"/>
      <sheetName val="[1_xls][1_xls]______P_H_S_ex_42"/>
      <sheetName val="[1_xls][1_xls]______P_H_S_ex_43"/>
      <sheetName val="[1_xls][1_xls]______P_H_S_ex_44"/>
      <sheetName val="[1_xls][1_xls]______P_H_S_ex_45"/>
      <sheetName val="[1_xls][1_xls]______P_H_S_ex_46"/>
      <sheetName val="[1_xls][1_xls]______P_H_S_ex_47"/>
      <sheetName val="[1_xls][1_xls]______P_H_S_ex_48"/>
      <sheetName val="[1_xls][1_xls]______P_H_S_ex_49"/>
      <sheetName val="[1_xls][1_xls]______P_H_S_ex_71"/>
      <sheetName val="[1_xls][1_xls]______P_H_S_ex_51"/>
      <sheetName val="중기조종사_단위단가"/>
      <sheetName val="[1_xls][1_xls]______P_H_S_ex_52"/>
      <sheetName val="[1_xls][1_xls]______P_H_S_ex_54"/>
      <sheetName val="[1_xls][1_xls]______P_H_S_ex_55"/>
      <sheetName val="난간기초_(길이별)"/>
      <sheetName val="[1_xls][1_xls]______P_H_S_ex_53"/>
      <sheetName val="[1_xls][1_xls]______P_H_S_ex_56"/>
      <sheetName val="[1_xls][1_xls]______P_H_S_ex_57"/>
      <sheetName val="[1_xls][1_xls]______P_H_S_ex_58"/>
      <sheetName val="[1_xls][1_xls]______P_H_S_ex_60"/>
      <sheetName val="[1_xls][1_xls]______P_H_S_ex_59"/>
      <sheetName val="[1_xls][1_xls]______P_H_S_ex_61"/>
      <sheetName val="[1_xls][1_xls]______P_H_S_ex_62"/>
      <sheetName val="[1_xls][1_xls]______P_H_S_ex_63"/>
      <sheetName val="[1_xls][1_xls]______P_H_S_ex_64"/>
      <sheetName val="[1_xls][1_xls]______P_H_S_ex_65"/>
      <sheetName val="[1_xls][1_xls]______P_H_S_ex_66"/>
      <sheetName val="[1_xls][1_xls]______P_H_S_ex_67"/>
      <sheetName val="[1_xls][1_xls]______P_H_S_ex_68"/>
      <sheetName val="99생산계획_(1,300)"/>
      <sheetName val="[1_xls][1_xls]______P_H_S_ex_69"/>
      <sheetName val="[1_xls][1_xls]______P_H_S_ex_70"/>
      <sheetName val="[1_xls][1_xls]______P_H_S_ex_72"/>
      <sheetName val="[1_xls][1_xls]______P_H_S_ex_74"/>
      <sheetName val="[1_xls][1_XLS]______P_H_S_ex_73"/>
      <sheetName val="[1_xls][1_xls]______P_H_S_ex_75"/>
      <sheetName val="[1_xls][1_xls]______P_H_S_ex_77"/>
      <sheetName val="[1_xls][1_XLS]______P_H_S_ex_76"/>
      <sheetName val="[1_xls][1_xls]______P_H_S_ex_78"/>
      <sheetName val="[1_xls][1_xls]______P_H_S_ex_80"/>
      <sheetName val="[1_xls][1_XLS]______P_H_S_ex_79"/>
      <sheetName val="[1_xls][1_xls]______P_H_S_ex_90"/>
      <sheetName val="[1_xls][1_xls]______P_H_S_ex_81"/>
      <sheetName val="[1_xls][1_xls]______P_H_S_ex_82"/>
      <sheetName val="[1_xls][1_xls]______P_H_S_ex_83"/>
      <sheetName val="[1_xls][1_xls]______P_H_S_ex_84"/>
      <sheetName val="[1_xls][1_xls]______P_H_S_ex_85"/>
      <sheetName val="[1_xls][1_xls]______P_H_S_ex_86"/>
      <sheetName val="[1_xls][1_xls]______P_H_S_ex_87"/>
      <sheetName val="[1_xls][1_xls]______P_H_S_ex_88"/>
      <sheetName val="[1_xls][1_xls]______P_H_S_ex_89"/>
      <sheetName val="[1_xls][1_xls]______P_H_S_ex_91"/>
      <sheetName val="0000000"/>
      <sheetName val="산출"/>
      <sheetName val="inter"/>
      <sheetName val="[1.xls][1.xls]______P_H_S_e_617"/>
      <sheetName val="[1.xls][1.XLS]______P_H_S_e_616"/>
      <sheetName val="[1.xls][1.xls]______P_H_S_e_619"/>
      <sheetName val="에너지성능지표က뎔迲"/>
      <sheetName val="[1.xls][1.xls]______P_H_S_e_624"/>
      <sheetName val="[1.xls][1.xls]__박희석_P_H_S_ex_11"/>
      <sheetName val="C1.공사개요"/>
      <sheetName val="[1.xls][1.xls]______P_H_S_e_625"/>
      <sheetName val="[1.xls][1.XLS]______P_H_S_e_629"/>
      <sheetName val="[1.xls][1.XLS]______P_H_S_e_628"/>
      <sheetName val="[1.xls][1.xls]______P_H_S_e_646"/>
      <sheetName val="[1.xls][1.xls]______P_H_S_e_652"/>
      <sheetName val="[1.xls][1.xls]______P_H_S_e_637"/>
      <sheetName val="토공집계표"/>
      <sheetName val="은대내역서"/>
      <sheetName val="[1.xls][1.xls]______P_H_S_e_631"/>
      <sheetName val="[1.xls][1.xls]______P_H_S_e_636"/>
      <sheetName val="[1.xls][1.XLS]______P_H_S_e_635"/>
      <sheetName val="[1.xls][1.XLS]______P_H_S_e_632"/>
      <sheetName val="[1.xls][1.XLS]______P_H_S_e_633"/>
      <sheetName val="[1.xls][1.XLS]______P_H_S_e_634"/>
      <sheetName val="[1.xls][1.xls]______P_H_S_e_643"/>
      <sheetName val="[1.xls][1.xls]______P_H_S_e_639"/>
      <sheetName val="[1.xls][1.xls]______P_H_S_e_640"/>
      <sheetName val="[1.xls][1.xls]______P_H_S_e_638"/>
      <sheetName val="[1.xls][1.xls]______P_H_S_e_641"/>
      <sheetName val="[1.xls][1.xls]______P_H_S_e_642"/>
      <sheetName val="[1.xls][1.xls]______P_H_S_e_644"/>
      <sheetName val="[1.xls][1.xls]______P_H_S_e_645"/>
      <sheetName val="[1.xls][1.xls]______P_H_S_e_647"/>
      <sheetName val="[1.xls][1.xls]______P_H_S_e_648"/>
      <sheetName val="[1.xls][1.xls]______P_H_S_e_649"/>
      <sheetName val="[1.xls][1.xls]______P_H_S_e_650"/>
      <sheetName val="[1.xls][1.xls]______P_H_S_e_651"/>
      <sheetName val="[1.xls][1.xls]______P_H_S_e_653"/>
      <sheetName val="[1.xls][1.xls]______P_H_S_e_654"/>
      <sheetName val="[1.xls][1.xls]______P_H_S_e_655"/>
      <sheetName val="[1.xls][1.XLS]______P_H_S_e_656"/>
      <sheetName val="[1.xls][1.xls]______P_H_S_e_724"/>
      <sheetName val="마감산출"/>
      <sheetName val="[1.xls][1.xls]__박희석_P_H_S_ex_12"/>
      <sheetName val="[1.xls][1.xls]______P_H_S_e_723"/>
      <sheetName val="[1.xls][1.XLS]______P_H_S_e_722"/>
      <sheetName val="[1.xls][1.xls]______P_H_S_e_720"/>
      <sheetName val="[1.xls][1.XLS]______P_H_S_e_719"/>
      <sheetName val="[1.xls][1.xls]______P_H_S_e_691"/>
      <sheetName val="[1.xls][1.xls]______P_H_S_e_692"/>
      <sheetName val="[1.xls][1.xls]______P_H_S_e_670"/>
      <sheetName val="[1.xls][1.xls]______P_H_S_e_671"/>
      <sheetName val="[1.xls][1.xls]______P_H_S_e_658"/>
      <sheetName val="[1.xls][1.xls]______P_H_S_e_659"/>
      <sheetName val="[1.xls][1.xls]______P_H_S_e_663"/>
      <sheetName val="[1.xls][1.xls]______P_H_S_e_660"/>
      <sheetName val="[1.xls][1.xls]______P_H_S_e_667"/>
      <sheetName val="[1.xls][1.xls]______P_H_S_e_661"/>
      <sheetName val="[1.xls][1.xls]______P_H_S_e_662"/>
      <sheetName val="[1.xls][1.xls]______P_H_S_e_664"/>
      <sheetName val="[1.xls][1.xls]______P_H_S_e_665"/>
      <sheetName val="[1.xls][1.xls]______P_H_S_e_669"/>
      <sheetName val="[1.xls][1.xls]______P_H_S_e_666"/>
      <sheetName val="[1.xls][1.xls]______P_H_S_e_668"/>
      <sheetName val="[1.xls][1.xls]______P_H_S_e_678"/>
      <sheetName val="[1.xls][1.xls]______P_H_S_e_675"/>
      <sheetName val="[1.xls][1.xls]______P_H_S_e_672"/>
      <sheetName val="[1.xls][1.xls]______P_H_S_e_676"/>
      <sheetName val="VXXXXXXXXXXXXXX"/>
      <sheetName val="지역열원조건"/>
      <sheetName val="부하계산"/>
      <sheetName val="EHP"/>
      <sheetName val="EHP장비"/>
      <sheetName val="난방부하"/>
      <sheetName val="냉방용량집계"/>
      <sheetName val="난방용량집계"/>
      <sheetName val="흡수식냉동기"/>
      <sheetName val="냉각탑"/>
      <sheetName val="열교환기선정"/>
      <sheetName val="연결열부하"/>
      <sheetName val="팬코일사양"/>
      <sheetName val="순환펌프선정"/>
      <sheetName val="냉수유량"/>
      <sheetName val="온수유량"/>
      <sheetName val="탱크"/>
      <sheetName val="부스타펌프"/>
      <sheetName val="기숙사부스타펌프"/>
      <sheetName val="팽창탱크"/>
      <sheetName val="급탕순환펌프"/>
      <sheetName val="Ⅴ.환기설비."/>
      <sheetName val="풍량집계표"/>
      <sheetName val="환기용송풍기"/>
      <sheetName val="팬선정"/>
      <sheetName val="정압"/>
      <sheetName val="주차장환기"/>
      <sheetName val="FU"/>
      <sheetName val="팬코일용량"/>
      <sheetName val="배수 (2)"/>
      <sheetName val="[1.xls][1.xls]______P_H_S_e_673"/>
      <sheetName val="[1.xls][1.xls]______P_H_S_e_674"/>
      <sheetName val="[1.xls][1.xls]______P_H_S_e_677"/>
      <sheetName val="[1.xls][1.xls]______P_H_S_e_679"/>
      <sheetName val="[1.xls][1.xls]______P_H_S_e_686"/>
      <sheetName val="[1.xls][1.xls]______P_H_S_e_681"/>
      <sheetName val="[1.xls][1.xls]______P_H_S_e_682"/>
      <sheetName val="[1.xls][1.XLS]______P_H_S_e_680"/>
      <sheetName val="40총괄"/>
      <sheetName val="40집계"/>
      <sheetName val="[1.xls][1.xls]______P_H_S_e_685"/>
      <sheetName val="[1.xls][1.xls]______P_H_S_e_683"/>
      <sheetName val="[1.xls][1.xls]______P_H_S_e_684"/>
      <sheetName val="[1.xls][1.xls]______P_H_S_e_688"/>
      <sheetName val="[1.xls][1.xls]______P_H_S_e_687"/>
      <sheetName val="[1.xls][1.xls]______P_H_S_e_689"/>
      <sheetName val="[1.xls][1.xls]______P_H_S_e_690"/>
      <sheetName val="[1.xls][1.xls]______P_H_S_e_694"/>
      <sheetName val="[1.xls][1.xls]______P_H_S_e_693"/>
      <sheetName val="[1.xls][1.xls]______P_H_S_e_699"/>
      <sheetName val="[1.xls][1.xls]______P_H_S_e_700"/>
      <sheetName val="[1.xls][1.xls]______P_H_S_e_695"/>
      <sheetName val="[1.xls][1.xls]______P_H_S_e_696"/>
      <sheetName val="[1.xls][1.xls]______P_H_S_e_697"/>
      <sheetName val="[1.xls][1.xls]______P_H_S_e_698"/>
      <sheetName val="[1.xls][1.xls]______P_H_S_e_703"/>
      <sheetName val="[1.xls][1.xls]______P_H_S_e_706"/>
      <sheetName val="[1.xls][1.xls]______P_H_S_e_702"/>
      <sheetName val="[1.xls][1.xls]______P_H_S_e_701"/>
      <sheetName val="[1.xls][1.xls]______P_H_S_e_705"/>
      <sheetName val="[1.xls][1.xls]______P_H_S_e_704"/>
      <sheetName val="[1.xls][1.xls]______P_H_S_e_707"/>
      <sheetName val="[1.xls][1.xls]______P_H_S_e_708"/>
      <sheetName val="[1.xls][1.xls]___희석_P_H_S_ex_12"/>
      <sheetName val="재료집계"/>
      <sheetName val="[1.xls][1.xls]______P_H_S_e_709"/>
      <sheetName val="[1.xls][1.xls]______P_H_S_e_710"/>
      <sheetName val="[1.xls][1.xls]______P_H_S_e_711"/>
      <sheetName val="㰀 Ā _x0000__x0000__x0000__x0000__x0000__x0000__x0000__x0000_ĀĀ_x0000__x0000_"/>
      <sheetName val="㰀 Ā "/>
      <sheetName val="[1.xls][1.xls]______P_H_S_e_713"/>
      <sheetName val="[1.xls][1.xls]______P_H_S_e_712"/>
      <sheetName val="[1.xls][1.xls]______P_H_S_e_715"/>
      <sheetName val="[1.xls][1.xls]______P_H_S_e_718"/>
      <sheetName val="[1.xls][1.xls]______P_H_S_e_714"/>
      <sheetName val="[1.xls][1.xls]______P_H_S_e_716"/>
      <sheetName val="[1.xls][1.xls]______P_H_S_e_717"/>
      <sheetName val="[1.xls][1.XLS]______P_H_S_e_721"/>
      <sheetName val="실행갑지"/>
      <sheetName val="[1.xls][1.xls]______P_H_S_e_725"/>
      <sheetName val="PHU LUC 01"/>
      <sheetName val="Đầu vào"/>
      <sheetName val="목표세부명세"/>
      <sheetName val="정산서  (2)"/>
      <sheetName val="[1.xls][1.xls]__박희석_P_H_S_ex_13"/>
      <sheetName val="[1.xls][1.xls]______P_H_S_e_728"/>
      <sheetName val="[1.xls][1.XLS]______P_H_S_e_727"/>
      <sheetName val="[1.xls][1.XLS]______P_H_S_e_726"/>
      <sheetName val="[1.xls][1.xls]______P_H_S_e_760"/>
      <sheetName val="[1.xls][1.XLS]______P_H_S_e_759"/>
      <sheetName val="전 기"/>
      <sheetName val="4-3 (2)"/>
      <sheetName val="[1.xls][1.xls]______P_H_S_e_747"/>
      <sheetName val="[1.xls][1.xls]______P_H_S_e_748"/>
      <sheetName val="[1.xls][1.xls]______P_H_S_e_730"/>
      <sheetName val="Cover Sht"/>
      <sheetName val="에너지동"/>
      <sheetName val="O-단가조사서"/>
      <sheetName val="[1.xls][1.XLS]___________exc_44"/>
      <sheetName val="[1.xls][1.XLS]____석_P_H_S_ex_13"/>
      <sheetName val="[1.xls][1.XLS]____석_P_H_S_exc_6"/>
      <sheetName val="[1.xls][1.XLS]____석_P_H_S_exc_7"/>
      <sheetName val="[1.xls][1.XLS]____석_P_H_S_exc_8"/>
      <sheetName val="[1.xls][1.XLS]____석_P_H_S_exc_9"/>
      <sheetName val="[1.xls][1.XLS]____석_P_H_S_ex_10"/>
      <sheetName val="[1.xls][1.xls]____석_P_H_S_ex_11"/>
      <sheetName val="[1.xls][1.xls]____석_P_H_S_ex_12"/>
      <sheetName val="[1.xls][1.xls]____석_P_H_S_ex_14"/>
      <sheetName val="[1.xls][1.xls]____석_P_H_S_ex_15"/>
      <sheetName val="[1.xls][1.xls]______P_H_S_e_729"/>
      <sheetName val="경상비"/>
      <sheetName val="직원근무현황"/>
      <sheetName val="DATA입력"/>
      <sheetName val="급여TABLE"/>
      <sheetName val="집기손료"/>
      <sheetName val="집기류"/>
      <sheetName val="보할 "/>
      <sheetName val="현장조직표 "/>
      <sheetName val="Eastimate"/>
      <sheetName val="[1.xls][1.xls]______P_H_S_e_731"/>
      <sheetName val="[1.xls][1.xls]______P_H_S_e_732"/>
      <sheetName val="[1.xls][1.xls]______P_H_S_e_733"/>
      <sheetName val="[1.xls][1.xls]______P_H_S_e_734"/>
      <sheetName val="[1.xls][1.xls]______P_H_S_e_735"/>
      <sheetName val="[1.xls][1.xls]______P_H_S_e_736"/>
      <sheetName val="[1.xls][1.xls]______P_H_S_e_738"/>
      <sheetName val="[1.xls][1.xls]______P_H_S_e_737"/>
      <sheetName val="단가대비표 (3)"/>
      <sheetName val="신심사"/>
      <sheetName val="건축개요"/>
      <sheetName val="10월판관"/>
      <sheetName val="합손"/>
      <sheetName val="A"/>
      <sheetName val="[1_xls][1_xls]__박_석_P_H_S_exc_2"/>
      <sheetName val="[1_xls][1_XLS]____석_P_H_S_exc_2"/>
      <sheetName val="[1_xls][1_xls]__박___P_H_S_exc_2"/>
      <sheetName val="[1_xls][1_XLS]__박_석_P_H_S_exc_3"/>
      <sheetName val="별표1"/>
      <sheetName val="[1.xls][1.xls]______P_H_S_e_740"/>
      <sheetName val="[1.xls][1.xls]______P_H_S_e_741"/>
      <sheetName val="[1.xls][1.xls]______P_H_S_e_739"/>
      <sheetName val="[1.xls][1.xls]______P_H_S_e_746"/>
      <sheetName val="[1.xls][1.XLS]______P_H_S_e_744"/>
      <sheetName val="[1.xls][1.XLS]______P_H_S_e_743"/>
      <sheetName val="[1.xls][1.xls]______P_H_S_e_742"/>
      <sheetName val="[1.xls][1.xls]______P_H_S_e_745"/>
      <sheetName val="[1.xls][1.xls]______P_H_S_e_751"/>
      <sheetName val="[1.xls][1.XLS]______P_H_S_e_750"/>
      <sheetName val="[1.xls][1.XLS]______P_H_S_e_749"/>
      <sheetName val="[1.xls][1.xls]______P_H_S_e_752"/>
      <sheetName val="[1.xls][1.xls]______P_H_S_e_756"/>
      <sheetName val="[1.xls][1.xls]______P_H_S_e_754"/>
      <sheetName val="[1.xls][1.xls]______P_H_S_e_753"/>
      <sheetName val="[1.xls][1.xls]______P_H_S_e_755"/>
      <sheetName val="[1.xls][1.xls]______P_H_S_e_757"/>
      <sheetName val="[1.xls][1.xls]______P_H_S_e_758"/>
      <sheetName val="[1.xls][1.xls]______P_H_S_e_763"/>
      <sheetName val="[1.xls][1.XLS]______P_H_S_e_761"/>
      <sheetName val="[1.xls][1.xls]______P_H_S_e_762"/>
      <sheetName val="[1.xls][1.xls]______P_H_S_e_764"/>
      <sheetName val="[1.xls][1.xls]______P_H_S_e_765"/>
      <sheetName val="[1.xls][1.xls]______P_H_S_e_767"/>
      <sheetName val="[1.xls][1.XLS]______P_H_S_e_766"/>
      <sheetName val="[1.xls][1.xls]______P_H_S_e_769"/>
      <sheetName val="[1.xls][1.XLS]______P_H_S_e_768"/>
      <sheetName val="[1.xls][1.xls]______P_H_S_e_770"/>
      <sheetName val="[1.xls][1.xls]______P_H_S_e_771"/>
      <sheetName val="[1.xls][1.xls]______P_H_S_e_774"/>
      <sheetName val="[1.xls][1.xls]______P_H_S_e_772"/>
      <sheetName val="[1.xls][1.xls]______P_H_S_e_773"/>
      <sheetName val="[1.xls][1.xls]______P_H_S_e_776"/>
      <sheetName val="[1.xls][1.xls]______P_H_S_e_777"/>
      <sheetName val="[1.xls][1.xls]______P_H_S_e_775"/>
      <sheetName val="[1.xls][1.xls]______P_H_S_e_778"/>
      <sheetName val="[1.xls][1.xls]______P_H_S_e_781"/>
      <sheetName val="[1.xls][1.XLS]______P_H_S_e_780"/>
      <sheetName val="[1.xls][1.XLS]______P_H_S_e_779"/>
      <sheetName val="[1.xls][1.xls]______P_H_S_e_782"/>
      <sheetName val="[1.xls][1.XLS]______P_H_S_e_783"/>
      <sheetName val="[1.xls][1.xls]______P_H_S_e_786"/>
      <sheetName val="[1.xls][1.XLS]______P_H_S_e_785"/>
      <sheetName val="[1.xls][1.xls]______P_H_S_e_784"/>
      <sheetName val="[1.xls][1.xls]______P_H_S_e_795"/>
      <sheetName val="[1.xls][1.xls]______P_H_S_e_788"/>
      <sheetName val="[1.xls][1.xls]______P_H_S_e_789"/>
      <sheetName val="[1.xls][1.xls]______P_H_S_e_790"/>
      <sheetName val="[1.xls][1.xls]______P_H_S_e_791"/>
      <sheetName val="[1.xls][1.xls]______P_H_S_e_792"/>
      <sheetName val="[1.xls][1.xls]______P_H_S_e_794"/>
      <sheetName val="[1.xls][1.xls]______P_H_S_e_799"/>
      <sheetName val="[1.xls][1.xls]______P_H_S_e_802"/>
      <sheetName val="[1.xls][1.xls]______P_H_S_e_796"/>
      <sheetName val="[1.xls][1.xls]______P_H_S_e_798"/>
      <sheetName val="[1.xls][1.xls]______P_H_S_e_797"/>
      <sheetName val="[1.xls][1.xls]______P_H_S_e_803"/>
      <sheetName val="[1.xls][1.xls]______P_H_S_e_800"/>
      <sheetName val="[1.xls][1.xls]______P_H_S_e_801"/>
      <sheetName val="[1.xls][1.xls]______P_H_S_e_806"/>
      <sheetName val="[1.xls][1.xls]______P_H_S_e_807"/>
      <sheetName val="[1.xls][1.xls]______P_H_S_e_808"/>
      <sheetName val="[1.xls][1.xls]______P_H_S_e_810"/>
      <sheetName val="[1.xls][1.xls]______P_H_S_e_809"/>
      <sheetName val="[1.xls][1.xls]______P_H_S_e_811"/>
      <sheetName val="[1.xls][1.xls]______P_H_S_e_812"/>
      <sheetName val="[1.xls][1.xls]______P_H_S_e_814"/>
      <sheetName val="[1.xls][1.xls]______P_H_S_e_813"/>
      <sheetName val="[1.xls][1.xls]______P_H_S_e_816"/>
      <sheetName val="[1.xls][1.xls]______P_H_S_e_817"/>
      <sheetName val="[1.xls][1.xls]______P_H_S_e_815"/>
      <sheetName val="[1.xls][1.xls]______P_H_S_e_818"/>
      <sheetName val="[1.xls][1.xls]______P_H_S_e_820"/>
      <sheetName val="[1.xls][1.xls]______P_H_S_e_821"/>
      <sheetName val="[1.xls][1.xls]______P_H_S_e_819"/>
      <sheetName val="[1.xls][1.XLS]___희__P_H_S_ex_17"/>
      <sheetName val="[1.xls][1.xls]___희__P_H_S_ex_15"/>
      <sheetName val="[1.xls][1.xls]___희__P_H_S_ex_16"/>
      <sheetName val="[1.xls][1.xls]___희__P_H_S_ex_18"/>
      <sheetName val="[1.xls][1.xls]___희__P_H_S_ex_20"/>
      <sheetName val="[1.xls][1.XLS]___희__P_H_S_ex_19"/>
      <sheetName val="[1.xls][1.xls]___희__P_H_S_ex_21"/>
      <sheetName val="판넬"/>
      <sheetName val="철골"/>
      <sheetName val="BHANDUP"/>
      <sheetName val="시중노임(공사)"/>
      <sheetName val="7.PILE  (돌출)"/>
      <sheetName val="정릉견_x0000__x0000_"/>
      <sheetName val="내역서 (_x0000__x0000_"/>
      <sheetName val="표"/>
      <sheetName val="앨범표지"/>
      <sheetName val="[1.xls][1.xls]__박희석_P_H_S_ex_14"/>
      <sheetName val="2동전기"/>
      <sheetName val="[1.xls][1.xls]___희석_P_H_S_ex_14"/>
      <sheetName val="[1.xls][1.xls]___희석_P_H_S_ex_13"/>
      <sheetName val="급ꟲﰰ"/>
      <sheetName val="마사"/>
      <sheetName val="Direct_MP_Updated1"/>
      <sheetName val="5월_평균일수1"/>
      <sheetName val="태화42_1"/>
      <sheetName val="BCA_INDEX1"/>
      <sheetName val="5_단면검토"/>
      <sheetName val="[1_xls][1_xls]__박_석_P_H_S_exc_4"/>
      <sheetName val="[1_xls][1_xls]__박_석_P_H_S_exc_7"/>
      <sheetName val="[1_xls][1_xls]__박_석_P_H_S_exc_5"/>
      <sheetName val="[1_xls][1_xls]__박_석_P_H_S_exc_6"/>
      <sheetName val="폴리머_배수로"/>
      <sheetName val="폴리머_집수정"/>
      <sheetName val="에너지성능지표검토서(기계,_전기,_신재생)(3~5면)"/>
      <sheetName val="[1_xls]\\박희석\P_H_S\excel\1_XLS"/>
      <sheetName val="[1_xls][1_xls]______C______99_9"/>
      <sheetName val="[1_xls][1_xls]______C______9_10"/>
      <sheetName val="[1_xls][1_xls]___희석_P_H_S_exc_3"/>
      <sheetName val="[1_xls][1_XLS]___희석_P_H_S_exc_2"/>
      <sheetName val="[1_xls][1_xls]______P_H_S_ex_93"/>
      <sheetName val="[1_xls][1_xls]______P_H_S_ex_92"/>
      <sheetName val="[1_xls][1_xls]______P_H_S_ex_95"/>
      <sheetName val="[1_xls][1_xls]______P_H_S_ex_94"/>
      <sheetName val="[1_xls][1_xls]______P_H_S_ex_99"/>
      <sheetName val="[1_xls][1_xls]______P_H_S_ex_96"/>
      <sheetName val="[1_xls][1_xls]______P_H_S_ex_97"/>
      <sheetName val="[1_xls][1_xls]______P_H_S_ex_98"/>
      <sheetName val="[1_xls][1_xls]______P_H_S_e_107"/>
      <sheetName val="[1_xls][1_XLS]______P_H_S_e_100"/>
      <sheetName val="[1_xls][1_xls]______P_H_S_e_101"/>
      <sheetName val="[1_xls][1_xls]______P_H_S_e_102"/>
      <sheetName val="[1_xls][1_xls]______P_H_S_e_103"/>
      <sheetName val="[1_xls][1_xls]______P_H_S_e_104"/>
      <sheetName val="[1_xls][1_xls]______P_H_S_e_105"/>
      <sheetName val="[1_xls][1_xls]______P_H_S_e_106"/>
      <sheetName val="[1_xls][1_xls]______P_H_S_e_108"/>
      <sheetName val="[1_xls][1_xls]______P_H_S_e_109"/>
      <sheetName val="[1_xls][1_xls]______P_H_S_e_110"/>
      <sheetName val="[1_xls][1_xls]______P_H_S_e_112"/>
      <sheetName val="[1_xls][1_XLS]______P_H_S_e_111"/>
      <sheetName val="[1_xls][1_xls]______P_H_S_e_113"/>
      <sheetName val="[1_xls][1_xls]______P_H_S_e_114"/>
      <sheetName val="[1_xls][1_XLS]______P_H_S_e_119"/>
      <sheetName val="[1_xls][1_xls]______P_H_S_e_116"/>
      <sheetName val="[1_xls][1_xls]______P_H_S_e_117"/>
      <sheetName val="[1_xls][1_xls]______P_H_S_e_115"/>
      <sheetName val="[1_xls][1_xls]______P_H_S_e_118"/>
      <sheetName val="[1_xls][1_xls]______P_H_S_e_140"/>
      <sheetName val="[1_xls][1_xls]______P_H_S_e_134"/>
      <sheetName val="[1_xls][1_xls]______P_H_S_e_133"/>
      <sheetName val="[1_xls][1_xls]______P_H_S_e_121"/>
      <sheetName val="[1_xls][1_xls]______P_H_S_e_120"/>
      <sheetName val="[1_xls][1_xls]______P_H_S_e_123"/>
      <sheetName val="[1_xls][1_XLS]______P_H_S_e_122"/>
      <sheetName val="[1_xls][1_xls]______P_H_S_e_128"/>
      <sheetName val="[1_xls][1_XLS]______P_H_S_e_125"/>
      <sheetName val="[1_xls][1_xls]______P_H_S_e_124"/>
      <sheetName val="[1_xls][1_xls]______P_H_S_e_127"/>
      <sheetName val="[1_xls][1_xls]______P_H_S_e_126"/>
      <sheetName val="[1_xls][1_xls]______P_H_S_e_129"/>
      <sheetName val="[1_xls][1_xls]______P_H_S_e_131"/>
      <sheetName val="[1_xls][1_xls]______P_H_S_e_130"/>
      <sheetName val="[1_xls][1_xls]______P_H_S_e_132"/>
      <sheetName val="[1_xls][1_xls]______P_H_S_e_135"/>
      <sheetName val="[1_xls][1_xls]______P_H_S_e_136"/>
      <sheetName val="[1_xls][1_xls]______P_H_S_e_137"/>
      <sheetName val="[1_xls][1_xls]______P_H_S_e_138"/>
      <sheetName val="[1_xls][1_xls]______P_H_S_e_139"/>
      <sheetName val="[1_xls][1_xls]______P_H_S_e_150"/>
      <sheetName val="[1_xls][1_XLS]______P_H_S_e_149"/>
      <sheetName val="[1_xls][1_XLS]______P_H_S_e_141"/>
      <sheetName val="[1_xls][1_XLS]______P_H_S_e_142"/>
      <sheetName val="[1_xls][1_XLS]______P_H_S_e_143"/>
      <sheetName val="[1_xls][1_xls]______P_H_S_e_146"/>
      <sheetName val="[1_xls][1_xls]______P_H_S_e_144"/>
      <sheetName val="[1_xls][1_xls]______P_H_S_e_145"/>
      <sheetName val="[1_xls][1_XLS]______P_H_S_e_147"/>
      <sheetName val="[1_xls][1_XLS]______P_H_S_e_148"/>
      <sheetName val="[1_xls][1_xls]______P_H_S_e_154"/>
      <sheetName val="[1_xls][1_xls]______P_H_S_e_151"/>
      <sheetName val="[1_xls][1_xls]______P_H_S_e_159"/>
      <sheetName val="[1_xls][1_xls]______P_H_S_e_152"/>
      <sheetName val="[1_xls][1_xls]______P_H_S_e_153"/>
      <sheetName val="[1_xls][1_xls]______P_H_S_e_160"/>
      <sheetName val="[1_xls][1_xls]______P_H_S_e_155"/>
      <sheetName val="[1_xls][1_xls]______P_H_S_e_157"/>
      <sheetName val="[1_xls][1_xls]______P_H_S_e_156"/>
      <sheetName val="[1_xls][1_xls]______P_H_S_e_158"/>
      <sheetName val="[1_xls][1_xls]______P_H_S_e_161"/>
      <sheetName val="[1_xls][1_xls]______P_H_S_e_165"/>
      <sheetName val="[1_xls][1_XLS]______P_H_S_e_164"/>
      <sheetName val="[1_xls][1_xls]______P_H_S_e_162"/>
      <sheetName val="[1_xls][1_XLS]______P_H_S_e_163"/>
      <sheetName val="[1_xls][1_xls]___희__P_H_S_exc_4"/>
      <sheetName val="[1_xls][1_xls]___희__P_H_S_exc_3"/>
      <sheetName val="[1_xls][1_xls]___희__P_H_S_exc_2"/>
      <sheetName val="\\박희석\P_H_S\excel\1_XLS"/>
      <sheetName val="[1_xls][1_xls]__박_석_P_H_S_exc_8"/>
      <sheetName val="[1_xls][1_xls]__박_석_P_H_S_ex_10"/>
      <sheetName val="[1_xls][1_XLS]__박_석_P_H_S_exc_9"/>
      <sheetName val="[1_xls][1_xls]__박_석_P_H_S_ex_11"/>
      <sheetName val="[1_xls][1_xls]__박_석_P_H_S_ex_13"/>
      <sheetName val="[1_xls][1_XLS]__박_석_P_H_S_ex_12"/>
      <sheetName val="[1_xls][1_xls]__박_석_P_H_S_ex_14"/>
      <sheetName val="[1_xls][1_xls]__박_석_P_H_S_ex_15"/>
      <sheetName val="[1_xls][1_xls]__박_석_P_H_S_ex_17"/>
      <sheetName val="[1_xls][1_XLS]__박_석_P_H_S_ex_16"/>
      <sheetName val="[1_xls][1_xls]__박희__P_H_S_exc_2"/>
      <sheetName val="4_2유효폭의_계산"/>
      <sheetName val="[1_xls][1_xls]______P_H_S_e_166"/>
      <sheetName val="[1_xls][1_xls]______P_H_S_e_167"/>
      <sheetName val="_표준양식_-_파일산출서_xlsx"/>
      <sheetName val="[1.xls][1.xls]______P_H_S_e_840"/>
      <sheetName val="[1.xls][1.xls]______P_H_S_e_828"/>
      <sheetName val="[1.xls][1.xls]______P_H_S_e_829"/>
      <sheetName val="Bill1__Block_2_-_KC_mong"/>
      <sheetName val="Elemental_Breakdown+20%"/>
      <sheetName val="K2_(K2M)_(K2A)"/>
      <sheetName val="Bill_01_-_CTN"/>
      <sheetName val="노원열병합__건축공사기성내역서"/>
      <sheetName val="6MONTHS"/>
      <sheetName val="G2설비도급"/>
      <sheetName val="내역률노무비"/>
      <sheetName val="I一般比"/>
      <sheetName val="견적"/>
      <sheetName val="일위대가내역"/>
      <sheetName val="토목(대안)"/>
      <sheetName val="2000.11월설계내역"/>
      <sheetName val="[1.xls][1.xls]______P_H_S_e_822"/>
      <sheetName val="[1.xls][1.xls]______P_H_S_e_823"/>
      <sheetName val="노무비o_x0000_Ԁ"/>
      <sheetName val="FACTOR"/>
      <sheetName val="3084"/>
      <sheetName val="인부노임"/>
      <sheetName val="매입세율"/>
      <sheetName val="[1.xls][1.xls]______P_H_S_e_824"/>
      <sheetName val="[1.xls][1.xls]______P_H_S_e_825"/>
      <sheetName val="[1.xls][1.xls]______P_H_S_e_827"/>
      <sheetName val="[1.xls][1.xls]______P_H_S_e_826"/>
      <sheetName val="[1.xls][1.xls]______P_H_S_e_830"/>
      <sheetName val="[1.xls][1.xls]______P_H_S_e_831"/>
      <sheetName val="[1.xls][1.xls]______P_H_S_e_832"/>
      <sheetName val="[1.xls][1.xls]______P_H_S_e_833"/>
      <sheetName val="[1.xls][1.xls]______P_H_S_e_834"/>
      <sheetName val="[1.xls][1.xls]______P_H_S_e_836"/>
      <sheetName val="[1.xls][1.XLS]______P_H_S_e_835"/>
      <sheetName val="[1.xls][1.xls]______P_H_S_e_837"/>
      <sheetName val="[1.xls][1.xls]______P_H_S_e_838"/>
      <sheetName val="[1.xls][1.xls]______P_H_S_e_839"/>
      <sheetName val="[1.xls][1.xls]______P_H_S_e_841"/>
      <sheetName val="[1.xls][1.xls]______P_H_S_e_844"/>
      <sheetName val="[1.xls][1.XLS]______P_H_S_e_842"/>
      <sheetName val="[1.xls][1.xls]______P_H_S_e_843"/>
      <sheetName val="[1.xls][1.xls]______P_H_S_e_850"/>
      <sheetName val="[1.xls][1.xls]______P_H_S_e_845"/>
      <sheetName val="[1.xls][1.xls]______P_H_S_e_846"/>
      <sheetName val="[1.xls][1.xls]______P_H_S_e_847"/>
      <sheetName val="[1.xls][1.xls]______P_H_S_e_848"/>
      <sheetName val="[1.xls][1.xls]______P_H_S_e_849"/>
      <sheetName val="[1.xls][1.xls]______P_H_S_e_851"/>
      <sheetName val="[1.xls][1.xls]______P_H_S__1074"/>
      <sheetName val="[1.xls][1.XLS]___________exc_45"/>
      <sheetName val="[1.xls][1.XLS]___________exc_47"/>
      <sheetName val="[1.xls][1.XLS]___________exc_46"/>
      <sheetName val="1_공통가설1"/>
      <sheetName val="[1_xls][1_xls]______P_H_S_e_169"/>
      <sheetName val="[1_xls][1_XLS]______P_H_S_e_168"/>
      <sheetName val="[1_xls][1_xls]______P_H_S_e_170"/>
      <sheetName val="[1_xls][1_xls]______P_H_S_e_171"/>
      <sheetName val="[1_xls][1_XLS]______P_H_S_e_172"/>
      <sheetName val="[1_xls][1_xls]__박희__P_H_S_exc_4"/>
      <sheetName val="[1_xls][1_XLS]__박희__P_H_S_exc_3"/>
      <sheetName val="[1_xls][1_xls]__박희__P_H_S_exc_6"/>
      <sheetName val="[1_xls][1_XLS]__박희__P_H_S_exc_5"/>
      <sheetName val="[1_xls][1_xls]______P_H_S_e_179"/>
      <sheetName val="[1_xls][1_XLS]______P_H_S_e_177"/>
      <sheetName val="[1_xls][1_xls]______P_H_S_e_174"/>
      <sheetName val="[1_xls][1_XLS]______P_H_S_e_173"/>
      <sheetName val="[1_xls][1_xls]______P_H_S_e_176"/>
      <sheetName val="[1_xls][1_XLS]______P_H_S_e_175"/>
      <sheetName val="[1_xls][1_xls]______P_H_S_e_178"/>
      <sheetName val="[1_xls][1_xls]______P_H_S_e_187"/>
      <sheetName val="[1_xls][1_xls]______P_H_S_e_184"/>
      <sheetName val="[1_xls][1_xls]______P_H_S_e_181"/>
      <sheetName val="[1_xls][1_xls]______P_H_S_e_180"/>
      <sheetName val="[1_xls][1_xls]______P_H_S_e_182"/>
      <sheetName val="[1_xls][1_xls]______P_H_S_e_183"/>
      <sheetName val="[1_xls][1_xls]______P_H_S_e_185"/>
      <sheetName val="[1_xls][1_xls]______P_H_S_e_186"/>
      <sheetName val="D8_underpass_WP-D592"/>
      <sheetName val="D10_"/>
      <sheetName val="WP-SN01-01_&amp;_02"/>
      <sheetName val="[1_xls][1_XLS]______P_H_S_e_188"/>
      <sheetName val="[1_xls][1_xls]______P_H_S_e_189"/>
      <sheetName val="[1_xls][1_xls]______P_H_S_e_190"/>
      <sheetName val="[1_xls][1_XLS]__박희석_P_H_S_exc_4"/>
      <sheetName val="[1_xls][1_xls]__박희석_P_H_S_exc_3"/>
      <sheetName val="[1_xls][1_XLS]__박희석_P_H_S_exc_2"/>
      <sheetName val="내역(중앙)"/>
      <sheetName val="내역(창신)"/>
      <sheetName val="[1.xls][1.xls]______P_H_S_e_892"/>
      <sheetName val="[1.xls][1.xls]______P_H_S_e_893"/>
      <sheetName val="TOT"/>
      <sheetName val="[1.xls][1.xls]______P_H_S_e_884"/>
      <sheetName val="[1.xls][1.XLS]______P_H_S_e_883"/>
      <sheetName val="_x0000__x0000__x0000__x0010__x0000__x0000__x0000_ㅀ"/>
      <sheetName val="[1.xls][1.xls]______P_H_S_e_860"/>
      <sheetName val="[1.xls][1.xls]______P_H_S_e_861"/>
      <sheetName val="[1.xls][1.xls]______P_H_S_e_859"/>
      <sheetName val="[1.xls][1.xls]______P_H_S_e_855"/>
      <sheetName val="[1.xls][1.XLS]______P_H_S_e_854"/>
      <sheetName val="세동별비상"/>
      <sheetName val="RESOURCE"/>
      <sheetName val="부표"/>
      <sheetName val="장비종합부표"/>
      <sheetName val="2.재료비"/>
      <sheetName val="[1.xls][1.XLS]______P_H_S_e_852"/>
      <sheetName val="[1.xls][1.XLS]______P_H_S_e_853"/>
      <sheetName val="[1.xls][1.xls]______P_H_S_e_857"/>
      <sheetName val="[1.xls][1.xls]______P_H_S_e_858"/>
      <sheetName val="[1.xls][1.xls]______P_H_S_e_856"/>
      <sheetName val="저수조"/>
      <sheetName val="건축기성"/>
      <sheetName val="아°_x0000__x0000_"/>
      <sheetName val="건축-물가변동"/>
      <sheetName val="[1.xls][1.xls]______P_H_S_e_864"/>
      <sheetName val="[1.xls][1.xls]______P_H_S_e_862"/>
      <sheetName val="[1.xls][1.xls]______P_H_S_e_863"/>
      <sheetName val="[1.xls][1.xls]______P_H_S_e_875"/>
      <sheetName val="[1.xls][1.xls]______P_H_S_e_876"/>
      <sheetName val="[1.xls][1.xls]______P_H_S_e_865"/>
      <sheetName val="[1.xls][1.xls]______P_H_S_e_866"/>
      <sheetName val="[1.xls][1.xls]______P_H_S_e_867"/>
      <sheetName val="[1.xls][1.xls]______P_H_S_e_868"/>
      <sheetName val="[1.xls][1.xls]______P_H_S_e_869"/>
      <sheetName val="[1.xls][1.xls]______P_H_S_e_870"/>
      <sheetName val="[1.xls][1.xls]______P_H_S_e_871"/>
      <sheetName val="[1.xls][1.xls]______P_H_S_e_872"/>
      <sheetName val="[1.xls][1.xls]______P_H_S_e_873"/>
      <sheetName val="[1.xls][1.xls]______P_H_S_e_874"/>
      <sheetName val="[1.xls][1.xls]______P_H_S_e_877"/>
      <sheetName val="[1.xls][1.xls]______P_H_S_e_880"/>
      <sheetName val="[1.xls][1.XLS]______P_H_S_e_879"/>
      <sheetName val="STAND20"/>
      <sheetName val="당진1,2호기전선관설치및접지4차공사내역서-을지"/>
      <sheetName val="WELDING POINT 단가"/>
      <sheetName val="[1.xls][1.xls]__박희__P_H_S_exc_9"/>
      <sheetName val="[1.xls][1.XLS]__박희__P_H_S_exc_8"/>
      <sheetName val="건물Main"/>
      <sheetName val="97년 SEACO예산"/>
      <sheetName val="96.12"/>
      <sheetName val="가로등내"/>
      <sheetName val="건축공사비내역서-아파트"/>
      <sheetName val="건축공사비내역서-기타시설"/>
      <sheetName val="TEL"/>
      <sheetName val="Currency"/>
      <sheetName val="Non-Statistical Sampling"/>
      <sheetName val="AR Drop Downs"/>
      <sheetName val="DropDown"/>
      <sheetName val="[1.xls][1.xls]______P_H_S_e_878"/>
      <sheetName val="[1.xls][1.xls]______P_H_S_e_881"/>
      <sheetName val="[1.xls][1.xls]______P_H_S_e_882"/>
      <sheetName val="[1.xls][1.xls]______P_H_S_e_889"/>
      <sheetName val="[1.xls][1.XLS]______P_H_S_e_888"/>
      <sheetName val="[1.xls][1.xls]______P_H_S_e_885"/>
      <sheetName val="[1.xls][1.xls]______P_H_S_e_887"/>
      <sheetName val="[1.xls][1.xls]______P_H_S_e_886"/>
      <sheetName val="[1.xls][1.xls]______P_H_S_e_890"/>
      <sheetName val="[1.xls][1.xls]______P_H_S_e_891"/>
      <sheetName val="[1.xls][1.xls]______P_H_S_e_915"/>
      <sheetName val="[1.xls][1.xls]______P_H_S_e_895"/>
      <sheetName val="[1.xls][1.xls]______P_H_S_e_894"/>
      <sheetName val="[1.xls][1.xls]______P_H_S_e_901"/>
      <sheetName val="[1.xls][1.xls]______P_H_S_e_903"/>
      <sheetName val="00건설추정대차대조표"/>
      <sheetName val="날개벽"/>
      <sheetName val="6동"/>
      <sheetName val="주방"/>
      <sheetName val="수량BOQ"/>
      <sheetName val="지장물C"/>
      <sheetName val="(4-2)열관류값-2"/>
      <sheetName val="표지(기계)"/>
      <sheetName val="공사설정"/>
      <sheetName val="토공사"/>
      <sheetName val="직종표"/>
      <sheetName val="낙찰표"/>
      <sheetName val="[1.xls][1.xls]__박_석_P_H_S_ex_18"/>
      <sheetName val="[1.xls][1.xls]__박_석_P_H_S_ex_19"/>
      <sheetName val="[1.xls][1.xls]______P_H_S_e_896"/>
      <sheetName val="[1.xls][1.xls]______P_H_S_e_899"/>
      <sheetName val="[1.xls][1.xls]______P_H_S_e_897"/>
      <sheetName val="[1.xls][1.xls]______P_H_S_e_898"/>
      <sheetName val="[1.xls][1.xls]______P_H_S_e_900"/>
      <sheetName val="[1.xls][1.xls]______P_H_S_e_904"/>
      <sheetName val="[1.xls][1.xls]______P_H_S_e_902"/>
      <sheetName val="[1.xls][1.xls]______P_H_S_e_905"/>
      <sheetName val="[1.xls][1.xls]______P_H_S_e_913"/>
      <sheetName val="7단가"/>
      <sheetName val="[1.xls][1.XLS]___________exc_55"/>
      <sheetName val="[1.xls][1.XLS]___________exc_48"/>
      <sheetName val="[1.xls][1.XLS]___________exc_49"/>
      <sheetName val="[1.xls][1.XLS]___________exc_50"/>
      <sheetName val="[1.xls][1.XLS]___________exc_51"/>
      <sheetName val="[1.xls][1.XLS]___________exc_52"/>
      <sheetName val="[1.xls][1.XLS]___________exc_53"/>
      <sheetName val="[1.xls][1.XLS]___________exc_54"/>
      <sheetName val="[1.xls][1.XLS]___________exc_56"/>
      <sheetName val="견적의뢰"/>
      <sheetName val="2-3.V.D일위"/>
      <sheetName val="[1.xls][1.XLS]__박___P_H_S_exc_5"/>
      <sheetName val="[1.xls][1.xls]______P_H_S_e_907"/>
      <sheetName val="[1.xls][1.xls]______P_H_S_e_908"/>
      <sheetName val="[1.xls][1.xls]______P_H_S_e_906"/>
      <sheetName val="[1.xls][1.xls]______P_H_S_e_909"/>
      <sheetName val="[1.xls][1.XLS]______P_H_S_e_912"/>
      <sheetName val="23.하중"/>
      <sheetName val="4.조합"/>
      <sheetName val="5.COPING(하중산정)"/>
      <sheetName val="A-일반휨검토"/>
      <sheetName val="A-코벨검토)"/>
      <sheetName val="B-코벨검토)"/>
      <sheetName val="C-코벨검토)"/>
      <sheetName val="5.COPING(균열)"/>
      <sheetName val="5.COPING(수평력검토)"/>
      <sheetName val="6.안정(1)"/>
      <sheetName val="6.안정(2)"/>
      <sheetName val="7.기둥(1)"/>
      <sheetName val="7.기둥(2)"/>
      <sheetName val="7.기둥(3)"/>
      <sheetName val="7.기둥(6)"/>
      <sheetName val="7.기둥횡방향구속철근"/>
      <sheetName val="7.기둥(5)-이번계산에서는 제외함"/>
      <sheetName val="8.기초(1)"/>
      <sheetName val="8.기초(2)"/>
      <sheetName val="8.기초(3)"/>
      <sheetName val="9.강체"/>
      <sheetName val="설계조건및안정검토"/>
      <sheetName val="철근량"/>
      <sheetName val="BOX"/>
      <sheetName val="안정계산"/>
      <sheetName val="날개벽(TYPE1)"/>
      <sheetName val="[1.xls][1.xls]______P_H_S_e_911"/>
      <sheetName val="[1.xls][1.xls]______P_H_S_e_910"/>
      <sheetName val="[1.xls][1.xls]__박희석_P_H_S_ex_16"/>
      <sheetName val="[1.xls][1.xls]__박희석_P_H_S_ex_15"/>
      <sheetName val="[1.xls][1.xls]__박희석_P_H_S_ex_21"/>
      <sheetName val="[1.xls][1.xls]__박희석_P_H_S_ex_17"/>
      <sheetName val="[1.xls][1.xls]__박희석_P_H_S_ex_18"/>
      <sheetName val="[1.xls][1.xls]__박희석_P_H_S_ex_19"/>
      <sheetName val="[1.xls][1.xls]__박희석_P_H_S_ex_20"/>
      <sheetName val="[1.xls][1.xls]__박희석_P_H_S_ex_22"/>
      <sheetName val="경율산정.XLS"/>
      <sheetName val="Raw Data"/>
      <sheetName val="장기미처리(센터)"/>
      <sheetName val="장기미처리(업체)"/>
      <sheetName val="TV"/>
      <sheetName val="단면 (2)"/>
      <sheetName val="피보험자명세(럭키확정분)"/>
      <sheetName val="전신전화가입권"/>
      <sheetName val="외상매출금현황-수정분 A2"/>
      <sheetName val="(입력)기본정보"/>
      <sheetName val="(자동)재무계획_산출"/>
      <sheetName val="T형( 파일기초) 공현1교"/>
      <sheetName val="[1.xls][1.xls]______P_H_S_e_914"/>
      <sheetName val="[1.xls][1.xls]______P_H_S_e_916"/>
      <sheetName val="[1.xls][1.xls]______P_H_S_e_917"/>
      <sheetName val="[1.xls][1.xls]______P_H_S_e_923"/>
      <sheetName val="총수량집계표"/>
      <sheetName val="잔수량(작성)"/>
      <sheetName val="구조물철거타공정이월"/>
      <sheetName val="당초내역서"/>
      <sheetName val="안정검토"/>
      <sheetName val="단면설계"/>
      <sheetName val="안정검토(온1)"/>
      <sheetName val="철근단면적"/>
      <sheetName val="옹벽"/>
      <sheetName val="반중력식옹벽"/>
      <sheetName val="INPUTDATA"/>
      <sheetName val="H-pile(298x299)"/>
      <sheetName val="H-pile(250x250)"/>
      <sheetName val="종단계산"/>
      <sheetName val="상 부"/>
      <sheetName val="교대시점"/>
      <sheetName val="화해(장성)"/>
      <sheetName val="화해(함평)"/>
      <sheetName val="대창(장성)"/>
      <sheetName val="주현(영광)"/>
      <sheetName val="주현(해보)"/>
      <sheetName val="용산3(영광)"/>
      <sheetName val="suk(mac)"/>
      <sheetName val="슬래브(유곡)"/>
      <sheetName val="슬래브"/>
      <sheetName val="골재산출"/>
      <sheetName val="장비집계"/>
      <sheetName val="3.바닥판설계"/>
      <sheetName val="주형"/>
      <sheetName val="I.설계조건"/>
      <sheetName val="교대(A1-A2)"/>
      <sheetName val="COPING"/>
      <sheetName val="주차구획선수량"/>
      <sheetName val="기둥"/>
      <sheetName val="저판(버림100)"/>
      <sheetName val="공량산출서"/>
      <sheetName val="배수공 내역서 적용수량"/>
      <sheetName val="좌측"/>
      <sheetName val="입력란"/>
      <sheetName val="97노임단가"/>
      <sheetName val="S.중기사용료"/>
      <sheetName val="성토도수로현황(횡배수관)"/>
      <sheetName val="진주방향"/>
      <sheetName val="도장"/>
      <sheetName val="우수"/>
      <sheetName val="빗물받이(910-510-410)"/>
      <sheetName val="집수정(600-700)"/>
      <sheetName val="우수공"/>
      <sheetName val="현장관리비세부내역 "/>
      <sheetName val="[1.xls][1.xls]______P_H_S_e_920"/>
      <sheetName val="[1.xls][1.xls]______P_H_S_e_921"/>
      <sheetName val="[1.xls][1.xls]______P_H_S_e_918"/>
      <sheetName val="[1.xls][1.xls]______P_H_S_e_919"/>
      <sheetName val="[1.xls][1.xls]______P_H_S_e_922"/>
      <sheetName val="[1.xls][1.xls]______P_H_S_e_926"/>
      <sheetName val="[1.xls][1.xls]______P_H_S_e_924"/>
      <sheetName val="[1.xls][1.xls]______P_H_S_e_928"/>
      <sheetName val="영동(D)"/>
      <sheetName val="냉온열원집계"/>
      <sheetName val="CAT_5"/>
      <sheetName val="아Õ_x0000_Ԁ"/>
      <sheetName val="[1.xls][1.xls]___희석_P_H_S_ex_15"/>
      <sheetName val="[1.xls][1.xls]______P_H_S_e_925"/>
      <sheetName val="[1.xls][1.xls]______P_H_S_e_930"/>
      <sheetName val="[1.xls][1.xls]______P_H_S_e_927"/>
      <sheetName val="[1.xls][1.xls]______P_H_S_e_931"/>
      <sheetName val="[1.xls][1.xls]______P_H_S_e_929"/>
      <sheetName val="[1.xls][1.xls]______P_H_S_e_933"/>
      <sheetName val="[1.xls][1.XLS]______P_H_S_e_932"/>
      <sheetName val="[1.xls][1.xls]______P_H_S_e_935"/>
      <sheetName val="내역서(총괄)"/>
      <sheetName val="[1.xls][1.xls]______P_H_S_e_934"/>
      <sheetName val="[1.xls][1.xls]______P_H_S_e_936"/>
      <sheetName val="4.포장집계"/>
      <sheetName val="예상공사비 (2)"/>
      <sheetName val="공사비 내역 (가)"/>
      <sheetName val="SILICATE"/>
      <sheetName val="建筑定额 (2002)"/>
      <sheetName val="전기 BM_revA('090624).xls"/>
      <sheetName val="[1.xls][1.xls]______P_H_S__1025"/>
      <sheetName val="[1.xls][1.xls]______P_H_S_e_981"/>
      <sheetName val="[1.xls][1.xls]______P_H_S_e_938"/>
      <sheetName val="[1.xls][1.xls]______P_H_S_e_937"/>
      <sheetName val="[1.xls][1.xls]______P_H_S_e_954"/>
      <sheetName val="[1.xls][1.XLS]______P_H_S_e_947"/>
      <sheetName val="[1.xls][1.xls]______P_H_S_e_939"/>
      <sheetName val="[1.xls][1.xls]______P_H_S_e_940"/>
      <sheetName val="[1.xls][1.xls]______P_H_S_e_942"/>
      <sheetName val="[1.xls][1.xls]______P_H_S_e_941"/>
      <sheetName val="[1.xls][1.xls]______P_H_S_e_943"/>
      <sheetName val="[1.xls][1.xls]______P_H_S_e_944"/>
      <sheetName val="[1.xls][1.xls]______P_H_S_e_946"/>
      <sheetName val="[1.xls][1.xls]______P_H_S_e_945"/>
      <sheetName val="[1.xls][1.xls]______P_H_S_e_948"/>
      <sheetName val="[1.xls][1.xls]______P_H_S_e_949"/>
      <sheetName val="[1.xls][1.xls]______P_H_S_e_950"/>
      <sheetName val="[1.xls][1.xls]______P_H_S_e_951"/>
      <sheetName val="[1.xls][1.xls]______P_H_S_e_953"/>
      <sheetName val="[1.xls][1.XLS]______P_H_S_e_952"/>
      <sheetName val="[1.xls][1.xls]______P_H_S_e_979"/>
      <sheetName val="[1.xls][1.xls]______P_H_S_e_976"/>
      <sheetName val="[1.xls][1.xls]______P_H_S_e_975"/>
      <sheetName val="[1.xls][1.xls]______P_H_S_e_973"/>
      <sheetName val="[1.xls][1.xls]______P_H_S_e_974"/>
      <sheetName val="[1.xls][1.xls]______P_H_S_e_970"/>
      <sheetName val="[1.xls][1.xls]______P_H_S_e_971"/>
      <sheetName val="중동공구"/>
      <sheetName val="[1.xls][1.XLS]______P_H_S_e_969"/>
      <sheetName val="[1.xls][1.xls]______P_H_S_e_955"/>
      <sheetName val="[1.xls][1.xls]______P_H_S_e_957"/>
      <sheetName val="[1.xls][1.xls]______P_H_S_e_956"/>
      <sheetName val="[1.xls][1.xls]______P_H_S_e_958"/>
      <sheetName val="[1.xls][1.xls]______P_H_S_e_959"/>
      <sheetName val="[1.xls][1.xls]______P_H_S_e_962"/>
      <sheetName val="[1.xls][1.xls]______P_H_S_e_960"/>
      <sheetName val="[1.xls][1.xls]______P_H_S_e_961"/>
      <sheetName val="[1.xls][1.xls]______P_H_S_e_963"/>
      <sheetName val="[1.xls][1.xls]______P_H_S_e_964"/>
      <sheetName val="[1.xls][1.xls]______P_H_S_e_965"/>
      <sheetName val="[1.xls][1.xls]______P_H_S_e_967"/>
      <sheetName val="[1.xls][1.xls]______P_H_S_e_966"/>
      <sheetName val="[1.xls][1.xls]______P_H_S_e_968"/>
      <sheetName val="[1.xls][1.xls]______P_H_S_e_972"/>
      <sheetName val="[1.xls][1.xls]______C______9_11"/>
      <sheetName val="[1.xls][1.xls]______C______9_12"/>
      <sheetName val="[1.xls][1.xls]______C______9_13"/>
      <sheetName val="[1.xls][1.xls]______C______9_14"/>
      <sheetName val="[1.xls][1.xls]______P_H_S_e_977"/>
      <sheetName val="[1.xls][1.xls]______P_H_S_e_978"/>
      <sheetName val="[1.xls][1.xls]______P_H_S_e_980"/>
      <sheetName val="[1.xls][1.xls]______P_H_S_e_984"/>
      <sheetName val="[1.xls][1.xls]______P_H_S_e_983"/>
      <sheetName val="[1.xls][1.xls]______P_H_S_e_982"/>
      <sheetName val="[1.xls][1.xls]______P_H_S__1022"/>
      <sheetName val="[1.xls][1.xls]______P_H_S__1015"/>
      <sheetName val="[1.xls][1.xls]______P_H_S__1016"/>
      <sheetName val="[1.xls][1.xls]______P_H_S__1013"/>
      <sheetName val="[1.xls][1.xls]______P_H_S__1014"/>
      <sheetName val="[1.xls][1.xls]______P_H_S__1011"/>
      <sheetName val="[1.xls][1.xls]______P_H_S__1007"/>
      <sheetName val="[1.xls][1.xls]______P_H_S__1008"/>
      <sheetName val="[1.xls][1.xls]______P_H_S__1006"/>
      <sheetName val="[1.xls][1.xls]______P_H_S__1000"/>
      <sheetName val="[1.xls][1.xls]______P_H_S__1001"/>
      <sheetName val="[1.xls][1.xls]______P_H_S_e_994"/>
      <sheetName val="[1.xls][1.xls]______P_H_S_e_995"/>
      <sheetName val="[1.xls][1.xls]______P_H_S_e_985"/>
      <sheetName val="[1.xls][1.xls]______P_H_S_e_986"/>
      <sheetName val="[1.xls][1.xls]______P_H_S_e_987"/>
      <sheetName val="[1.xls][1.xls]______P_H_S_e_988"/>
      <sheetName val="[1.xls][1.xls]______P_H_S_e_993"/>
      <sheetName val="[1.xls][1.xls]______P_H_S_e_989"/>
      <sheetName val="[1.xls][1.xls]______P_H_S_e_990"/>
      <sheetName val="[1.xls][1.xls]______P_H_S_e_991"/>
      <sheetName val="[1.xls][1.xls]______P_H_S_e_992"/>
      <sheetName val="[1.xls][1.xls]______P_H_S_e_996"/>
      <sheetName val="[1.xls][1.xls]______P_H_S_e_998"/>
      <sheetName val="[1.xls][1.xls]______P_H_S_e_997"/>
      <sheetName val="[1.xls][1.xls]______P_H_S_e_999"/>
      <sheetName val="[1.xls][1.xls]______P_H_S__1002"/>
      <sheetName val="[1.xls][1.xls]______P_H_S__1004"/>
      <sheetName val="결재갑지"/>
      <sheetName val="[1.xls][1.xls]______P_H_S__1003"/>
      <sheetName val="[1.xls][1.xls]______P_H_S__1005"/>
      <sheetName val="[1.xls][1.xls]______P_H_S__1009"/>
      <sheetName val="[1.xls][1.xls]______P_H_S__1010"/>
      <sheetName val="[1.xls][1.xls]______P_H_S__1012"/>
      <sheetName val="[1.xls][1.xls]______P_H_S__1017"/>
      <sheetName val="[1.xls][1.xls]______P_H_S__1018"/>
      <sheetName val="[1.xls][1.xls]______P_H_S__1020"/>
      <sheetName val="[1.xls][1.xls]______P_H_S__1019"/>
      <sheetName val="[1.xls][1.XLS]______P_H_S__1021"/>
      <sheetName val="[1.xls][1.xls]______P_H_S__1023"/>
      <sheetName val="[1.xls][1.xls]______P_H_S__1024"/>
      <sheetName val="[1.xls][1.xls]______P_H_S__1035"/>
      <sheetName val="조경공사 (2)"/>
      <sheetName val="조경공사"/>
      <sheetName val="식재부대공사"/>
      <sheetName val="유지관리공사"/>
      <sheetName val="견적을지"/>
      <sheetName val="targetdcf"/>
      <sheetName val="하대지실"/>
      <sheetName val="17.공량(CCTV설비공사)"/>
      <sheetName val="내역서01"/>
      <sheetName val="[1.xls][1.xls]______P_H_S__1028"/>
      <sheetName val="[1.xls][1.XLS]______P_H_S__1026"/>
      <sheetName val="[1.xls][1.xls]______P_H_S__1032"/>
      <sheetName val="[1.xls][1.xls]______P_H_S__1027"/>
      <sheetName val="[1.xls][1.xls]______P_H_S__1033"/>
      <sheetName val="[1.xls][1.xls]______P_H_S__1029"/>
      <sheetName val="[1.xls][1.xls]______P_H_S__1030"/>
      <sheetName val="[1.xls][1.xls]______P_H_S__1031"/>
      <sheetName val="[1.xls][1.xls]______P_H_S__1034"/>
      <sheetName val="[1.xls][1.xls]______P_H_S__1036"/>
      <sheetName val="[1.xls][1.xls]______P_H_S__1059"/>
      <sheetName val="[1.xls][1.xls]______P_H_S__1037"/>
      <sheetName val="[1.xls][1.xls]______P_H_S__1038"/>
      <sheetName val="명1"/>
      <sheetName val="명1 (2)"/>
      <sheetName val="MACRO(MCC)"/>
      <sheetName val="에너지성능지표검토서(건_x0000__x0000_"/>
      <sheetName val="[1.xls][1.xls]______P_H_S__1057"/>
      <sheetName val="[1.xls][1.xls]______P_H_S__1039"/>
      <sheetName val="[1.xls][1.xls]______P_H_S__1040"/>
      <sheetName val="[1.xls][1.xls]______P_H_S__1043"/>
      <sheetName val="[1.xls][1.XLS]______P_H_S__1041"/>
      <sheetName val="[1.xls][1.xls]______P_H_S__1042"/>
      <sheetName val="[1.xls][1.xls]______P_H_S__1045"/>
      <sheetName val="[1.xls][1.xls]______P_H_S__1044"/>
      <sheetName val="[1.xls][1.xls]______P_H_S__1047"/>
      <sheetName val="[1.xls][1.xls]______P_H_S__1046"/>
      <sheetName val="소일위대가코드표"/>
      <sheetName val="경상직원"/>
      <sheetName val="투입(관수_건축)"/>
      <sheetName val="투입(APT500)"/>
      <sheetName val="투입(분당)"/>
      <sheetName val="작성지침서2)"/>
      <sheetName val="투입스케쥴양식"/>
      <sheetName val="투입(APT1200)"/>
      <sheetName val="투입(평촌)"/>
      <sheetName val="투입(APT1000)"/>
      <sheetName val="[1.xls][1.xls]______P_H_S__1049"/>
      <sheetName val="[1.xls][1.xls]______P_H_S__1048"/>
      <sheetName val="[1.xls][1.xls]______P_H_S__1050"/>
      <sheetName val="[1.xls][1.xls]______P_H_S__1053"/>
      <sheetName val="[1.xls][1.xls]______P_H_S__1054"/>
      <sheetName val="[1.xls][1.xls]______P_H_S__1051"/>
      <sheetName val="[1.xls][1.xls]______P_H_S__1052"/>
      <sheetName val="[1.xls][1.xls]______P_H_S__1055"/>
      <sheetName val="[1.xls][1.xls]______P_H_S__1056"/>
      <sheetName val="[1.xls][1.xls]______P_H_S__1058"/>
      <sheetName val="[1.xls][1.xls]______P_H_S__1060"/>
      <sheetName val="[1.xls][1.xls]______P_H_S__1063"/>
      <sheetName val="[1.xls][1.XLS]______P_H_S__1061"/>
      <sheetName val="[1.xls][1.xls]______P_H_S__1062"/>
      <sheetName val="[1.xls][1.xls]______P_H_S__1068"/>
      <sheetName val="[1.xls][1.xls]______P_H_S__1064"/>
      <sheetName val="[1.xls][1.xls]______P_H_S__1065"/>
      <sheetName val="[1.xls][1.xls]______P_H_S__1066"/>
      <sheetName val="[1.xls][1.xls]______P_H_S__1067"/>
      <sheetName val="[1.xls][1.xls]______P_H_S__1069"/>
      <sheetName val="[1.xls][1.xls]______P_H_S__1070"/>
      <sheetName val="[1.xls][1.xls]______P_H_S__1071"/>
      <sheetName val="[1.xls][1.xls]______P_H_S__1073"/>
      <sheetName val="[1.xls][1.XLS]______P_H_S__1072"/>
      <sheetName val="[1.xls][1.xls]______P_H_S__1075"/>
      <sheetName val="[1.xls][1.xls]______P_H_S__1076"/>
      <sheetName val="[1.xls][1.xls]______P_H_S__1077"/>
      <sheetName val="[1.xls][1.xls]______P_H_S__1079"/>
      <sheetName val="[1.xls][1.xls]______P_H_S__1080"/>
      <sheetName val="[1.xls][1.xls]______P_H_S__1078"/>
      <sheetName val="[1.xls][1.xls]______P_H_S__1081"/>
      <sheetName val="[1.xls][1.xls]______P_H_S__1083"/>
      <sheetName val="[1.xls][1.xls]______P_H_S__1084"/>
      <sheetName val="[1.xls][1.xls]______P_H_S__1082"/>
      <sheetName val="[1.xls][1.xls]______P_H_S__1085"/>
      <sheetName val="[1.xls][1.xls]______P_H_S__1086"/>
      <sheetName val="[1.xls][1.xls]______P_H_S__1087"/>
      <sheetName val="[1.xls][1.xls]______P_H_S__1088"/>
      <sheetName val="[1.xls][1.xls]______P_H_S__1089"/>
      <sheetName val="[1.xls][1.xls]______P_H_S__1091"/>
      <sheetName val="[1.xls][1.xls]______P_H_S__109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2">
          <cell r="A2" t="str">
            <v>실     명</v>
          </cell>
        </row>
      </sheetData>
      <sheetData sheetId="59" refreshError="1"/>
      <sheetData sheetId="60" refreshError="1"/>
      <sheetData sheetId="61" refreshError="1"/>
      <sheetData sheetId="62">
        <row r="2">
          <cell r="A2" t="str">
            <v>실     명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2">
          <cell r="A2" t="str">
            <v>실     명</v>
          </cell>
        </row>
      </sheetData>
      <sheetData sheetId="70">
        <row r="2">
          <cell r="A2" t="str">
            <v>실     명</v>
          </cell>
        </row>
      </sheetData>
      <sheetData sheetId="71">
        <row r="2">
          <cell r="A2" t="str">
            <v>실     명</v>
          </cell>
        </row>
      </sheetData>
      <sheetData sheetId="72">
        <row r="2">
          <cell r="A2" t="str">
            <v>실     명</v>
          </cell>
        </row>
      </sheetData>
      <sheetData sheetId="73">
        <row r="2">
          <cell r="A2" t="str">
            <v>실     명</v>
          </cell>
        </row>
      </sheetData>
      <sheetData sheetId="74">
        <row r="2">
          <cell r="A2" t="str">
            <v>실     명</v>
          </cell>
        </row>
      </sheetData>
      <sheetData sheetId="75">
        <row r="2">
          <cell r="A2" t="str">
            <v>실     명</v>
          </cell>
        </row>
      </sheetData>
      <sheetData sheetId="76">
        <row r="2">
          <cell r="A2" t="str">
            <v>실     명</v>
          </cell>
        </row>
      </sheetData>
      <sheetData sheetId="77">
        <row r="2">
          <cell r="A2" t="str">
            <v>실     명</v>
          </cell>
        </row>
      </sheetData>
      <sheetData sheetId="78">
        <row r="2">
          <cell r="A2" t="str">
            <v>실     명</v>
          </cell>
        </row>
      </sheetData>
      <sheetData sheetId="79">
        <row r="2">
          <cell r="A2" t="str">
            <v>실     명</v>
          </cell>
        </row>
      </sheetData>
      <sheetData sheetId="80">
        <row r="2">
          <cell r="A2" t="str">
            <v>실     명</v>
          </cell>
        </row>
      </sheetData>
      <sheetData sheetId="81">
        <row r="2">
          <cell r="A2" t="str">
            <v>실     명</v>
          </cell>
        </row>
      </sheetData>
      <sheetData sheetId="82">
        <row r="2">
          <cell r="A2" t="str">
            <v>실     명</v>
          </cell>
        </row>
      </sheetData>
      <sheetData sheetId="83">
        <row r="2">
          <cell r="A2" t="str">
            <v>실     명</v>
          </cell>
        </row>
      </sheetData>
      <sheetData sheetId="84">
        <row r="2">
          <cell r="A2" t="str">
            <v>실     명</v>
          </cell>
        </row>
      </sheetData>
      <sheetData sheetId="85">
        <row r="2">
          <cell r="A2" t="str">
            <v>실     명</v>
          </cell>
        </row>
      </sheetData>
      <sheetData sheetId="86">
        <row r="2">
          <cell r="A2" t="str">
            <v>실     명</v>
          </cell>
        </row>
      </sheetData>
      <sheetData sheetId="87">
        <row r="2">
          <cell r="A2" t="str">
            <v>실     명</v>
          </cell>
        </row>
      </sheetData>
      <sheetData sheetId="88">
        <row r="2">
          <cell r="A2" t="str">
            <v>실     명</v>
          </cell>
        </row>
      </sheetData>
      <sheetData sheetId="89">
        <row r="2">
          <cell r="A2" t="str">
            <v>실     명</v>
          </cell>
        </row>
      </sheetData>
      <sheetData sheetId="90">
        <row r="2">
          <cell r="A2" t="str">
            <v>실     명</v>
          </cell>
        </row>
      </sheetData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>
        <row r="2">
          <cell r="A2" t="str">
            <v>실     명</v>
          </cell>
        </row>
      </sheetData>
      <sheetData sheetId="99">
        <row r="2">
          <cell r="A2" t="str">
            <v>실     명</v>
          </cell>
        </row>
      </sheetData>
      <sheetData sheetId="100">
        <row r="2">
          <cell r="A2" t="str">
            <v>실     명</v>
          </cell>
        </row>
      </sheetData>
      <sheetData sheetId="101">
        <row r="2">
          <cell r="A2" t="str">
            <v>실     명</v>
          </cell>
        </row>
      </sheetData>
      <sheetData sheetId="102">
        <row r="2">
          <cell r="A2" t="str">
            <v>실     명</v>
          </cell>
        </row>
      </sheetData>
      <sheetData sheetId="103">
        <row r="2">
          <cell r="A2" t="str">
            <v>실     명</v>
          </cell>
        </row>
      </sheetData>
      <sheetData sheetId="104">
        <row r="2">
          <cell r="A2" t="str">
            <v>실     명</v>
          </cell>
        </row>
      </sheetData>
      <sheetData sheetId="105">
        <row r="2">
          <cell r="A2" t="str">
            <v>실     명</v>
          </cell>
        </row>
      </sheetData>
      <sheetData sheetId="106">
        <row r="2">
          <cell r="A2" t="str">
            <v>실     명</v>
          </cell>
        </row>
      </sheetData>
      <sheetData sheetId="107">
        <row r="2">
          <cell r="A2" t="str">
            <v>실     명</v>
          </cell>
        </row>
      </sheetData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>
        <row r="2">
          <cell r="A2" t="str">
            <v>실     명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>
        <row r="2">
          <cell r="A2" t="str">
            <v>실     명</v>
          </cell>
        </row>
      </sheetData>
      <sheetData sheetId="203">
        <row r="2">
          <cell r="A2" t="str">
            <v>실     명</v>
          </cell>
        </row>
      </sheetData>
      <sheetData sheetId="204">
        <row r="2">
          <cell r="A2" t="str">
            <v>실     명</v>
          </cell>
        </row>
      </sheetData>
      <sheetData sheetId="205">
        <row r="2">
          <cell r="A2" t="str">
            <v>실     명</v>
          </cell>
        </row>
      </sheetData>
      <sheetData sheetId="206">
        <row r="2">
          <cell r="A2" t="str">
            <v>실     명</v>
          </cell>
        </row>
      </sheetData>
      <sheetData sheetId="207">
        <row r="2">
          <cell r="A2" t="str">
            <v>실     명</v>
          </cell>
        </row>
      </sheetData>
      <sheetData sheetId="208">
        <row r="2">
          <cell r="A2" t="str">
            <v>실     명</v>
          </cell>
        </row>
      </sheetData>
      <sheetData sheetId="209">
        <row r="2">
          <cell r="A2" t="str">
            <v>실     명</v>
          </cell>
        </row>
      </sheetData>
      <sheetData sheetId="210">
        <row r="2">
          <cell r="A2" t="str">
            <v>실     명</v>
          </cell>
        </row>
      </sheetData>
      <sheetData sheetId="211">
        <row r="2">
          <cell r="A2" t="str">
            <v>실     명</v>
          </cell>
        </row>
      </sheetData>
      <sheetData sheetId="212">
        <row r="2">
          <cell r="A2" t="str">
            <v>실     명</v>
          </cell>
        </row>
      </sheetData>
      <sheetData sheetId="213">
        <row r="2">
          <cell r="A2" t="str">
            <v>실     명</v>
          </cell>
        </row>
      </sheetData>
      <sheetData sheetId="214">
        <row r="2">
          <cell r="A2" t="str">
            <v>실     명</v>
          </cell>
        </row>
      </sheetData>
      <sheetData sheetId="215">
        <row r="2">
          <cell r="A2" t="str">
            <v>실     명</v>
          </cell>
        </row>
      </sheetData>
      <sheetData sheetId="216">
        <row r="2">
          <cell r="A2" t="str">
            <v>실     명</v>
          </cell>
        </row>
      </sheetData>
      <sheetData sheetId="217">
        <row r="2">
          <cell r="A2" t="str">
            <v>실     명</v>
          </cell>
        </row>
      </sheetData>
      <sheetData sheetId="218">
        <row r="2">
          <cell r="A2" t="str">
            <v>실     명</v>
          </cell>
        </row>
      </sheetData>
      <sheetData sheetId="219">
        <row r="2">
          <cell r="A2" t="str">
            <v>실     명</v>
          </cell>
        </row>
      </sheetData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2">
          <cell r="A2" t="str">
            <v>실     명</v>
          </cell>
        </row>
      </sheetData>
      <sheetData sheetId="240">
        <row r="2">
          <cell r="A2" t="str">
            <v>실     명</v>
          </cell>
        </row>
      </sheetData>
      <sheetData sheetId="241" refreshError="1"/>
      <sheetData sheetId="242">
        <row r="2">
          <cell r="A2" t="str">
            <v>실     명</v>
          </cell>
        </row>
      </sheetData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>
        <row r="2">
          <cell r="A2" t="str">
            <v>실     명</v>
          </cell>
        </row>
      </sheetData>
      <sheetData sheetId="250" refreshError="1"/>
      <sheetData sheetId="251" refreshError="1"/>
      <sheetData sheetId="252">
        <row r="2">
          <cell r="A2" t="str">
            <v>실     명</v>
          </cell>
        </row>
      </sheetData>
      <sheetData sheetId="253">
        <row r="2">
          <cell r="A2" t="str">
            <v>실     명</v>
          </cell>
        </row>
      </sheetData>
      <sheetData sheetId="254">
        <row r="2">
          <cell r="A2" t="str">
            <v>실     명</v>
          </cell>
        </row>
      </sheetData>
      <sheetData sheetId="255">
        <row r="2">
          <cell r="A2" t="str">
            <v>실     명</v>
          </cell>
        </row>
      </sheetData>
      <sheetData sheetId="256">
        <row r="2">
          <cell r="A2" t="str">
            <v>실     명</v>
          </cell>
        </row>
      </sheetData>
      <sheetData sheetId="257">
        <row r="2">
          <cell r="A2" t="str">
            <v>실     명</v>
          </cell>
        </row>
      </sheetData>
      <sheetData sheetId="258">
        <row r="2">
          <cell r="A2" t="str">
            <v>실     명</v>
          </cell>
        </row>
      </sheetData>
      <sheetData sheetId="259">
        <row r="2">
          <cell r="A2" t="str">
            <v>실     명</v>
          </cell>
        </row>
      </sheetData>
      <sheetData sheetId="260">
        <row r="2">
          <cell r="A2" t="str">
            <v>실     명</v>
          </cell>
        </row>
      </sheetData>
      <sheetData sheetId="261">
        <row r="2">
          <cell r="A2" t="str">
            <v>실     명</v>
          </cell>
        </row>
      </sheetData>
      <sheetData sheetId="262">
        <row r="2">
          <cell r="A2" t="str">
            <v>실     명</v>
          </cell>
        </row>
      </sheetData>
      <sheetData sheetId="263">
        <row r="2">
          <cell r="A2" t="str">
            <v>실     명</v>
          </cell>
        </row>
      </sheetData>
      <sheetData sheetId="264">
        <row r="2">
          <cell r="A2" t="str">
            <v>실     명</v>
          </cell>
        </row>
      </sheetData>
      <sheetData sheetId="265">
        <row r="2">
          <cell r="A2" t="str">
            <v>실     명</v>
          </cell>
        </row>
      </sheetData>
      <sheetData sheetId="266">
        <row r="2">
          <cell r="A2" t="str">
            <v>실     명</v>
          </cell>
        </row>
      </sheetData>
      <sheetData sheetId="267">
        <row r="2">
          <cell r="A2" t="str">
            <v>실     명</v>
          </cell>
        </row>
      </sheetData>
      <sheetData sheetId="268">
        <row r="2">
          <cell r="A2" t="str">
            <v>실     명</v>
          </cell>
        </row>
      </sheetData>
      <sheetData sheetId="269">
        <row r="2">
          <cell r="A2" t="str">
            <v>실     명</v>
          </cell>
        </row>
      </sheetData>
      <sheetData sheetId="270">
        <row r="2">
          <cell r="A2" t="str">
            <v>실     명</v>
          </cell>
        </row>
      </sheetData>
      <sheetData sheetId="271">
        <row r="2">
          <cell r="A2" t="str">
            <v>실     명</v>
          </cell>
        </row>
      </sheetData>
      <sheetData sheetId="272">
        <row r="2">
          <cell r="A2" t="str">
            <v>실     명</v>
          </cell>
        </row>
      </sheetData>
      <sheetData sheetId="273">
        <row r="2">
          <cell r="A2" t="str">
            <v>실     명</v>
          </cell>
        </row>
      </sheetData>
      <sheetData sheetId="274">
        <row r="2">
          <cell r="A2" t="str">
            <v>실     명</v>
          </cell>
        </row>
      </sheetData>
      <sheetData sheetId="275">
        <row r="2">
          <cell r="A2" t="str">
            <v>실     명</v>
          </cell>
        </row>
      </sheetData>
      <sheetData sheetId="276">
        <row r="2">
          <cell r="A2" t="str">
            <v>실     명</v>
          </cell>
        </row>
      </sheetData>
      <sheetData sheetId="277">
        <row r="2">
          <cell r="A2" t="str">
            <v>실     명</v>
          </cell>
        </row>
      </sheetData>
      <sheetData sheetId="278">
        <row r="2">
          <cell r="A2" t="str">
            <v>실     명</v>
          </cell>
        </row>
      </sheetData>
      <sheetData sheetId="279">
        <row r="2">
          <cell r="A2" t="str">
            <v>실     명</v>
          </cell>
        </row>
      </sheetData>
      <sheetData sheetId="280">
        <row r="2">
          <cell r="A2" t="str">
            <v>실     명</v>
          </cell>
        </row>
      </sheetData>
      <sheetData sheetId="281">
        <row r="2">
          <cell r="A2" t="str">
            <v>실     명</v>
          </cell>
        </row>
      </sheetData>
      <sheetData sheetId="282">
        <row r="2">
          <cell r="A2" t="str">
            <v>실     명</v>
          </cell>
        </row>
      </sheetData>
      <sheetData sheetId="283">
        <row r="2">
          <cell r="A2" t="str">
            <v>실     명</v>
          </cell>
        </row>
      </sheetData>
      <sheetData sheetId="284">
        <row r="2">
          <cell r="A2" t="str">
            <v>실     명</v>
          </cell>
        </row>
      </sheetData>
      <sheetData sheetId="285">
        <row r="2">
          <cell r="A2" t="str">
            <v>실     명</v>
          </cell>
        </row>
      </sheetData>
      <sheetData sheetId="286">
        <row r="2">
          <cell r="A2" t="str">
            <v>실     명</v>
          </cell>
        </row>
      </sheetData>
      <sheetData sheetId="287">
        <row r="2">
          <cell r="A2" t="str">
            <v>실     명</v>
          </cell>
        </row>
      </sheetData>
      <sheetData sheetId="288">
        <row r="2">
          <cell r="A2" t="str">
            <v>실     명</v>
          </cell>
        </row>
      </sheetData>
      <sheetData sheetId="289">
        <row r="2">
          <cell r="A2" t="str">
            <v>실     명</v>
          </cell>
        </row>
      </sheetData>
      <sheetData sheetId="290">
        <row r="2">
          <cell r="A2" t="str">
            <v>실     명</v>
          </cell>
        </row>
      </sheetData>
      <sheetData sheetId="291">
        <row r="2">
          <cell r="A2" t="str">
            <v>실     명</v>
          </cell>
        </row>
      </sheetData>
      <sheetData sheetId="292">
        <row r="2">
          <cell r="A2" t="str">
            <v>실     명</v>
          </cell>
        </row>
      </sheetData>
      <sheetData sheetId="293">
        <row r="2">
          <cell r="A2" t="str">
            <v>실     명</v>
          </cell>
        </row>
      </sheetData>
      <sheetData sheetId="294">
        <row r="2">
          <cell r="A2" t="str">
            <v>실     명</v>
          </cell>
        </row>
      </sheetData>
      <sheetData sheetId="295">
        <row r="2">
          <cell r="A2" t="str">
            <v>실     명</v>
          </cell>
        </row>
      </sheetData>
      <sheetData sheetId="296">
        <row r="2">
          <cell r="A2" t="str">
            <v>실     명</v>
          </cell>
        </row>
      </sheetData>
      <sheetData sheetId="297">
        <row r="2">
          <cell r="A2" t="str">
            <v>실     명</v>
          </cell>
        </row>
      </sheetData>
      <sheetData sheetId="298">
        <row r="2">
          <cell r="A2" t="str">
            <v>실     명</v>
          </cell>
        </row>
      </sheetData>
      <sheetData sheetId="299">
        <row r="2">
          <cell r="A2" t="str">
            <v>실     명</v>
          </cell>
        </row>
      </sheetData>
      <sheetData sheetId="300">
        <row r="2">
          <cell r="A2" t="str">
            <v>실     명</v>
          </cell>
        </row>
      </sheetData>
      <sheetData sheetId="301">
        <row r="2">
          <cell r="A2" t="str">
            <v>실     명</v>
          </cell>
        </row>
      </sheetData>
      <sheetData sheetId="302">
        <row r="2">
          <cell r="A2" t="str">
            <v>실     명</v>
          </cell>
        </row>
      </sheetData>
      <sheetData sheetId="303">
        <row r="2">
          <cell r="A2" t="str">
            <v>실     명</v>
          </cell>
        </row>
      </sheetData>
      <sheetData sheetId="304" refreshError="1"/>
      <sheetData sheetId="305">
        <row r="2">
          <cell r="A2" t="str">
            <v>실     명</v>
          </cell>
        </row>
      </sheetData>
      <sheetData sheetId="306">
        <row r="2">
          <cell r="A2" t="str">
            <v>실     명</v>
          </cell>
        </row>
      </sheetData>
      <sheetData sheetId="307">
        <row r="2">
          <cell r="A2" t="str">
            <v>실     명</v>
          </cell>
        </row>
      </sheetData>
      <sheetData sheetId="308">
        <row r="2">
          <cell r="A2" t="str">
            <v>실     명</v>
          </cell>
        </row>
      </sheetData>
      <sheetData sheetId="309">
        <row r="2">
          <cell r="A2" t="str">
            <v>실     명</v>
          </cell>
        </row>
      </sheetData>
      <sheetData sheetId="310">
        <row r="2">
          <cell r="A2" t="str">
            <v>실     명</v>
          </cell>
        </row>
      </sheetData>
      <sheetData sheetId="311">
        <row r="2">
          <cell r="A2" t="str">
            <v>실     명</v>
          </cell>
        </row>
      </sheetData>
      <sheetData sheetId="312">
        <row r="2">
          <cell r="A2" t="str">
            <v>실     명</v>
          </cell>
        </row>
      </sheetData>
      <sheetData sheetId="313">
        <row r="2">
          <cell r="A2" t="str">
            <v>실     명</v>
          </cell>
        </row>
      </sheetData>
      <sheetData sheetId="314">
        <row r="2">
          <cell r="A2" t="str">
            <v>실     명</v>
          </cell>
        </row>
      </sheetData>
      <sheetData sheetId="315">
        <row r="2">
          <cell r="A2" t="str">
            <v>실     명</v>
          </cell>
        </row>
      </sheetData>
      <sheetData sheetId="316">
        <row r="2">
          <cell r="A2" t="str">
            <v>실     명</v>
          </cell>
        </row>
      </sheetData>
      <sheetData sheetId="317">
        <row r="2">
          <cell r="A2" t="str">
            <v>실     명</v>
          </cell>
        </row>
      </sheetData>
      <sheetData sheetId="318">
        <row r="2">
          <cell r="A2" t="str">
            <v>실     명</v>
          </cell>
        </row>
      </sheetData>
      <sheetData sheetId="319">
        <row r="2">
          <cell r="A2" t="str">
            <v>실     명</v>
          </cell>
        </row>
      </sheetData>
      <sheetData sheetId="320">
        <row r="2">
          <cell r="A2" t="str">
            <v>실     명</v>
          </cell>
        </row>
      </sheetData>
      <sheetData sheetId="321">
        <row r="2">
          <cell r="A2" t="str">
            <v>실     명</v>
          </cell>
        </row>
      </sheetData>
      <sheetData sheetId="322">
        <row r="2">
          <cell r="A2" t="str">
            <v>실     명</v>
          </cell>
        </row>
      </sheetData>
      <sheetData sheetId="323" refreshError="1"/>
      <sheetData sheetId="324">
        <row r="2">
          <cell r="A2" t="str">
            <v>실     명</v>
          </cell>
        </row>
      </sheetData>
      <sheetData sheetId="325">
        <row r="2">
          <cell r="A2" t="str">
            <v>실     명</v>
          </cell>
        </row>
      </sheetData>
      <sheetData sheetId="326">
        <row r="2">
          <cell r="A2" t="str">
            <v>실     명</v>
          </cell>
        </row>
      </sheetData>
      <sheetData sheetId="327">
        <row r="2">
          <cell r="A2" t="str">
            <v>실     명</v>
          </cell>
        </row>
      </sheetData>
      <sheetData sheetId="328">
        <row r="2">
          <cell r="A2" t="str">
            <v>실     명</v>
          </cell>
        </row>
      </sheetData>
      <sheetData sheetId="329">
        <row r="2">
          <cell r="A2" t="str">
            <v>실     명</v>
          </cell>
        </row>
      </sheetData>
      <sheetData sheetId="330">
        <row r="2">
          <cell r="A2" t="str">
            <v>실     명</v>
          </cell>
        </row>
      </sheetData>
      <sheetData sheetId="331">
        <row r="2">
          <cell r="A2" t="str">
            <v>실     명</v>
          </cell>
        </row>
      </sheetData>
      <sheetData sheetId="332">
        <row r="2">
          <cell r="A2" t="str">
            <v>실     명</v>
          </cell>
        </row>
      </sheetData>
      <sheetData sheetId="333">
        <row r="2">
          <cell r="A2" t="str">
            <v>실     명</v>
          </cell>
        </row>
      </sheetData>
      <sheetData sheetId="334">
        <row r="2">
          <cell r="A2" t="str">
            <v>실     명</v>
          </cell>
        </row>
      </sheetData>
      <sheetData sheetId="335">
        <row r="2">
          <cell r="A2" t="str">
            <v>실     명</v>
          </cell>
        </row>
      </sheetData>
      <sheetData sheetId="336">
        <row r="2">
          <cell r="A2" t="str">
            <v>실     명</v>
          </cell>
        </row>
      </sheetData>
      <sheetData sheetId="337">
        <row r="2">
          <cell r="A2" t="str">
            <v>실     명</v>
          </cell>
        </row>
      </sheetData>
      <sheetData sheetId="338">
        <row r="2">
          <cell r="A2" t="str">
            <v>실     명</v>
          </cell>
        </row>
      </sheetData>
      <sheetData sheetId="339">
        <row r="2">
          <cell r="A2" t="str">
            <v>실     명</v>
          </cell>
        </row>
      </sheetData>
      <sheetData sheetId="340">
        <row r="2">
          <cell r="A2" t="str">
            <v>실     명</v>
          </cell>
        </row>
      </sheetData>
      <sheetData sheetId="341">
        <row r="2">
          <cell r="A2" t="str">
            <v>실     명</v>
          </cell>
        </row>
      </sheetData>
      <sheetData sheetId="342">
        <row r="2">
          <cell r="A2" t="str">
            <v>실     명</v>
          </cell>
        </row>
      </sheetData>
      <sheetData sheetId="343">
        <row r="2">
          <cell r="A2" t="str">
            <v>실     명</v>
          </cell>
        </row>
      </sheetData>
      <sheetData sheetId="344">
        <row r="2">
          <cell r="A2" t="str">
            <v>실     명</v>
          </cell>
        </row>
      </sheetData>
      <sheetData sheetId="345">
        <row r="2">
          <cell r="A2" t="str">
            <v>실     명</v>
          </cell>
        </row>
      </sheetData>
      <sheetData sheetId="346">
        <row r="2">
          <cell r="A2" t="str">
            <v>실     명</v>
          </cell>
        </row>
      </sheetData>
      <sheetData sheetId="347">
        <row r="2">
          <cell r="A2" t="str">
            <v>실     명</v>
          </cell>
        </row>
      </sheetData>
      <sheetData sheetId="348">
        <row r="2">
          <cell r="A2" t="str">
            <v>실     명</v>
          </cell>
        </row>
      </sheetData>
      <sheetData sheetId="349">
        <row r="2">
          <cell r="A2" t="str">
            <v>실     명</v>
          </cell>
        </row>
      </sheetData>
      <sheetData sheetId="350">
        <row r="2">
          <cell r="A2" t="str">
            <v>실     명</v>
          </cell>
        </row>
      </sheetData>
      <sheetData sheetId="351">
        <row r="2">
          <cell r="A2" t="str">
            <v>실     명</v>
          </cell>
        </row>
      </sheetData>
      <sheetData sheetId="352">
        <row r="2">
          <cell r="A2" t="str">
            <v>실     명</v>
          </cell>
        </row>
      </sheetData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2">
          <cell r="A2" t="str">
            <v>실     명</v>
          </cell>
        </row>
      </sheetData>
      <sheetData sheetId="376">
        <row r="2">
          <cell r="A2" t="str">
            <v>실     명</v>
          </cell>
        </row>
      </sheetData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>
        <row r="2">
          <cell r="A2" t="str">
            <v>실     명</v>
          </cell>
        </row>
      </sheetData>
      <sheetData sheetId="384">
        <row r="2">
          <cell r="A2" t="str">
            <v>실     명</v>
          </cell>
        </row>
      </sheetData>
      <sheetData sheetId="385" refreshError="1"/>
      <sheetData sheetId="386" refreshError="1"/>
      <sheetData sheetId="387" refreshError="1"/>
      <sheetData sheetId="388">
        <row r="2">
          <cell r="A2" t="str">
            <v>실     명</v>
          </cell>
        </row>
      </sheetData>
      <sheetData sheetId="389">
        <row r="2">
          <cell r="A2" t="str">
            <v>실     명</v>
          </cell>
        </row>
      </sheetData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>
        <row r="2">
          <cell r="A2" t="str">
            <v>실     명</v>
          </cell>
        </row>
      </sheetData>
      <sheetData sheetId="442">
        <row r="2">
          <cell r="A2" t="str">
            <v>실     명</v>
          </cell>
        </row>
      </sheetData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>
        <row r="2">
          <cell r="A2" t="str">
            <v>실     명</v>
          </cell>
        </row>
      </sheetData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>
        <row r="2">
          <cell r="A2" t="str">
            <v>실     명</v>
          </cell>
        </row>
      </sheetData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>
        <row r="2">
          <cell r="A2" t="str">
            <v>실     명</v>
          </cell>
        </row>
      </sheetData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>
        <row r="2">
          <cell r="C2" t="str">
            <v>방위</v>
          </cell>
        </row>
      </sheetData>
      <sheetData sheetId="588" refreshError="1"/>
      <sheetData sheetId="589" refreshError="1"/>
      <sheetData sheetId="590" refreshError="1"/>
      <sheetData sheetId="591">
        <row r="2">
          <cell r="A2" t="str">
            <v>실     명</v>
          </cell>
        </row>
      </sheetData>
      <sheetData sheetId="592">
        <row r="2">
          <cell r="A2" t="str">
            <v>실     명</v>
          </cell>
        </row>
      </sheetData>
      <sheetData sheetId="593">
        <row r="2">
          <cell r="A2" t="str">
            <v>실     명</v>
          </cell>
        </row>
      </sheetData>
      <sheetData sheetId="594">
        <row r="2">
          <cell r="A2" t="str">
            <v>실     명</v>
          </cell>
        </row>
      </sheetData>
      <sheetData sheetId="595">
        <row r="2">
          <cell r="A2" t="str">
            <v>실     명</v>
          </cell>
        </row>
      </sheetData>
      <sheetData sheetId="596">
        <row r="2">
          <cell r="A2" t="str">
            <v>실     명</v>
          </cell>
        </row>
      </sheetData>
      <sheetData sheetId="597">
        <row r="2">
          <cell r="A2" t="str">
            <v>실     명</v>
          </cell>
        </row>
      </sheetData>
      <sheetData sheetId="598">
        <row r="2">
          <cell r="A2" t="str">
            <v>실     명</v>
          </cell>
        </row>
      </sheetData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>
        <row r="2">
          <cell r="A2" t="str">
            <v>실     명</v>
          </cell>
        </row>
      </sheetData>
      <sheetData sheetId="624">
        <row r="2">
          <cell r="A2" t="str">
            <v>실     명</v>
          </cell>
        </row>
      </sheetData>
      <sheetData sheetId="625" refreshError="1"/>
      <sheetData sheetId="626">
        <row r="2">
          <cell r="A2" t="str">
            <v>실     명</v>
          </cell>
        </row>
      </sheetData>
      <sheetData sheetId="627">
        <row r="2">
          <cell r="A2" t="str">
            <v>실     명</v>
          </cell>
        </row>
      </sheetData>
      <sheetData sheetId="628">
        <row r="2">
          <cell r="A2" t="str">
            <v>실     명</v>
          </cell>
        </row>
      </sheetData>
      <sheetData sheetId="629">
        <row r="2">
          <cell r="A2" t="str">
            <v>실     명</v>
          </cell>
        </row>
      </sheetData>
      <sheetData sheetId="630">
        <row r="2">
          <cell r="A2" t="str">
            <v>실     명</v>
          </cell>
        </row>
      </sheetData>
      <sheetData sheetId="631">
        <row r="2">
          <cell r="A2" t="str">
            <v>실     명</v>
          </cell>
        </row>
      </sheetData>
      <sheetData sheetId="632">
        <row r="2">
          <cell r="A2" t="str">
            <v>실     명</v>
          </cell>
        </row>
      </sheetData>
      <sheetData sheetId="633">
        <row r="2">
          <cell r="A2" t="str">
            <v>실     명</v>
          </cell>
        </row>
      </sheetData>
      <sheetData sheetId="634">
        <row r="2">
          <cell r="A2" t="str">
            <v>실     명</v>
          </cell>
        </row>
      </sheetData>
      <sheetData sheetId="635">
        <row r="2">
          <cell r="A2" t="str">
            <v>실     명</v>
          </cell>
        </row>
      </sheetData>
      <sheetData sheetId="636">
        <row r="2">
          <cell r="A2" t="str">
            <v>실     명</v>
          </cell>
        </row>
      </sheetData>
      <sheetData sheetId="637">
        <row r="2">
          <cell r="A2" t="str">
            <v>실     명</v>
          </cell>
        </row>
      </sheetData>
      <sheetData sheetId="638">
        <row r="2">
          <cell r="A2" t="str">
            <v>실     명</v>
          </cell>
        </row>
      </sheetData>
      <sheetData sheetId="639">
        <row r="2">
          <cell r="A2" t="str">
            <v>실     명</v>
          </cell>
        </row>
      </sheetData>
      <sheetData sheetId="640">
        <row r="2">
          <cell r="A2" t="str">
            <v>실     명</v>
          </cell>
        </row>
      </sheetData>
      <sheetData sheetId="641">
        <row r="2">
          <cell r="A2" t="str">
            <v>실     명</v>
          </cell>
        </row>
      </sheetData>
      <sheetData sheetId="642">
        <row r="2">
          <cell r="A2" t="str">
            <v>실     명</v>
          </cell>
        </row>
      </sheetData>
      <sheetData sheetId="643">
        <row r="2">
          <cell r="A2" t="str">
            <v>실     명</v>
          </cell>
        </row>
      </sheetData>
      <sheetData sheetId="644">
        <row r="2">
          <cell r="A2" t="str">
            <v>실     명</v>
          </cell>
        </row>
      </sheetData>
      <sheetData sheetId="645">
        <row r="2">
          <cell r="A2" t="str">
            <v>실     명</v>
          </cell>
        </row>
      </sheetData>
      <sheetData sheetId="646">
        <row r="2">
          <cell r="A2" t="str">
            <v>실     명</v>
          </cell>
        </row>
      </sheetData>
      <sheetData sheetId="647">
        <row r="2">
          <cell r="A2" t="str">
            <v>실     명</v>
          </cell>
        </row>
      </sheetData>
      <sheetData sheetId="648">
        <row r="2">
          <cell r="A2" t="str">
            <v>실     명</v>
          </cell>
        </row>
      </sheetData>
      <sheetData sheetId="649">
        <row r="2">
          <cell r="A2" t="str">
            <v>실     명</v>
          </cell>
        </row>
      </sheetData>
      <sheetData sheetId="650">
        <row r="2">
          <cell r="A2" t="str">
            <v>실     명</v>
          </cell>
        </row>
      </sheetData>
      <sheetData sheetId="651">
        <row r="2">
          <cell r="A2" t="str">
            <v>실     명</v>
          </cell>
        </row>
      </sheetData>
      <sheetData sheetId="652">
        <row r="2">
          <cell r="A2" t="str">
            <v>실     명</v>
          </cell>
        </row>
      </sheetData>
      <sheetData sheetId="653">
        <row r="2">
          <cell r="A2" t="str">
            <v>실     명</v>
          </cell>
        </row>
      </sheetData>
      <sheetData sheetId="654">
        <row r="2">
          <cell r="A2" t="str">
            <v>실     명</v>
          </cell>
        </row>
      </sheetData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>
        <row r="2">
          <cell r="A2" t="str">
            <v>실     명</v>
          </cell>
        </row>
      </sheetData>
      <sheetData sheetId="1052">
        <row r="2">
          <cell r="A2" t="str">
            <v>실     명</v>
          </cell>
        </row>
      </sheetData>
      <sheetData sheetId="1053">
        <row r="2">
          <cell r="A2" t="str">
            <v>실     명</v>
          </cell>
        </row>
      </sheetData>
      <sheetData sheetId="1054">
        <row r="2">
          <cell r="A2" t="str">
            <v>실     명</v>
          </cell>
        </row>
      </sheetData>
      <sheetData sheetId="1055">
        <row r="2">
          <cell r="A2" t="str">
            <v>실     명</v>
          </cell>
        </row>
      </sheetData>
      <sheetData sheetId="1056">
        <row r="2">
          <cell r="A2" t="str">
            <v>실     명</v>
          </cell>
        </row>
      </sheetData>
      <sheetData sheetId="1057">
        <row r="2">
          <cell r="A2" t="str">
            <v>실     명</v>
          </cell>
        </row>
      </sheetData>
      <sheetData sheetId="1058">
        <row r="2">
          <cell r="A2" t="str">
            <v>실     명</v>
          </cell>
        </row>
      </sheetData>
      <sheetData sheetId="1059">
        <row r="2">
          <cell r="A2" t="str">
            <v>실     명</v>
          </cell>
        </row>
      </sheetData>
      <sheetData sheetId="1060">
        <row r="2">
          <cell r="A2" t="str">
            <v>실     명</v>
          </cell>
        </row>
      </sheetData>
      <sheetData sheetId="1061">
        <row r="2">
          <cell r="A2" t="str">
            <v>실     명</v>
          </cell>
        </row>
      </sheetData>
      <sheetData sheetId="1062">
        <row r="2">
          <cell r="A2" t="str">
            <v>실     명</v>
          </cell>
        </row>
      </sheetData>
      <sheetData sheetId="1063">
        <row r="2">
          <cell r="A2" t="str">
            <v>실     명</v>
          </cell>
        </row>
      </sheetData>
      <sheetData sheetId="1064">
        <row r="2">
          <cell r="A2" t="str">
            <v>실     명</v>
          </cell>
        </row>
      </sheetData>
      <sheetData sheetId="1065">
        <row r="2">
          <cell r="A2" t="str">
            <v>실     명</v>
          </cell>
        </row>
      </sheetData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>
        <row r="2">
          <cell r="A2" t="str">
            <v>실     명</v>
          </cell>
        </row>
      </sheetData>
      <sheetData sheetId="1204">
        <row r="2">
          <cell r="A2" t="str">
            <v>실     명</v>
          </cell>
        </row>
      </sheetData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>
        <row r="2">
          <cell r="A2" t="str">
            <v>실     명</v>
          </cell>
        </row>
      </sheetData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>
        <row r="2">
          <cell r="A2" t="str">
            <v>실     명</v>
          </cell>
        </row>
      </sheetData>
      <sheetData sheetId="1262">
        <row r="2">
          <cell r="A2" t="str">
            <v>실     명</v>
          </cell>
        </row>
      </sheetData>
      <sheetData sheetId="1263">
        <row r="2">
          <cell r="A2" t="str">
            <v>실     명</v>
          </cell>
        </row>
      </sheetData>
      <sheetData sheetId="1264">
        <row r="2">
          <cell r="A2" t="str">
            <v>실     명</v>
          </cell>
        </row>
      </sheetData>
      <sheetData sheetId="1265">
        <row r="2">
          <cell r="A2" t="str">
            <v>실     명</v>
          </cell>
        </row>
      </sheetData>
      <sheetData sheetId="1266">
        <row r="2">
          <cell r="A2" t="str">
            <v>실     명</v>
          </cell>
        </row>
      </sheetData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>
        <row r="2">
          <cell r="A2" t="str">
            <v>실     명</v>
          </cell>
        </row>
      </sheetData>
      <sheetData sheetId="1274">
        <row r="2">
          <cell r="A2" t="str">
            <v>실     명</v>
          </cell>
        </row>
      </sheetData>
      <sheetData sheetId="1275">
        <row r="2">
          <cell r="A2" t="str">
            <v>실     명</v>
          </cell>
        </row>
      </sheetData>
      <sheetData sheetId="1276">
        <row r="2">
          <cell r="A2" t="str">
            <v>실     명</v>
          </cell>
        </row>
      </sheetData>
      <sheetData sheetId="1277">
        <row r="2">
          <cell r="A2" t="str">
            <v>실     명</v>
          </cell>
        </row>
      </sheetData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>
        <row r="2">
          <cell r="A2" t="str">
            <v>실     명</v>
          </cell>
        </row>
      </sheetData>
      <sheetData sheetId="1336">
        <row r="2">
          <cell r="A2" t="str">
            <v>실     명</v>
          </cell>
        </row>
      </sheetData>
      <sheetData sheetId="1337">
        <row r="2">
          <cell r="A2" t="str">
            <v>실     명</v>
          </cell>
        </row>
      </sheetData>
      <sheetData sheetId="1338">
        <row r="2">
          <cell r="A2" t="str">
            <v>실     명</v>
          </cell>
        </row>
      </sheetData>
      <sheetData sheetId="1339">
        <row r="2">
          <cell r="A2" t="str">
            <v>실     명</v>
          </cell>
        </row>
      </sheetData>
      <sheetData sheetId="1340">
        <row r="2">
          <cell r="A2" t="str">
            <v>실     명</v>
          </cell>
        </row>
      </sheetData>
      <sheetData sheetId="1341">
        <row r="2">
          <cell r="A2" t="str">
            <v>실     명</v>
          </cell>
        </row>
      </sheetData>
      <sheetData sheetId="1342">
        <row r="2">
          <cell r="A2" t="str">
            <v>실     명</v>
          </cell>
        </row>
      </sheetData>
      <sheetData sheetId="1343">
        <row r="2">
          <cell r="A2" t="str">
            <v>실     명</v>
          </cell>
        </row>
      </sheetData>
      <sheetData sheetId="1344">
        <row r="2">
          <cell r="A2" t="str">
            <v>실     명</v>
          </cell>
        </row>
      </sheetData>
      <sheetData sheetId="1345">
        <row r="2">
          <cell r="A2" t="str">
            <v>실     명</v>
          </cell>
        </row>
      </sheetData>
      <sheetData sheetId="1346">
        <row r="2">
          <cell r="A2" t="str">
            <v>실     명</v>
          </cell>
        </row>
      </sheetData>
      <sheetData sheetId="1347">
        <row r="2">
          <cell r="A2" t="str">
            <v>실     명</v>
          </cell>
        </row>
      </sheetData>
      <sheetData sheetId="1348">
        <row r="2">
          <cell r="A2" t="str">
            <v>실     명</v>
          </cell>
        </row>
      </sheetData>
      <sheetData sheetId="1349">
        <row r="2">
          <cell r="A2" t="str">
            <v>실     명</v>
          </cell>
        </row>
      </sheetData>
      <sheetData sheetId="1350">
        <row r="2">
          <cell r="A2" t="str">
            <v>실     명</v>
          </cell>
        </row>
      </sheetData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>
        <row r="2">
          <cell r="A2" t="str">
            <v>실     명</v>
          </cell>
        </row>
      </sheetData>
      <sheetData sheetId="1361" refreshError="1"/>
      <sheetData sheetId="1362">
        <row r="2">
          <cell r="A2" t="str">
            <v>실     명</v>
          </cell>
        </row>
      </sheetData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>
        <row r="2">
          <cell r="A2" t="str">
            <v>실     명</v>
          </cell>
        </row>
      </sheetData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>
        <row r="2">
          <cell r="A2" t="str">
            <v>실     명</v>
          </cell>
        </row>
      </sheetData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>
        <row r="2">
          <cell r="A2" t="str">
            <v>실     명</v>
          </cell>
        </row>
      </sheetData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>
        <row r="2">
          <cell r="A2" t="str">
            <v>실     명</v>
          </cell>
        </row>
      </sheetData>
      <sheetData sheetId="1572">
        <row r="2">
          <cell r="A2" t="str">
            <v>실     명</v>
          </cell>
        </row>
      </sheetData>
      <sheetData sheetId="1573">
        <row r="2">
          <cell r="A2" t="str">
            <v>실     명</v>
          </cell>
        </row>
      </sheetData>
      <sheetData sheetId="1574">
        <row r="2">
          <cell r="A2" t="str">
            <v>실     명</v>
          </cell>
        </row>
      </sheetData>
      <sheetData sheetId="1575" refreshError="1"/>
      <sheetData sheetId="1576" refreshError="1"/>
      <sheetData sheetId="1577">
        <row r="2">
          <cell r="A2" t="str">
            <v>실     명</v>
          </cell>
        </row>
      </sheetData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2">
          <cell r="A2" t="str">
            <v>실     명</v>
          </cell>
        </row>
      </sheetData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>
        <row r="2">
          <cell r="A2" t="str">
            <v>실     명</v>
          </cell>
        </row>
      </sheetData>
      <sheetData sheetId="1655">
        <row r="2">
          <cell r="A2" t="str">
            <v>실     명</v>
          </cell>
        </row>
      </sheetData>
      <sheetData sheetId="1656">
        <row r="2">
          <cell r="A2" t="str">
            <v>실     명</v>
          </cell>
        </row>
      </sheetData>
      <sheetData sheetId="1657">
        <row r="2">
          <cell r="A2" t="str">
            <v>실     명</v>
          </cell>
        </row>
      </sheetData>
      <sheetData sheetId="1658">
        <row r="2">
          <cell r="A2" t="str">
            <v>실     명</v>
          </cell>
        </row>
      </sheetData>
      <sheetData sheetId="1659">
        <row r="2">
          <cell r="A2" t="str">
            <v>실     명</v>
          </cell>
        </row>
      </sheetData>
      <sheetData sheetId="1660">
        <row r="2">
          <cell r="A2" t="str">
            <v>실     명</v>
          </cell>
        </row>
      </sheetData>
      <sheetData sheetId="1661">
        <row r="2">
          <cell r="A2" t="str">
            <v>실     명</v>
          </cell>
        </row>
      </sheetData>
      <sheetData sheetId="1662">
        <row r="2">
          <cell r="A2" t="str">
            <v>실     명</v>
          </cell>
        </row>
      </sheetData>
      <sheetData sheetId="1663">
        <row r="2">
          <cell r="A2" t="str">
            <v>실     명</v>
          </cell>
        </row>
      </sheetData>
      <sheetData sheetId="1664">
        <row r="2">
          <cell r="A2" t="str">
            <v>실     명</v>
          </cell>
        </row>
      </sheetData>
      <sheetData sheetId="1665">
        <row r="2">
          <cell r="A2" t="str">
            <v>실     명</v>
          </cell>
        </row>
      </sheetData>
      <sheetData sheetId="1666">
        <row r="2">
          <cell r="A2" t="str">
            <v>실     명</v>
          </cell>
        </row>
      </sheetData>
      <sheetData sheetId="1667">
        <row r="2">
          <cell r="A2" t="str">
            <v>실     명</v>
          </cell>
        </row>
      </sheetData>
      <sheetData sheetId="1668">
        <row r="2">
          <cell r="A2" t="str">
            <v>실     명</v>
          </cell>
        </row>
      </sheetData>
      <sheetData sheetId="1669">
        <row r="2">
          <cell r="A2" t="str">
            <v>실     명</v>
          </cell>
        </row>
      </sheetData>
      <sheetData sheetId="1670">
        <row r="2">
          <cell r="A2" t="str">
            <v>실     명</v>
          </cell>
        </row>
      </sheetData>
      <sheetData sheetId="1671">
        <row r="2">
          <cell r="A2" t="str">
            <v>실     명</v>
          </cell>
        </row>
      </sheetData>
      <sheetData sheetId="1672">
        <row r="2">
          <cell r="A2" t="str">
            <v>실     명</v>
          </cell>
        </row>
      </sheetData>
      <sheetData sheetId="1673">
        <row r="2">
          <cell r="A2" t="str">
            <v>실     명</v>
          </cell>
        </row>
      </sheetData>
      <sheetData sheetId="1674">
        <row r="2">
          <cell r="A2" t="str">
            <v>실     명</v>
          </cell>
        </row>
      </sheetData>
      <sheetData sheetId="1675">
        <row r="2">
          <cell r="A2" t="str">
            <v>실     명</v>
          </cell>
        </row>
      </sheetData>
      <sheetData sheetId="1676">
        <row r="2">
          <cell r="A2" t="str">
            <v>실     명</v>
          </cell>
        </row>
      </sheetData>
      <sheetData sheetId="1677">
        <row r="2">
          <cell r="A2" t="str">
            <v>실     명</v>
          </cell>
        </row>
      </sheetData>
      <sheetData sheetId="1678">
        <row r="2">
          <cell r="A2" t="str">
            <v>실     명</v>
          </cell>
        </row>
      </sheetData>
      <sheetData sheetId="1679">
        <row r="2">
          <cell r="A2" t="str">
            <v>실     명</v>
          </cell>
        </row>
      </sheetData>
      <sheetData sheetId="1680">
        <row r="2">
          <cell r="A2" t="str">
            <v>실     명</v>
          </cell>
        </row>
      </sheetData>
      <sheetData sheetId="1681">
        <row r="2">
          <cell r="A2" t="str">
            <v>실     명</v>
          </cell>
        </row>
      </sheetData>
      <sheetData sheetId="1682">
        <row r="2">
          <cell r="A2" t="str">
            <v>실     명</v>
          </cell>
        </row>
      </sheetData>
      <sheetData sheetId="1683">
        <row r="2">
          <cell r="A2" t="str">
            <v>실     명</v>
          </cell>
        </row>
      </sheetData>
      <sheetData sheetId="1684">
        <row r="2">
          <cell r="A2" t="str">
            <v>실     명</v>
          </cell>
        </row>
      </sheetData>
      <sheetData sheetId="1685">
        <row r="2">
          <cell r="A2" t="str">
            <v>실     명</v>
          </cell>
        </row>
      </sheetData>
      <sheetData sheetId="1686">
        <row r="2">
          <cell r="A2" t="str">
            <v>실     명</v>
          </cell>
        </row>
      </sheetData>
      <sheetData sheetId="1687">
        <row r="2">
          <cell r="A2" t="str">
            <v>실     명</v>
          </cell>
        </row>
      </sheetData>
      <sheetData sheetId="1688">
        <row r="2">
          <cell r="A2" t="str">
            <v>실     명</v>
          </cell>
        </row>
      </sheetData>
      <sheetData sheetId="1689">
        <row r="2">
          <cell r="A2" t="str">
            <v>실     명</v>
          </cell>
        </row>
      </sheetData>
      <sheetData sheetId="1690">
        <row r="2">
          <cell r="A2" t="str">
            <v>실     명</v>
          </cell>
        </row>
      </sheetData>
      <sheetData sheetId="1691">
        <row r="2">
          <cell r="A2" t="str">
            <v>실     명</v>
          </cell>
        </row>
      </sheetData>
      <sheetData sheetId="1692">
        <row r="2">
          <cell r="A2" t="str">
            <v>실     명</v>
          </cell>
        </row>
      </sheetData>
      <sheetData sheetId="1693">
        <row r="2">
          <cell r="A2" t="str">
            <v>실     명</v>
          </cell>
        </row>
      </sheetData>
      <sheetData sheetId="1694">
        <row r="2">
          <cell r="A2" t="str">
            <v>실     명</v>
          </cell>
        </row>
      </sheetData>
      <sheetData sheetId="1695">
        <row r="2">
          <cell r="A2" t="str">
            <v>실     명</v>
          </cell>
        </row>
      </sheetData>
      <sheetData sheetId="1696">
        <row r="2">
          <cell r="A2" t="str">
            <v>실     명</v>
          </cell>
        </row>
      </sheetData>
      <sheetData sheetId="1697">
        <row r="2">
          <cell r="A2" t="str">
            <v>실     명</v>
          </cell>
        </row>
      </sheetData>
      <sheetData sheetId="1698">
        <row r="2">
          <cell r="A2" t="str">
            <v>실     명</v>
          </cell>
        </row>
      </sheetData>
      <sheetData sheetId="1699">
        <row r="2">
          <cell r="A2" t="str">
            <v>실     명</v>
          </cell>
        </row>
      </sheetData>
      <sheetData sheetId="1700">
        <row r="2">
          <cell r="A2" t="str">
            <v>실     명</v>
          </cell>
        </row>
      </sheetData>
      <sheetData sheetId="1701">
        <row r="2">
          <cell r="A2" t="str">
            <v>실     명</v>
          </cell>
        </row>
      </sheetData>
      <sheetData sheetId="1702">
        <row r="2">
          <cell r="A2" t="str">
            <v>실     명</v>
          </cell>
        </row>
      </sheetData>
      <sheetData sheetId="1703">
        <row r="2">
          <cell r="A2" t="str">
            <v>실     명</v>
          </cell>
        </row>
      </sheetData>
      <sheetData sheetId="1704">
        <row r="2">
          <cell r="A2" t="str">
            <v>실     명</v>
          </cell>
        </row>
      </sheetData>
      <sheetData sheetId="1705">
        <row r="2">
          <cell r="A2" t="str">
            <v>실     명</v>
          </cell>
        </row>
      </sheetData>
      <sheetData sheetId="1706">
        <row r="2">
          <cell r="A2" t="str">
            <v>실     명</v>
          </cell>
        </row>
      </sheetData>
      <sheetData sheetId="1707">
        <row r="2">
          <cell r="A2" t="str">
            <v>실     명</v>
          </cell>
        </row>
      </sheetData>
      <sheetData sheetId="1708">
        <row r="2">
          <cell r="A2" t="str">
            <v>실     명</v>
          </cell>
        </row>
      </sheetData>
      <sheetData sheetId="1709">
        <row r="2">
          <cell r="A2" t="str">
            <v>실     명</v>
          </cell>
        </row>
      </sheetData>
      <sheetData sheetId="1710">
        <row r="2">
          <cell r="A2" t="str">
            <v>실     명</v>
          </cell>
        </row>
      </sheetData>
      <sheetData sheetId="1711">
        <row r="2">
          <cell r="A2" t="str">
            <v>실     명</v>
          </cell>
        </row>
      </sheetData>
      <sheetData sheetId="1712">
        <row r="2">
          <cell r="A2" t="str">
            <v>실     명</v>
          </cell>
        </row>
      </sheetData>
      <sheetData sheetId="1713">
        <row r="2">
          <cell r="A2" t="str">
            <v>실     명</v>
          </cell>
        </row>
      </sheetData>
      <sheetData sheetId="1714">
        <row r="2">
          <cell r="A2" t="str">
            <v>실     명</v>
          </cell>
        </row>
      </sheetData>
      <sheetData sheetId="1715">
        <row r="2">
          <cell r="A2" t="str">
            <v>실     명</v>
          </cell>
        </row>
      </sheetData>
      <sheetData sheetId="1716">
        <row r="2">
          <cell r="A2" t="str">
            <v>실     명</v>
          </cell>
        </row>
      </sheetData>
      <sheetData sheetId="1717">
        <row r="2">
          <cell r="A2" t="str">
            <v>실     명</v>
          </cell>
        </row>
      </sheetData>
      <sheetData sheetId="1718">
        <row r="2">
          <cell r="A2" t="str">
            <v>실     명</v>
          </cell>
        </row>
      </sheetData>
      <sheetData sheetId="1719">
        <row r="2">
          <cell r="A2" t="str">
            <v>실     명</v>
          </cell>
        </row>
      </sheetData>
      <sheetData sheetId="1720">
        <row r="2">
          <cell r="A2" t="str">
            <v>실     명</v>
          </cell>
        </row>
      </sheetData>
      <sheetData sheetId="1721">
        <row r="2">
          <cell r="A2" t="str">
            <v>실     명</v>
          </cell>
        </row>
      </sheetData>
      <sheetData sheetId="1722">
        <row r="2">
          <cell r="A2" t="str">
            <v>실     명</v>
          </cell>
        </row>
      </sheetData>
      <sheetData sheetId="1723">
        <row r="2">
          <cell r="A2" t="str">
            <v>실     명</v>
          </cell>
        </row>
      </sheetData>
      <sheetData sheetId="1724">
        <row r="2">
          <cell r="A2" t="str">
            <v>실     명</v>
          </cell>
        </row>
      </sheetData>
      <sheetData sheetId="1725">
        <row r="2">
          <cell r="A2" t="str">
            <v>실     명</v>
          </cell>
        </row>
      </sheetData>
      <sheetData sheetId="1726">
        <row r="2">
          <cell r="A2" t="str">
            <v>실     명</v>
          </cell>
        </row>
      </sheetData>
      <sheetData sheetId="1727">
        <row r="2">
          <cell r="A2" t="str">
            <v>실     명</v>
          </cell>
        </row>
      </sheetData>
      <sheetData sheetId="1728">
        <row r="2">
          <cell r="A2" t="str">
            <v>실     명</v>
          </cell>
        </row>
      </sheetData>
      <sheetData sheetId="1729">
        <row r="2">
          <cell r="A2" t="str">
            <v>실     명</v>
          </cell>
        </row>
      </sheetData>
      <sheetData sheetId="1730">
        <row r="2">
          <cell r="A2" t="str">
            <v>실     명</v>
          </cell>
        </row>
      </sheetData>
      <sheetData sheetId="1731">
        <row r="2">
          <cell r="A2" t="str">
            <v>실     명</v>
          </cell>
        </row>
      </sheetData>
      <sheetData sheetId="1732">
        <row r="2">
          <cell r="A2" t="str">
            <v>실     명</v>
          </cell>
        </row>
      </sheetData>
      <sheetData sheetId="1733">
        <row r="2">
          <cell r="A2" t="str">
            <v>실     명</v>
          </cell>
        </row>
      </sheetData>
      <sheetData sheetId="1734">
        <row r="2">
          <cell r="A2" t="str">
            <v>실     명</v>
          </cell>
        </row>
      </sheetData>
      <sheetData sheetId="1735">
        <row r="2">
          <cell r="A2" t="str">
            <v>실     명</v>
          </cell>
        </row>
      </sheetData>
      <sheetData sheetId="1736">
        <row r="2">
          <cell r="A2" t="str">
            <v>실     명</v>
          </cell>
        </row>
      </sheetData>
      <sheetData sheetId="1737">
        <row r="2">
          <cell r="A2" t="str">
            <v>실     명</v>
          </cell>
        </row>
      </sheetData>
      <sheetData sheetId="1738">
        <row r="2">
          <cell r="A2" t="str">
            <v>실     명</v>
          </cell>
        </row>
      </sheetData>
      <sheetData sheetId="1739">
        <row r="2">
          <cell r="A2" t="str">
            <v>실     명</v>
          </cell>
        </row>
      </sheetData>
      <sheetData sheetId="1740">
        <row r="2">
          <cell r="A2" t="str">
            <v>실     명</v>
          </cell>
        </row>
      </sheetData>
      <sheetData sheetId="1741">
        <row r="2">
          <cell r="A2" t="str">
            <v>실     명</v>
          </cell>
        </row>
      </sheetData>
      <sheetData sheetId="1742">
        <row r="2">
          <cell r="A2" t="str">
            <v>실     명</v>
          </cell>
        </row>
      </sheetData>
      <sheetData sheetId="1743">
        <row r="2">
          <cell r="A2" t="str">
            <v>실     명</v>
          </cell>
        </row>
      </sheetData>
      <sheetData sheetId="1744">
        <row r="2">
          <cell r="A2" t="str">
            <v>실     명</v>
          </cell>
        </row>
      </sheetData>
      <sheetData sheetId="1745">
        <row r="2">
          <cell r="A2" t="str">
            <v>실     명</v>
          </cell>
        </row>
      </sheetData>
      <sheetData sheetId="1746">
        <row r="2">
          <cell r="A2" t="str">
            <v>실     명</v>
          </cell>
        </row>
      </sheetData>
      <sheetData sheetId="1747">
        <row r="2">
          <cell r="A2" t="str">
            <v>실     명</v>
          </cell>
        </row>
      </sheetData>
      <sheetData sheetId="1748">
        <row r="2">
          <cell r="A2" t="str">
            <v>실     명</v>
          </cell>
        </row>
      </sheetData>
      <sheetData sheetId="1749">
        <row r="2">
          <cell r="A2" t="str">
            <v>실     명</v>
          </cell>
        </row>
      </sheetData>
      <sheetData sheetId="1750">
        <row r="2">
          <cell r="A2" t="str">
            <v>실     명</v>
          </cell>
        </row>
      </sheetData>
      <sheetData sheetId="1751">
        <row r="2">
          <cell r="A2" t="str">
            <v>실     명</v>
          </cell>
        </row>
      </sheetData>
      <sheetData sheetId="1752">
        <row r="2">
          <cell r="A2" t="str">
            <v>실     명</v>
          </cell>
        </row>
      </sheetData>
      <sheetData sheetId="1753">
        <row r="2">
          <cell r="A2" t="str">
            <v>실     명</v>
          </cell>
        </row>
      </sheetData>
      <sheetData sheetId="1754">
        <row r="2">
          <cell r="A2" t="str">
            <v>실     명</v>
          </cell>
        </row>
      </sheetData>
      <sheetData sheetId="1755">
        <row r="2">
          <cell r="A2" t="str">
            <v>실     명</v>
          </cell>
        </row>
      </sheetData>
      <sheetData sheetId="1756">
        <row r="2">
          <cell r="A2" t="str">
            <v>실     명</v>
          </cell>
        </row>
      </sheetData>
      <sheetData sheetId="1757">
        <row r="2">
          <cell r="A2" t="str">
            <v>실     명</v>
          </cell>
        </row>
      </sheetData>
      <sheetData sheetId="1758">
        <row r="2">
          <cell r="A2" t="str">
            <v>실     명</v>
          </cell>
        </row>
      </sheetData>
      <sheetData sheetId="1759">
        <row r="2">
          <cell r="A2" t="str">
            <v>실     명</v>
          </cell>
        </row>
      </sheetData>
      <sheetData sheetId="1760">
        <row r="2">
          <cell r="A2" t="str">
            <v>실     명</v>
          </cell>
        </row>
      </sheetData>
      <sheetData sheetId="1761">
        <row r="2">
          <cell r="A2" t="str">
            <v>실     명</v>
          </cell>
        </row>
      </sheetData>
      <sheetData sheetId="1762">
        <row r="2">
          <cell r="A2" t="str">
            <v>실     명</v>
          </cell>
        </row>
      </sheetData>
      <sheetData sheetId="1763">
        <row r="2">
          <cell r="A2" t="str">
            <v>실     명</v>
          </cell>
        </row>
      </sheetData>
      <sheetData sheetId="1764">
        <row r="2">
          <cell r="A2" t="str">
            <v>실     명</v>
          </cell>
        </row>
      </sheetData>
      <sheetData sheetId="1765">
        <row r="2">
          <cell r="A2" t="str">
            <v>실     명</v>
          </cell>
        </row>
      </sheetData>
      <sheetData sheetId="1766">
        <row r="2">
          <cell r="A2" t="str">
            <v>실     명</v>
          </cell>
        </row>
      </sheetData>
      <sheetData sheetId="1767">
        <row r="2">
          <cell r="A2" t="str">
            <v>실     명</v>
          </cell>
        </row>
      </sheetData>
      <sheetData sheetId="1768">
        <row r="2">
          <cell r="A2" t="str">
            <v>실     명</v>
          </cell>
        </row>
      </sheetData>
      <sheetData sheetId="1769">
        <row r="2">
          <cell r="A2" t="str">
            <v>실     명</v>
          </cell>
        </row>
      </sheetData>
      <sheetData sheetId="1770">
        <row r="2">
          <cell r="A2" t="str">
            <v>실     명</v>
          </cell>
        </row>
      </sheetData>
      <sheetData sheetId="1771">
        <row r="2">
          <cell r="A2" t="str">
            <v>실     명</v>
          </cell>
        </row>
      </sheetData>
      <sheetData sheetId="1772">
        <row r="2">
          <cell r="A2" t="str">
            <v>실     명</v>
          </cell>
        </row>
      </sheetData>
      <sheetData sheetId="1773">
        <row r="2">
          <cell r="A2" t="str">
            <v>실     명</v>
          </cell>
        </row>
      </sheetData>
      <sheetData sheetId="1774">
        <row r="2">
          <cell r="A2" t="str">
            <v>실     명</v>
          </cell>
        </row>
      </sheetData>
      <sheetData sheetId="1775">
        <row r="2">
          <cell r="A2" t="str">
            <v>실     명</v>
          </cell>
        </row>
      </sheetData>
      <sheetData sheetId="1776">
        <row r="2">
          <cell r="A2" t="str">
            <v>실     명</v>
          </cell>
        </row>
      </sheetData>
      <sheetData sheetId="1777">
        <row r="2">
          <cell r="A2" t="str">
            <v>실     명</v>
          </cell>
        </row>
      </sheetData>
      <sheetData sheetId="1778">
        <row r="2">
          <cell r="A2" t="str">
            <v>실     명</v>
          </cell>
        </row>
      </sheetData>
      <sheetData sheetId="1779">
        <row r="2">
          <cell r="A2" t="str">
            <v>실     명</v>
          </cell>
        </row>
      </sheetData>
      <sheetData sheetId="1780">
        <row r="2">
          <cell r="A2" t="str">
            <v>실     명</v>
          </cell>
        </row>
      </sheetData>
      <sheetData sheetId="1781">
        <row r="2">
          <cell r="A2" t="str">
            <v>실     명</v>
          </cell>
        </row>
      </sheetData>
      <sheetData sheetId="1782">
        <row r="2">
          <cell r="A2" t="str">
            <v>실     명</v>
          </cell>
        </row>
      </sheetData>
      <sheetData sheetId="1783">
        <row r="2">
          <cell r="A2" t="str">
            <v>실     명</v>
          </cell>
        </row>
      </sheetData>
      <sheetData sheetId="1784">
        <row r="2">
          <cell r="A2" t="str">
            <v>실     명</v>
          </cell>
        </row>
      </sheetData>
      <sheetData sheetId="1785">
        <row r="2">
          <cell r="A2" t="str">
            <v>실     명</v>
          </cell>
        </row>
      </sheetData>
      <sheetData sheetId="1786">
        <row r="2">
          <cell r="A2" t="str">
            <v>실     명</v>
          </cell>
        </row>
      </sheetData>
      <sheetData sheetId="1787">
        <row r="2">
          <cell r="A2" t="str">
            <v>실     명</v>
          </cell>
        </row>
      </sheetData>
      <sheetData sheetId="1788">
        <row r="2">
          <cell r="A2" t="str">
            <v>실     명</v>
          </cell>
        </row>
      </sheetData>
      <sheetData sheetId="1789">
        <row r="2">
          <cell r="A2" t="str">
            <v>실     명</v>
          </cell>
        </row>
      </sheetData>
      <sheetData sheetId="1790">
        <row r="2">
          <cell r="A2" t="str">
            <v>실     명</v>
          </cell>
        </row>
      </sheetData>
      <sheetData sheetId="1791">
        <row r="2">
          <cell r="A2" t="str">
            <v>실     명</v>
          </cell>
        </row>
      </sheetData>
      <sheetData sheetId="1792">
        <row r="2">
          <cell r="A2" t="str">
            <v>실     명</v>
          </cell>
        </row>
      </sheetData>
      <sheetData sheetId="1793">
        <row r="2">
          <cell r="A2" t="str">
            <v>실     명</v>
          </cell>
        </row>
      </sheetData>
      <sheetData sheetId="1794">
        <row r="2">
          <cell r="A2" t="str">
            <v>실     명</v>
          </cell>
        </row>
      </sheetData>
      <sheetData sheetId="1795">
        <row r="2">
          <cell r="A2" t="str">
            <v>실     명</v>
          </cell>
        </row>
      </sheetData>
      <sheetData sheetId="1796">
        <row r="2">
          <cell r="A2" t="str">
            <v>실     명</v>
          </cell>
        </row>
      </sheetData>
      <sheetData sheetId="1797">
        <row r="2">
          <cell r="A2" t="str">
            <v>실     명</v>
          </cell>
        </row>
      </sheetData>
      <sheetData sheetId="1798">
        <row r="2">
          <cell r="A2" t="str">
            <v>실     명</v>
          </cell>
        </row>
      </sheetData>
      <sheetData sheetId="1799">
        <row r="2">
          <cell r="A2" t="str">
            <v>실     명</v>
          </cell>
        </row>
      </sheetData>
      <sheetData sheetId="1800">
        <row r="2">
          <cell r="A2" t="str">
            <v>실     명</v>
          </cell>
        </row>
      </sheetData>
      <sheetData sheetId="1801">
        <row r="2">
          <cell r="A2" t="str">
            <v>실     명</v>
          </cell>
        </row>
      </sheetData>
      <sheetData sheetId="1802">
        <row r="2">
          <cell r="A2" t="str">
            <v>실     명</v>
          </cell>
        </row>
      </sheetData>
      <sheetData sheetId="1803">
        <row r="2">
          <cell r="A2" t="str">
            <v>실     명</v>
          </cell>
        </row>
      </sheetData>
      <sheetData sheetId="1804">
        <row r="2">
          <cell r="A2" t="str">
            <v>실     명</v>
          </cell>
        </row>
      </sheetData>
      <sheetData sheetId="1805">
        <row r="2">
          <cell r="A2" t="str">
            <v>실     명</v>
          </cell>
        </row>
      </sheetData>
      <sheetData sheetId="1806">
        <row r="2">
          <cell r="A2" t="str">
            <v>실     명</v>
          </cell>
        </row>
      </sheetData>
      <sheetData sheetId="1807">
        <row r="2">
          <cell r="A2" t="str">
            <v>실     명</v>
          </cell>
        </row>
      </sheetData>
      <sheetData sheetId="1808">
        <row r="2">
          <cell r="A2" t="str">
            <v>실     명</v>
          </cell>
        </row>
      </sheetData>
      <sheetData sheetId="1809">
        <row r="2">
          <cell r="A2" t="str">
            <v>실     명</v>
          </cell>
        </row>
      </sheetData>
      <sheetData sheetId="1810">
        <row r="2">
          <cell r="A2" t="str">
            <v>실     명</v>
          </cell>
        </row>
      </sheetData>
      <sheetData sheetId="1811">
        <row r="2">
          <cell r="A2" t="str">
            <v>실     명</v>
          </cell>
        </row>
      </sheetData>
      <sheetData sheetId="1812">
        <row r="2">
          <cell r="A2" t="str">
            <v>실     명</v>
          </cell>
        </row>
      </sheetData>
      <sheetData sheetId="1813">
        <row r="2">
          <cell r="A2" t="str">
            <v>실     명</v>
          </cell>
        </row>
      </sheetData>
      <sheetData sheetId="1814">
        <row r="2">
          <cell r="A2" t="str">
            <v>실     명</v>
          </cell>
        </row>
      </sheetData>
      <sheetData sheetId="1815">
        <row r="2">
          <cell r="A2" t="str">
            <v>실     명</v>
          </cell>
        </row>
      </sheetData>
      <sheetData sheetId="1816">
        <row r="2">
          <cell r="A2" t="str">
            <v>실     명</v>
          </cell>
        </row>
      </sheetData>
      <sheetData sheetId="1817">
        <row r="2">
          <cell r="A2" t="str">
            <v>실     명</v>
          </cell>
        </row>
      </sheetData>
      <sheetData sheetId="1818">
        <row r="2">
          <cell r="A2" t="str">
            <v>실     명</v>
          </cell>
        </row>
      </sheetData>
      <sheetData sheetId="1819">
        <row r="2">
          <cell r="A2" t="str">
            <v>실     명</v>
          </cell>
        </row>
      </sheetData>
      <sheetData sheetId="1820">
        <row r="2">
          <cell r="A2" t="str">
            <v>실     명</v>
          </cell>
        </row>
      </sheetData>
      <sheetData sheetId="1821">
        <row r="2">
          <cell r="A2" t="str">
            <v>실     명</v>
          </cell>
        </row>
      </sheetData>
      <sheetData sheetId="1822">
        <row r="2">
          <cell r="A2" t="str">
            <v>실     명</v>
          </cell>
        </row>
      </sheetData>
      <sheetData sheetId="1823">
        <row r="2">
          <cell r="A2" t="str">
            <v>실     명</v>
          </cell>
        </row>
      </sheetData>
      <sheetData sheetId="1824">
        <row r="2">
          <cell r="A2" t="str">
            <v>실     명</v>
          </cell>
        </row>
      </sheetData>
      <sheetData sheetId="1825">
        <row r="2">
          <cell r="A2" t="str">
            <v>실     명</v>
          </cell>
        </row>
      </sheetData>
      <sheetData sheetId="1826">
        <row r="2">
          <cell r="A2" t="str">
            <v>실     명</v>
          </cell>
        </row>
      </sheetData>
      <sheetData sheetId="1827">
        <row r="2">
          <cell r="A2" t="str">
            <v>실     명</v>
          </cell>
        </row>
      </sheetData>
      <sheetData sheetId="1828">
        <row r="2">
          <cell r="A2" t="str">
            <v>실     명</v>
          </cell>
        </row>
      </sheetData>
      <sheetData sheetId="1829">
        <row r="2">
          <cell r="A2" t="str">
            <v>실     명</v>
          </cell>
        </row>
      </sheetData>
      <sheetData sheetId="1830">
        <row r="2">
          <cell r="A2" t="str">
            <v>실     명</v>
          </cell>
        </row>
      </sheetData>
      <sheetData sheetId="1831">
        <row r="2">
          <cell r="A2" t="str">
            <v>실     명</v>
          </cell>
        </row>
      </sheetData>
      <sheetData sheetId="1832">
        <row r="2">
          <cell r="A2" t="str">
            <v>실     명</v>
          </cell>
        </row>
      </sheetData>
      <sheetData sheetId="1833">
        <row r="2">
          <cell r="A2" t="str">
            <v>실     명</v>
          </cell>
        </row>
      </sheetData>
      <sheetData sheetId="1834">
        <row r="2">
          <cell r="A2" t="str">
            <v>실     명</v>
          </cell>
        </row>
      </sheetData>
      <sheetData sheetId="1835">
        <row r="2">
          <cell r="A2" t="str">
            <v>실     명</v>
          </cell>
        </row>
      </sheetData>
      <sheetData sheetId="1836">
        <row r="2">
          <cell r="A2" t="str">
            <v>실     명</v>
          </cell>
        </row>
      </sheetData>
      <sheetData sheetId="1837">
        <row r="2">
          <cell r="A2" t="str">
            <v>실     명</v>
          </cell>
        </row>
      </sheetData>
      <sheetData sheetId="1838">
        <row r="2">
          <cell r="A2" t="str">
            <v>실     명</v>
          </cell>
        </row>
      </sheetData>
      <sheetData sheetId="1839">
        <row r="2">
          <cell r="A2" t="str">
            <v>실     명</v>
          </cell>
        </row>
      </sheetData>
      <sheetData sheetId="1840">
        <row r="2">
          <cell r="A2" t="str">
            <v>실     명</v>
          </cell>
        </row>
      </sheetData>
      <sheetData sheetId="1841">
        <row r="2">
          <cell r="A2" t="str">
            <v>실     명</v>
          </cell>
        </row>
      </sheetData>
      <sheetData sheetId="1842">
        <row r="2">
          <cell r="A2" t="str">
            <v>실     명</v>
          </cell>
        </row>
      </sheetData>
      <sheetData sheetId="1843">
        <row r="2">
          <cell r="A2" t="str">
            <v>실     명</v>
          </cell>
        </row>
      </sheetData>
      <sheetData sheetId="1844">
        <row r="2">
          <cell r="A2" t="str">
            <v>실     명</v>
          </cell>
        </row>
      </sheetData>
      <sheetData sheetId="1845">
        <row r="2">
          <cell r="A2" t="str">
            <v>실     명</v>
          </cell>
        </row>
      </sheetData>
      <sheetData sheetId="1846">
        <row r="2">
          <cell r="A2" t="str">
            <v>실     명</v>
          </cell>
        </row>
      </sheetData>
      <sheetData sheetId="1847">
        <row r="2">
          <cell r="A2" t="str">
            <v>실     명</v>
          </cell>
        </row>
      </sheetData>
      <sheetData sheetId="1848">
        <row r="2">
          <cell r="A2" t="str">
            <v>실     명</v>
          </cell>
        </row>
      </sheetData>
      <sheetData sheetId="1849">
        <row r="2">
          <cell r="A2" t="str">
            <v>실     명</v>
          </cell>
        </row>
      </sheetData>
      <sheetData sheetId="1850">
        <row r="2">
          <cell r="A2" t="str">
            <v>실     명</v>
          </cell>
        </row>
      </sheetData>
      <sheetData sheetId="1851">
        <row r="2">
          <cell r="A2" t="str">
            <v>실     명</v>
          </cell>
        </row>
      </sheetData>
      <sheetData sheetId="1852">
        <row r="2">
          <cell r="A2" t="str">
            <v>실     명</v>
          </cell>
        </row>
      </sheetData>
      <sheetData sheetId="1853">
        <row r="2">
          <cell r="A2" t="str">
            <v>실     명</v>
          </cell>
        </row>
      </sheetData>
      <sheetData sheetId="1854">
        <row r="2">
          <cell r="A2" t="str">
            <v>실     명</v>
          </cell>
        </row>
      </sheetData>
      <sheetData sheetId="1855">
        <row r="2">
          <cell r="A2" t="str">
            <v>실     명</v>
          </cell>
        </row>
      </sheetData>
      <sheetData sheetId="1856">
        <row r="2">
          <cell r="A2" t="str">
            <v>실     명</v>
          </cell>
        </row>
      </sheetData>
      <sheetData sheetId="1857">
        <row r="2">
          <cell r="A2" t="str">
            <v>실     명</v>
          </cell>
        </row>
      </sheetData>
      <sheetData sheetId="1858">
        <row r="2">
          <cell r="A2" t="str">
            <v>실     명</v>
          </cell>
        </row>
      </sheetData>
      <sheetData sheetId="1859">
        <row r="2">
          <cell r="A2" t="str">
            <v>실     명</v>
          </cell>
        </row>
      </sheetData>
      <sheetData sheetId="1860">
        <row r="2">
          <cell r="A2" t="str">
            <v>실     명</v>
          </cell>
        </row>
      </sheetData>
      <sheetData sheetId="1861">
        <row r="2">
          <cell r="A2" t="str">
            <v>실     명</v>
          </cell>
        </row>
      </sheetData>
      <sheetData sheetId="1862">
        <row r="2">
          <cell r="A2" t="str">
            <v>실     명</v>
          </cell>
        </row>
      </sheetData>
      <sheetData sheetId="1863">
        <row r="2">
          <cell r="A2" t="str">
            <v>실     명</v>
          </cell>
        </row>
      </sheetData>
      <sheetData sheetId="1864">
        <row r="2">
          <cell r="A2" t="str">
            <v>실     명</v>
          </cell>
        </row>
      </sheetData>
      <sheetData sheetId="1865">
        <row r="2">
          <cell r="A2" t="str">
            <v>실     명</v>
          </cell>
        </row>
      </sheetData>
      <sheetData sheetId="1866">
        <row r="2">
          <cell r="A2" t="str">
            <v>실     명</v>
          </cell>
        </row>
      </sheetData>
      <sheetData sheetId="1867">
        <row r="2">
          <cell r="A2" t="str">
            <v>실     명</v>
          </cell>
        </row>
      </sheetData>
      <sheetData sheetId="1868">
        <row r="2">
          <cell r="A2" t="str">
            <v>실     명</v>
          </cell>
        </row>
      </sheetData>
      <sheetData sheetId="1869">
        <row r="2">
          <cell r="A2" t="str">
            <v>실     명</v>
          </cell>
        </row>
      </sheetData>
      <sheetData sheetId="1870">
        <row r="2">
          <cell r="A2" t="str">
            <v>실     명</v>
          </cell>
        </row>
      </sheetData>
      <sheetData sheetId="1871">
        <row r="2">
          <cell r="A2" t="str">
            <v>실     명</v>
          </cell>
        </row>
      </sheetData>
      <sheetData sheetId="1872">
        <row r="2">
          <cell r="A2" t="str">
            <v>실     명</v>
          </cell>
        </row>
      </sheetData>
      <sheetData sheetId="1873">
        <row r="2">
          <cell r="A2" t="str">
            <v>실     명</v>
          </cell>
        </row>
      </sheetData>
      <sheetData sheetId="1874">
        <row r="2">
          <cell r="A2" t="str">
            <v>실     명</v>
          </cell>
        </row>
      </sheetData>
      <sheetData sheetId="1875">
        <row r="2">
          <cell r="A2" t="str">
            <v>실     명</v>
          </cell>
        </row>
      </sheetData>
      <sheetData sheetId="1876">
        <row r="2">
          <cell r="A2" t="str">
            <v>실     명</v>
          </cell>
        </row>
      </sheetData>
      <sheetData sheetId="1877">
        <row r="2">
          <cell r="A2" t="str">
            <v>실     명</v>
          </cell>
        </row>
      </sheetData>
      <sheetData sheetId="1878">
        <row r="2">
          <cell r="A2" t="str">
            <v>실     명</v>
          </cell>
        </row>
      </sheetData>
      <sheetData sheetId="1879">
        <row r="2">
          <cell r="A2" t="str">
            <v>실     명</v>
          </cell>
        </row>
      </sheetData>
      <sheetData sheetId="1880">
        <row r="2">
          <cell r="A2" t="str">
            <v>실     명</v>
          </cell>
        </row>
      </sheetData>
      <sheetData sheetId="1881">
        <row r="2">
          <cell r="A2" t="str">
            <v>실     명</v>
          </cell>
        </row>
      </sheetData>
      <sheetData sheetId="1882">
        <row r="2">
          <cell r="A2" t="str">
            <v>실     명</v>
          </cell>
        </row>
      </sheetData>
      <sheetData sheetId="1883">
        <row r="2">
          <cell r="A2" t="str">
            <v>실     명</v>
          </cell>
        </row>
      </sheetData>
      <sheetData sheetId="1884">
        <row r="2">
          <cell r="A2" t="str">
            <v>실     명</v>
          </cell>
        </row>
      </sheetData>
      <sheetData sheetId="1885">
        <row r="2">
          <cell r="A2" t="str">
            <v>실     명</v>
          </cell>
        </row>
      </sheetData>
      <sheetData sheetId="1886">
        <row r="2">
          <cell r="A2" t="str">
            <v>실     명</v>
          </cell>
        </row>
      </sheetData>
      <sheetData sheetId="1887">
        <row r="2">
          <cell r="A2" t="str">
            <v>실     명</v>
          </cell>
        </row>
      </sheetData>
      <sheetData sheetId="1888">
        <row r="2">
          <cell r="A2" t="str">
            <v>실     명</v>
          </cell>
        </row>
      </sheetData>
      <sheetData sheetId="1889" refreshError="1"/>
      <sheetData sheetId="1890" refreshError="1"/>
      <sheetData sheetId="1891" refreshError="1"/>
      <sheetData sheetId="1892">
        <row r="2">
          <cell r="A2" t="str">
            <v>실     명</v>
          </cell>
        </row>
      </sheetData>
      <sheetData sheetId="1893">
        <row r="2">
          <cell r="A2" t="str">
            <v>실     명</v>
          </cell>
        </row>
      </sheetData>
      <sheetData sheetId="1894">
        <row r="2">
          <cell r="A2" t="str">
            <v>실     명</v>
          </cell>
        </row>
      </sheetData>
      <sheetData sheetId="1895">
        <row r="2">
          <cell r="A2" t="str">
            <v>실     명</v>
          </cell>
        </row>
      </sheetData>
      <sheetData sheetId="1896">
        <row r="2">
          <cell r="A2" t="str">
            <v>실     명</v>
          </cell>
        </row>
      </sheetData>
      <sheetData sheetId="1897">
        <row r="2">
          <cell r="A2" t="str">
            <v>실     명</v>
          </cell>
        </row>
      </sheetData>
      <sheetData sheetId="1898">
        <row r="2">
          <cell r="A2" t="str">
            <v>실     명</v>
          </cell>
        </row>
      </sheetData>
      <sheetData sheetId="1899">
        <row r="2">
          <cell r="A2" t="str">
            <v>실     명</v>
          </cell>
        </row>
      </sheetData>
      <sheetData sheetId="1900">
        <row r="2">
          <cell r="A2" t="str">
            <v>실     명</v>
          </cell>
        </row>
      </sheetData>
      <sheetData sheetId="1901">
        <row r="2">
          <cell r="A2" t="str">
            <v>실     명</v>
          </cell>
        </row>
      </sheetData>
      <sheetData sheetId="1902">
        <row r="2">
          <cell r="A2" t="str">
            <v>실     명</v>
          </cell>
        </row>
      </sheetData>
      <sheetData sheetId="1903">
        <row r="2">
          <cell r="A2" t="str">
            <v>실     명</v>
          </cell>
        </row>
      </sheetData>
      <sheetData sheetId="1904">
        <row r="2">
          <cell r="A2" t="str">
            <v>실     명</v>
          </cell>
        </row>
      </sheetData>
      <sheetData sheetId="1905">
        <row r="2">
          <cell r="A2" t="str">
            <v>실     명</v>
          </cell>
        </row>
      </sheetData>
      <sheetData sheetId="1906">
        <row r="2">
          <cell r="A2" t="str">
            <v>실     명</v>
          </cell>
        </row>
      </sheetData>
      <sheetData sheetId="1907">
        <row r="2">
          <cell r="A2" t="str">
            <v>실     명</v>
          </cell>
        </row>
      </sheetData>
      <sheetData sheetId="1908">
        <row r="2">
          <cell r="A2" t="str">
            <v>실     명</v>
          </cell>
        </row>
      </sheetData>
      <sheetData sheetId="1909">
        <row r="2">
          <cell r="A2" t="str">
            <v>실     명</v>
          </cell>
        </row>
      </sheetData>
      <sheetData sheetId="1910">
        <row r="2">
          <cell r="A2" t="str">
            <v>실     명</v>
          </cell>
        </row>
      </sheetData>
      <sheetData sheetId="1911">
        <row r="2">
          <cell r="A2" t="str">
            <v>실     명</v>
          </cell>
        </row>
      </sheetData>
      <sheetData sheetId="1912">
        <row r="2">
          <cell r="A2" t="str">
            <v>실     명</v>
          </cell>
        </row>
      </sheetData>
      <sheetData sheetId="1913">
        <row r="2">
          <cell r="A2" t="str">
            <v>실     명</v>
          </cell>
        </row>
      </sheetData>
      <sheetData sheetId="1914">
        <row r="2">
          <cell r="A2" t="str">
            <v>실     명</v>
          </cell>
        </row>
      </sheetData>
      <sheetData sheetId="1915">
        <row r="2">
          <cell r="A2" t="str">
            <v>실     명</v>
          </cell>
        </row>
      </sheetData>
      <sheetData sheetId="1916">
        <row r="2">
          <cell r="A2" t="str">
            <v>실     명</v>
          </cell>
        </row>
      </sheetData>
      <sheetData sheetId="1917">
        <row r="2">
          <cell r="A2" t="str">
            <v>실     명</v>
          </cell>
        </row>
      </sheetData>
      <sheetData sheetId="1918">
        <row r="2">
          <cell r="A2" t="str">
            <v>실     명</v>
          </cell>
        </row>
      </sheetData>
      <sheetData sheetId="1919">
        <row r="2">
          <cell r="A2" t="str">
            <v>실     명</v>
          </cell>
        </row>
      </sheetData>
      <sheetData sheetId="1920">
        <row r="2">
          <cell r="A2" t="str">
            <v>실     명</v>
          </cell>
        </row>
      </sheetData>
      <sheetData sheetId="1921">
        <row r="2">
          <cell r="A2" t="str">
            <v>실     명</v>
          </cell>
        </row>
      </sheetData>
      <sheetData sheetId="1922">
        <row r="2">
          <cell r="A2" t="str">
            <v>실     명</v>
          </cell>
        </row>
      </sheetData>
      <sheetData sheetId="1923">
        <row r="2">
          <cell r="A2" t="str">
            <v>실     명</v>
          </cell>
        </row>
      </sheetData>
      <sheetData sheetId="1924">
        <row r="2">
          <cell r="A2" t="str">
            <v>실     명</v>
          </cell>
        </row>
      </sheetData>
      <sheetData sheetId="1925">
        <row r="2">
          <cell r="A2" t="str">
            <v>실     명</v>
          </cell>
        </row>
      </sheetData>
      <sheetData sheetId="1926">
        <row r="2">
          <cell r="A2" t="str">
            <v>실     명</v>
          </cell>
        </row>
      </sheetData>
      <sheetData sheetId="1927">
        <row r="2">
          <cell r="A2" t="str">
            <v>실     명</v>
          </cell>
        </row>
      </sheetData>
      <sheetData sheetId="1928">
        <row r="2">
          <cell r="A2" t="str">
            <v>실     명</v>
          </cell>
        </row>
      </sheetData>
      <sheetData sheetId="1929">
        <row r="2">
          <cell r="A2" t="str">
            <v>실     명</v>
          </cell>
        </row>
      </sheetData>
      <sheetData sheetId="1930">
        <row r="2">
          <cell r="A2" t="str">
            <v>실     명</v>
          </cell>
        </row>
      </sheetData>
      <sheetData sheetId="1931">
        <row r="2">
          <cell r="A2" t="str">
            <v>실     명</v>
          </cell>
        </row>
      </sheetData>
      <sheetData sheetId="1932">
        <row r="2">
          <cell r="A2" t="str">
            <v>실     명</v>
          </cell>
        </row>
      </sheetData>
      <sheetData sheetId="1933">
        <row r="2">
          <cell r="A2" t="str">
            <v>실     명</v>
          </cell>
        </row>
      </sheetData>
      <sheetData sheetId="1934">
        <row r="2">
          <cell r="A2" t="str">
            <v>실     명</v>
          </cell>
        </row>
      </sheetData>
      <sheetData sheetId="1935">
        <row r="2">
          <cell r="A2" t="str">
            <v>실     명</v>
          </cell>
        </row>
      </sheetData>
      <sheetData sheetId="1936">
        <row r="2">
          <cell r="A2" t="str">
            <v>실     명</v>
          </cell>
        </row>
      </sheetData>
      <sheetData sheetId="1937">
        <row r="2">
          <cell r="A2" t="str">
            <v>실     명</v>
          </cell>
        </row>
      </sheetData>
      <sheetData sheetId="1938">
        <row r="2">
          <cell r="A2" t="str">
            <v>실     명</v>
          </cell>
        </row>
      </sheetData>
      <sheetData sheetId="1939">
        <row r="2">
          <cell r="A2" t="str">
            <v>실     명</v>
          </cell>
        </row>
      </sheetData>
      <sheetData sheetId="1940">
        <row r="2">
          <cell r="A2" t="str">
            <v>실     명</v>
          </cell>
        </row>
      </sheetData>
      <sheetData sheetId="1941">
        <row r="2">
          <cell r="A2" t="str">
            <v>실     명</v>
          </cell>
        </row>
      </sheetData>
      <sheetData sheetId="1942">
        <row r="2">
          <cell r="A2" t="str">
            <v>실     명</v>
          </cell>
        </row>
      </sheetData>
      <sheetData sheetId="1943">
        <row r="2">
          <cell r="A2" t="str">
            <v>실     명</v>
          </cell>
        </row>
      </sheetData>
      <sheetData sheetId="1944">
        <row r="2">
          <cell r="A2" t="str">
            <v>실     명</v>
          </cell>
        </row>
      </sheetData>
      <sheetData sheetId="1945">
        <row r="2">
          <cell r="A2" t="str">
            <v>실     명</v>
          </cell>
        </row>
      </sheetData>
      <sheetData sheetId="1946">
        <row r="2">
          <cell r="A2" t="str">
            <v>실     명</v>
          </cell>
        </row>
      </sheetData>
      <sheetData sheetId="1947">
        <row r="2">
          <cell r="A2" t="str">
            <v>실     명</v>
          </cell>
        </row>
      </sheetData>
      <sheetData sheetId="1948">
        <row r="2">
          <cell r="A2" t="str">
            <v>실     명</v>
          </cell>
        </row>
      </sheetData>
      <sheetData sheetId="1949">
        <row r="2">
          <cell r="A2" t="str">
            <v>실     명</v>
          </cell>
        </row>
      </sheetData>
      <sheetData sheetId="1950">
        <row r="2">
          <cell r="A2" t="str">
            <v>실     명</v>
          </cell>
        </row>
      </sheetData>
      <sheetData sheetId="1951">
        <row r="2">
          <cell r="A2" t="str">
            <v>실     명</v>
          </cell>
        </row>
      </sheetData>
      <sheetData sheetId="1952">
        <row r="2">
          <cell r="A2" t="str">
            <v>실     명</v>
          </cell>
        </row>
      </sheetData>
      <sheetData sheetId="1953">
        <row r="2">
          <cell r="A2" t="str">
            <v>실     명</v>
          </cell>
        </row>
      </sheetData>
      <sheetData sheetId="1954">
        <row r="2">
          <cell r="A2" t="str">
            <v>실     명</v>
          </cell>
        </row>
      </sheetData>
      <sheetData sheetId="1955">
        <row r="2">
          <cell r="A2" t="str">
            <v>실     명</v>
          </cell>
        </row>
      </sheetData>
      <sheetData sheetId="1956">
        <row r="2">
          <cell r="A2" t="str">
            <v>실     명</v>
          </cell>
        </row>
      </sheetData>
      <sheetData sheetId="1957">
        <row r="2">
          <cell r="A2" t="str">
            <v>실     명</v>
          </cell>
        </row>
      </sheetData>
      <sheetData sheetId="1958">
        <row r="2">
          <cell r="A2" t="str">
            <v>실     명</v>
          </cell>
        </row>
      </sheetData>
      <sheetData sheetId="1959">
        <row r="2">
          <cell r="A2" t="str">
            <v>실     명</v>
          </cell>
        </row>
      </sheetData>
      <sheetData sheetId="1960">
        <row r="2">
          <cell r="A2" t="str">
            <v>실     명</v>
          </cell>
        </row>
      </sheetData>
      <sheetData sheetId="1961">
        <row r="2">
          <cell r="A2" t="str">
            <v>실     명</v>
          </cell>
        </row>
      </sheetData>
      <sheetData sheetId="1962">
        <row r="2">
          <cell r="A2" t="str">
            <v>실     명</v>
          </cell>
        </row>
      </sheetData>
      <sheetData sheetId="1963">
        <row r="2">
          <cell r="A2" t="str">
            <v>실     명</v>
          </cell>
        </row>
      </sheetData>
      <sheetData sheetId="1964">
        <row r="2">
          <cell r="A2" t="str">
            <v>실     명</v>
          </cell>
        </row>
      </sheetData>
      <sheetData sheetId="1965">
        <row r="2">
          <cell r="A2" t="str">
            <v>실     명</v>
          </cell>
        </row>
      </sheetData>
      <sheetData sheetId="1966">
        <row r="2">
          <cell r="A2" t="str">
            <v>실     명</v>
          </cell>
        </row>
      </sheetData>
      <sheetData sheetId="1967">
        <row r="2">
          <cell r="A2" t="str">
            <v>실     명</v>
          </cell>
        </row>
      </sheetData>
      <sheetData sheetId="1968">
        <row r="2">
          <cell r="A2" t="str">
            <v>실     명</v>
          </cell>
        </row>
      </sheetData>
      <sheetData sheetId="1969">
        <row r="2">
          <cell r="A2" t="str">
            <v>실     명</v>
          </cell>
        </row>
      </sheetData>
      <sheetData sheetId="1970">
        <row r="2">
          <cell r="A2" t="str">
            <v>실     명</v>
          </cell>
        </row>
      </sheetData>
      <sheetData sheetId="1971">
        <row r="2">
          <cell r="A2" t="str">
            <v>실     명</v>
          </cell>
        </row>
      </sheetData>
      <sheetData sheetId="1972">
        <row r="2">
          <cell r="A2" t="str">
            <v>실     명</v>
          </cell>
        </row>
      </sheetData>
      <sheetData sheetId="1973">
        <row r="2">
          <cell r="A2" t="str">
            <v>실     명</v>
          </cell>
        </row>
      </sheetData>
      <sheetData sheetId="1974">
        <row r="2">
          <cell r="A2" t="str">
            <v>실     명</v>
          </cell>
        </row>
      </sheetData>
      <sheetData sheetId="1975">
        <row r="2">
          <cell r="A2" t="str">
            <v>실     명</v>
          </cell>
        </row>
      </sheetData>
      <sheetData sheetId="1976">
        <row r="2">
          <cell r="A2" t="str">
            <v>실     명</v>
          </cell>
        </row>
      </sheetData>
      <sheetData sheetId="1977">
        <row r="2">
          <cell r="A2" t="str">
            <v>실     명</v>
          </cell>
        </row>
      </sheetData>
      <sheetData sheetId="1978">
        <row r="2">
          <cell r="A2" t="str">
            <v>실     명</v>
          </cell>
        </row>
      </sheetData>
      <sheetData sheetId="1979">
        <row r="2">
          <cell r="A2" t="str">
            <v>실     명</v>
          </cell>
        </row>
      </sheetData>
      <sheetData sheetId="1980">
        <row r="2">
          <cell r="A2" t="str">
            <v>실     명</v>
          </cell>
        </row>
      </sheetData>
      <sheetData sheetId="1981">
        <row r="2">
          <cell r="A2" t="str">
            <v>실     명</v>
          </cell>
        </row>
      </sheetData>
      <sheetData sheetId="1982">
        <row r="2">
          <cell r="A2" t="str">
            <v>실     명</v>
          </cell>
        </row>
      </sheetData>
      <sheetData sheetId="1983">
        <row r="2">
          <cell r="A2" t="str">
            <v>실     명</v>
          </cell>
        </row>
      </sheetData>
      <sheetData sheetId="1984">
        <row r="2">
          <cell r="A2" t="str">
            <v>실     명</v>
          </cell>
        </row>
      </sheetData>
      <sheetData sheetId="1985">
        <row r="2">
          <cell r="A2" t="str">
            <v>실     명</v>
          </cell>
        </row>
      </sheetData>
      <sheetData sheetId="1986">
        <row r="2">
          <cell r="A2" t="str">
            <v>실     명</v>
          </cell>
        </row>
      </sheetData>
      <sheetData sheetId="1987">
        <row r="2">
          <cell r="A2" t="str">
            <v>실     명</v>
          </cell>
        </row>
      </sheetData>
      <sheetData sheetId="1988">
        <row r="2">
          <cell r="A2" t="str">
            <v>실     명</v>
          </cell>
        </row>
      </sheetData>
      <sheetData sheetId="1989">
        <row r="2">
          <cell r="A2" t="str">
            <v>실     명</v>
          </cell>
        </row>
      </sheetData>
      <sheetData sheetId="1990">
        <row r="2">
          <cell r="A2" t="str">
            <v>실     명</v>
          </cell>
        </row>
      </sheetData>
      <sheetData sheetId="1991">
        <row r="2">
          <cell r="A2" t="str">
            <v>실     명</v>
          </cell>
        </row>
      </sheetData>
      <sheetData sheetId="1992">
        <row r="2">
          <cell r="A2" t="str">
            <v>실     명</v>
          </cell>
        </row>
      </sheetData>
      <sheetData sheetId="1993">
        <row r="2">
          <cell r="A2" t="str">
            <v>실     명</v>
          </cell>
        </row>
      </sheetData>
      <sheetData sheetId="1994">
        <row r="2">
          <cell r="A2" t="str">
            <v>실     명</v>
          </cell>
        </row>
      </sheetData>
      <sheetData sheetId="1995">
        <row r="2">
          <cell r="A2" t="str">
            <v>실     명</v>
          </cell>
        </row>
      </sheetData>
      <sheetData sheetId="1996">
        <row r="2">
          <cell r="A2" t="str">
            <v>실     명</v>
          </cell>
        </row>
      </sheetData>
      <sheetData sheetId="1997">
        <row r="2">
          <cell r="A2" t="str">
            <v>실     명</v>
          </cell>
        </row>
      </sheetData>
      <sheetData sheetId="1998">
        <row r="2">
          <cell r="A2" t="str">
            <v>실     명</v>
          </cell>
        </row>
      </sheetData>
      <sheetData sheetId="1999">
        <row r="2">
          <cell r="A2" t="str">
            <v>실     명</v>
          </cell>
        </row>
      </sheetData>
      <sheetData sheetId="2000">
        <row r="2">
          <cell r="A2" t="str">
            <v>실     명</v>
          </cell>
        </row>
      </sheetData>
      <sheetData sheetId="2001">
        <row r="2">
          <cell r="A2" t="str">
            <v>실     명</v>
          </cell>
        </row>
      </sheetData>
      <sheetData sheetId="2002">
        <row r="2">
          <cell r="A2" t="str">
            <v>실     명</v>
          </cell>
        </row>
      </sheetData>
      <sheetData sheetId="2003">
        <row r="2">
          <cell r="A2" t="str">
            <v>실     명</v>
          </cell>
        </row>
      </sheetData>
      <sheetData sheetId="2004">
        <row r="2">
          <cell r="A2" t="str">
            <v>실     명</v>
          </cell>
        </row>
      </sheetData>
      <sheetData sheetId="2005">
        <row r="2">
          <cell r="A2" t="str">
            <v>실     명</v>
          </cell>
        </row>
      </sheetData>
      <sheetData sheetId="2006">
        <row r="2">
          <cell r="A2" t="str">
            <v>실     명</v>
          </cell>
        </row>
      </sheetData>
      <sheetData sheetId="2007">
        <row r="2">
          <cell r="A2" t="str">
            <v>실     명</v>
          </cell>
        </row>
      </sheetData>
      <sheetData sheetId="2008">
        <row r="2">
          <cell r="A2" t="str">
            <v>실     명</v>
          </cell>
        </row>
      </sheetData>
      <sheetData sheetId="2009">
        <row r="2">
          <cell r="A2" t="str">
            <v>실     명</v>
          </cell>
        </row>
      </sheetData>
      <sheetData sheetId="2010">
        <row r="2">
          <cell r="A2" t="str">
            <v>실     명</v>
          </cell>
        </row>
      </sheetData>
      <sheetData sheetId="2011">
        <row r="2">
          <cell r="A2" t="str">
            <v>실     명</v>
          </cell>
        </row>
      </sheetData>
      <sheetData sheetId="2012">
        <row r="2">
          <cell r="A2" t="str">
            <v>실     명</v>
          </cell>
        </row>
      </sheetData>
      <sheetData sheetId="2013">
        <row r="2">
          <cell r="A2" t="str">
            <v>실     명</v>
          </cell>
        </row>
      </sheetData>
      <sheetData sheetId="2014">
        <row r="2">
          <cell r="A2" t="str">
            <v>실     명</v>
          </cell>
        </row>
      </sheetData>
      <sheetData sheetId="2015">
        <row r="2">
          <cell r="A2" t="str">
            <v>실     명</v>
          </cell>
        </row>
      </sheetData>
      <sheetData sheetId="2016">
        <row r="2">
          <cell r="A2" t="str">
            <v>실     명</v>
          </cell>
        </row>
      </sheetData>
      <sheetData sheetId="2017">
        <row r="2">
          <cell r="A2" t="str">
            <v>실     명</v>
          </cell>
        </row>
      </sheetData>
      <sheetData sheetId="2018">
        <row r="2">
          <cell r="A2" t="str">
            <v>실     명</v>
          </cell>
        </row>
      </sheetData>
      <sheetData sheetId="2019">
        <row r="2">
          <cell r="A2" t="str">
            <v>실     명</v>
          </cell>
        </row>
      </sheetData>
      <sheetData sheetId="2020">
        <row r="2">
          <cell r="A2" t="str">
            <v>실     명</v>
          </cell>
        </row>
      </sheetData>
      <sheetData sheetId="2021">
        <row r="2">
          <cell r="A2" t="str">
            <v>실     명</v>
          </cell>
        </row>
      </sheetData>
      <sheetData sheetId="2022">
        <row r="2">
          <cell r="A2" t="str">
            <v>실     명</v>
          </cell>
        </row>
      </sheetData>
      <sheetData sheetId="2023">
        <row r="2">
          <cell r="A2" t="str">
            <v>실     명</v>
          </cell>
        </row>
      </sheetData>
      <sheetData sheetId="2024">
        <row r="2">
          <cell r="A2" t="str">
            <v>실     명</v>
          </cell>
        </row>
      </sheetData>
      <sheetData sheetId="2025">
        <row r="2">
          <cell r="A2" t="str">
            <v>실     명</v>
          </cell>
        </row>
      </sheetData>
      <sheetData sheetId="2026">
        <row r="2">
          <cell r="A2" t="str">
            <v>실     명</v>
          </cell>
        </row>
      </sheetData>
      <sheetData sheetId="2027">
        <row r="2">
          <cell r="A2" t="str">
            <v>실     명</v>
          </cell>
        </row>
      </sheetData>
      <sheetData sheetId="2028">
        <row r="2">
          <cell r="A2" t="str">
            <v>실     명</v>
          </cell>
        </row>
      </sheetData>
      <sheetData sheetId="2029">
        <row r="2">
          <cell r="A2" t="str">
            <v>실     명</v>
          </cell>
        </row>
      </sheetData>
      <sheetData sheetId="2030">
        <row r="2">
          <cell r="A2" t="str">
            <v>실     명</v>
          </cell>
        </row>
      </sheetData>
      <sheetData sheetId="2031">
        <row r="2">
          <cell r="A2" t="str">
            <v>실     명</v>
          </cell>
        </row>
      </sheetData>
      <sheetData sheetId="2032">
        <row r="2">
          <cell r="A2" t="str">
            <v>실     명</v>
          </cell>
        </row>
      </sheetData>
      <sheetData sheetId="2033">
        <row r="2">
          <cell r="A2" t="str">
            <v>실     명</v>
          </cell>
        </row>
      </sheetData>
      <sheetData sheetId="2034">
        <row r="2">
          <cell r="A2" t="str">
            <v>실     명</v>
          </cell>
        </row>
      </sheetData>
      <sheetData sheetId="2035">
        <row r="2">
          <cell r="A2" t="str">
            <v>실     명</v>
          </cell>
        </row>
      </sheetData>
      <sheetData sheetId="2036">
        <row r="2">
          <cell r="A2" t="str">
            <v>실     명</v>
          </cell>
        </row>
      </sheetData>
      <sheetData sheetId="2037">
        <row r="2">
          <cell r="A2" t="str">
            <v>실     명</v>
          </cell>
        </row>
      </sheetData>
      <sheetData sheetId="2038">
        <row r="2">
          <cell r="A2" t="str">
            <v>실     명</v>
          </cell>
        </row>
      </sheetData>
      <sheetData sheetId="2039">
        <row r="2">
          <cell r="A2" t="str">
            <v>실     명</v>
          </cell>
        </row>
      </sheetData>
      <sheetData sheetId="2040">
        <row r="2">
          <cell r="A2" t="str">
            <v>실     명</v>
          </cell>
        </row>
      </sheetData>
      <sheetData sheetId="2041">
        <row r="2">
          <cell r="A2" t="str">
            <v>실     명</v>
          </cell>
        </row>
      </sheetData>
      <sheetData sheetId="2042">
        <row r="2">
          <cell r="A2" t="str">
            <v>실     명</v>
          </cell>
        </row>
      </sheetData>
      <sheetData sheetId="2043">
        <row r="2">
          <cell r="A2" t="str">
            <v>실     명</v>
          </cell>
        </row>
      </sheetData>
      <sheetData sheetId="2044">
        <row r="2">
          <cell r="A2" t="str">
            <v>실     명</v>
          </cell>
        </row>
      </sheetData>
      <sheetData sheetId="2045">
        <row r="2">
          <cell r="A2" t="str">
            <v>실     명</v>
          </cell>
        </row>
      </sheetData>
      <sheetData sheetId="2046">
        <row r="2">
          <cell r="A2" t="str">
            <v>실     명</v>
          </cell>
        </row>
      </sheetData>
      <sheetData sheetId="2047">
        <row r="2">
          <cell r="A2" t="str">
            <v>실     명</v>
          </cell>
        </row>
      </sheetData>
      <sheetData sheetId="2048">
        <row r="2">
          <cell r="A2" t="str">
            <v>실     명</v>
          </cell>
        </row>
      </sheetData>
      <sheetData sheetId="2049">
        <row r="2">
          <cell r="A2" t="str">
            <v>실     명</v>
          </cell>
        </row>
      </sheetData>
      <sheetData sheetId="2050">
        <row r="2">
          <cell r="A2" t="str">
            <v>실     명</v>
          </cell>
        </row>
      </sheetData>
      <sheetData sheetId="2051">
        <row r="2">
          <cell r="A2" t="str">
            <v>실     명</v>
          </cell>
        </row>
      </sheetData>
      <sheetData sheetId="2052">
        <row r="2">
          <cell r="A2" t="str">
            <v>실     명</v>
          </cell>
        </row>
      </sheetData>
      <sheetData sheetId="2053">
        <row r="2">
          <cell r="A2" t="str">
            <v>실     명</v>
          </cell>
        </row>
      </sheetData>
      <sheetData sheetId="2054">
        <row r="2">
          <cell r="A2" t="str">
            <v>실     명</v>
          </cell>
        </row>
      </sheetData>
      <sheetData sheetId="2055">
        <row r="2">
          <cell r="A2" t="str">
            <v>실     명</v>
          </cell>
        </row>
      </sheetData>
      <sheetData sheetId="2056">
        <row r="2">
          <cell r="A2" t="str">
            <v>실     명</v>
          </cell>
        </row>
      </sheetData>
      <sheetData sheetId="2057">
        <row r="2">
          <cell r="A2" t="str">
            <v>실     명</v>
          </cell>
        </row>
      </sheetData>
      <sheetData sheetId="2058">
        <row r="2">
          <cell r="A2" t="str">
            <v>실     명</v>
          </cell>
        </row>
      </sheetData>
      <sheetData sheetId="2059">
        <row r="2">
          <cell r="A2" t="str">
            <v>실     명</v>
          </cell>
        </row>
      </sheetData>
      <sheetData sheetId="2060">
        <row r="2">
          <cell r="A2" t="str">
            <v>실     명</v>
          </cell>
        </row>
      </sheetData>
      <sheetData sheetId="2061">
        <row r="2">
          <cell r="A2" t="str">
            <v>실     명</v>
          </cell>
        </row>
      </sheetData>
      <sheetData sheetId="2062">
        <row r="2">
          <cell r="A2" t="str">
            <v>실     명</v>
          </cell>
        </row>
      </sheetData>
      <sheetData sheetId="2063">
        <row r="2">
          <cell r="A2" t="str">
            <v>실     명</v>
          </cell>
        </row>
      </sheetData>
      <sheetData sheetId="2064">
        <row r="2">
          <cell r="A2" t="str">
            <v>실     명</v>
          </cell>
        </row>
      </sheetData>
      <sheetData sheetId="2065">
        <row r="2">
          <cell r="A2" t="str">
            <v>실     명</v>
          </cell>
        </row>
      </sheetData>
      <sheetData sheetId="2066">
        <row r="2">
          <cell r="A2" t="str">
            <v>실     명</v>
          </cell>
        </row>
      </sheetData>
      <sheetData sheetId="2067">
        <row r="2">
          <cell r="A2" t="str">
            <v>실     명</v>
          </cell>
        </row>
      </sheetData>
      <sheetData sheetId="2068">
        <row r="2">
          <cell r="A2" t="str">
            <v>실     명</v>
          </cell>
        </row>
      </sheetData>
      <sheetData sheetId="2069">
        <row r="2">
          <cell r="A2" t="str">
            <v>실     명</v>
          </cell>
        </row>
      </sheetData>
      <sheetData sheetId="2070">
        <row r="2">
          <cell r="A2" t="str">
            <v>실     명</v>
          </cell>
        </row>
      </sheetData>
      <sheetData sheetId="2071">
        <row r="2">
          <cell r="A2" t="str">
            <v>실     명</v>
          </cell>
        </row>
      </sheetData>
      <sheetData sheetId="2072">
        <row r="2">
          <cell r="A2" t="str">
            <v>실     명</v>
          </cell>
        </row>
      </sheetData>
      <sheetData sheetId="2073">
        <row r="2">
          <cell r="A2" t="str">
            <v>실     명</v>
          </cell>
        </row>
      </sheetData>
      <sheetData sheetId="2074">
        <row r="2">
          <cell r="A2" t="str">
            <v>실     명</v>
          </cell>
        </row>
      </sheetData>
      <sheetData sheetId="2075">
        <row r="2">
          <cell r="A2" t="str">
            <v>실     명</v>
          </cell>
        </row>
      </sheetData>
      <sheetData sheetId="2076">
        <row r="2">
          <cell r="A2" t="str">
            <v>실     명</v>
          </cell>
        </row>
      </sheetData>
      <sheetData sheetId="2077">
        <row r="2">
          <cell r="A2" t="str">
            <v>실     명</v>
          </cell>
        </row>
      </sheetData>
      <sheetData sheetId="2078">
        <row r="2">
          <cell r="A2" t="str">
            <v>실     명</v>
          </cell>
        </row>
      </sheetData>
      <sheetData sheetId="2079">
        <row r="2">
          <cell r="A2" t="str">
            <v>실     명</v>
          </cell>
        </row>
      </sheetData>
      <sheetData sheetId="2080">
        <row r="2">
          <cell r="A2" t="str">
            <v>실     명</v>
          </cell>
        </row>
      </sheetData>
      <sheetData sheetId="2081">
        <row r="2">
          <cell r="A2" t="str">
            <v>실     명</v>
          </cell>
        </row>
      </sheetData>
      <sheetData sheetId="2082">
        <row r="2">
          <cell r="A2" t="str">
            <v>실     명</v>
          </cell>
        </row>
      </sheetData>
      <sheetData sheetId="2083">
        <row r="2">
          <cell r="A2" t="str">
            <v>실     명</v>
          </cell>
        </row>
      </sheetData>
      <sheetData sheetId="2084">
        <row r="2">
          <cell r="A2" t="str">
            <v>실     명</v>
          </cell>
        </row>
      </sheetData>
      <sheetData sheetId="2085">
        <row r="2">
          <cell r="A2" t="str">
            <v>실     명</v>
          </cell>
        </row>
      </sheetData>
      <sheetData sheetId="2086">
        <row r="2">
          <cell r="A2" t="str">
            <v>실     명</v>
          </cell>
        </row>
      </sheetData>
      <sheetData sheetId="2087">
        <row r="2">
          <cell r="A2" t="str">
            <v>실     명</v>
          </cell>
        </row>
      </sheetData>
      <sheetData sheetId="2088">
        <row r="2">
          <cell r="A2" t="str">
            <v>실     명</v>
          </cell>
        </row>
      </sheetData>
      <sheetData sheetId="2089">
        <row r="2">
          <cell r="A2" t="str">
            <v>실     명</v>
          </cell>
        </row>
      </sheetData>
      <sheetData sheetId="2090">
        <row r="2">
          <cell r="A2" t="str">
            <v>실     명</v>
          </cell>
        </row>
      </sheetData>
      <sheetData sheetId="2091">
        <row r="2">
          <cell r="A2" t="str">
            <v>실     명</v>
          </cell>
        </row>
      </sheetData>
      <sheetData sheetId="2092">
        <row r="2">
          <cell r="A2" t="str">
            <v>실     명</v>
          </cell>
        </row>
      </sheetData>
      <sheetData sheetId="2093">
        <row r="2">
          <cell r="A2" t="str">
            <v>실     명</v>
          </cell>
        </row>
      </sheetData>
      <sheetData sheetId="2094">
        <row r="2">
          <cell r="A2" t="str">
            <v>실     명</v>
          </cell>
        </row>
      </sheetData>
      <sheetData sheetId="2095">
        <row r="2">
          <cell r="A2" t="str">
            <v>실     명</v>
          </cell>
        </row>
      </sheetData>
      <sheetData sheetId="2096">
        <row r="2">
          <cell r="A2" t="str">
            <v>실     명</v>
          </cell>
        </row>
      </sheetData>
      <sheetData sheetId="2097">
        <row r="2">
          <cell r="A2" t="str">
            <v>실     명</v>
          </cell>
        </row>
      </sheetData>
      <sheetData sheetId="2098">
        <row r="2">
          <cell r="A2" t="str">
            <v>실     명</v>
          </cell>
        </row>
      </sheetData>
      <sheetData sheetId="2099">
        <row r="2">
          <cell r="A2" t="str">
            <v>실     명</v>
          </cell>
        </row>
      </sheetData>
      <sheetData sheetId="2100">
        <row r="2">
          <cell r="A2" t="str">
            <v>실     명</v>
          </cell>
        </row>
      </sheetData>
      <sheetData sheetId="2101">
        <row r="2">
          <cell r="A2" t="str">
            <v>실     명</v>
          </cell>
        </row>
      </sheetData>
      <sheetData sheetId="2102">
        <row r="2">
          <cell r="A2" t="str">
            <v>실     명</v>
          </cell>
        </row>
      </sheetData>
      <sheetData sheetId="2103">
        <row r="2">
          <cell r="A2" t="str">
            <v>실     명</v>
          </cell>
        </row>
      </sheetData>
      <sheetData sheetId="2104">
        <row r="2">
          <cell r="A2" t="str">
            <v>실     명</v>
          </cell>
        </row>
      </sheetData>
      <sheetData sheetId="2105">
        <row r="2">
          <cell r="A2" t="str">
            <v>실     명</v>
          </cell>
        </row>
      </sheetData>
      <sheetData sheetId="2106">
        <row r="2">
          <cell r="A2" t="str">
            <v>실     명</v>
          </cell>
        </row>
      </sheetData>
      <sheetData sheetId="2107">
        <row r="2">
          <cell r="A2" t="str">
            <v>실     명</v>
          </cell>
        </row>
      </sheetData>
      <sheetData sheetId="2108">
        <row r="2">
          <cell r="A2" t="str">
            <v>실     명</v>
          </cell>
        </row>
      </sheetData>
      <sheetData sheetId="2109">
        <row r="2">
          <cell r="A2" t="str">
            <v>실     명</v>
          </cell>
        </row>
      </sheetData>
      <sheetData sheetId="2110">
        <row r="2">
          <cell r="A2" t="str">
            <v>실     명</v>
          </cell>
        </row>
      </sheetData>
      <sheetData sheetId="2111">
        <row r="2">
          <cell r="A2" t="str">
            <v>실     명</v>
          </cell>
        </row>
      </sheetData>
      <sheetData sheetId="2112">
        <row r="2">
          <cell r="A2" t="str">
            <v>실     명</v>
          </cell>
        </row>
      </sheetData>
      <sheetData sheetId="2113">
        <row r="2">
          <cell r="A2" t="str">
            <v>실     명</v>
          </cell>
        </row>
      </sheetData>
      <sheetData sheetId="2114">
        <row r="2">
          <cell r="A2" t="str">
            <v>실     명</v>
          </cell>
        </row>
      </sheetData>
      <sheetData sheetId="2115">
        <row r="2">
          <cell r="A2" t="str">
            <v>실     명</v>
          </cell>
        </row>
      </sheetData>
      <sheetData sheetId="2116">
        <row r="2">
          <cell r="A2" t="str">
            <v>실     명</v>
          </cell>
        </row>
      </sheetData>
      <sheetData sheetId="2117">
        <row r="2">
          <cell r="A2" t="str">
            <v>실     명</v>
          </cell>
        </row>
      </sheetData>
      <sheetData sheetId="2118">
        <row r="2">
          <cell r="A2" t="str">
            <v>실     명</v>
          </cell>
        </row>
      </sheetData>
      <sheetData sheetId="2119">
        <row r="2">
          <cell r="A2" t="str">
            <v>실     명</v>
          </cell>
        </row>
      </sheetData>
      <sheetData sheetId="2120">
        <row r="2">
          <cell r="A2" t="str">
            <v>실     명</v>
          </cell>
        </row>
      </sheetData>
      <sheetData sheetId="2121">
        <row r="2">
          <cell r="A2" t="str">
            <v>실     명</v>
          </cell>
        </row>
      </sheetData>
      <sheetData sheetId="2122">
        <row r="2">
          <cell r="A2" t="str">
            <v>실     명</v>
          </cell>
        </row>
      </sheetData>
      <sheetData sheetId="2123">
        <row r="2">
          <cell r="A2" t="str">
            <v>실     명</v>
          </cell>
        </row>
      </sheetData>
      <sheetData sheetId="2124">
        <row r="2">
          <cell r="A2" t="str">
            <v>실     명</v>
          </cell>
        </row>
      </sheetData>
      <sheetData sheetId="2125">
        <row r="2">
          <cell r="A2" t="str">
            <v>실     명</v>
          </cell>
        </row>
      </sheetData>
      <sheetData sheetId="2126">
        <row r="2">
          <cell r="A2" t="str">
            <v>실     명</v>
          </cell>
        </row>
      </sheetData>
      <sheetData sheetId="2127">
        <row r="2">
          <cell r="A2" t="str">
            <v>실     명</v>
          </cell>
        </row>
      </sheetData>
      <sheetData sheetId="2128">
        <row r="2">
          <cell r="A2" t="str">
            <v>실     명</v>
          </cell>
        </row>
      </sheetData>
      <sheetData sheetId="2129">
        <row r="2">
          <cell r="A2" t="str">
            <v>실     명</v>
          </cell>
        </row>
      </sheetData>
      <sheetData sheetId="2130">
        <row r="2">
          <cell r="A2" t="str">
            <v>실     명</v>
          </cell>
        </row>
      </sheetData>
      <sheetData sheetId="2131">
        <row r="2">
          <cell r="A2" t="str">
            <v>실     명</v>
          </cell>
        </row>
      </sheetData>
      <sheetData sheetId="2132">
        <row r="2">
          <cell r="A2" t="str">
            <v>실     명</v>
          </cell>
        </row>
      </sheetData>
      <sheetData sheetId="2133">
        <row r="2">
          <cell r="A2" t="str">
            <v>실     명</v>
          </cell>
        </row>
      </sheetData>
      <sheetData sheetId="2134">
        <row r="2">
          <cell r="A2" t="str">
            <v>실     명</v>
          </cell>
        </row>
      </sheetData>
      <sheetData sheetId="2135">
        <row r="2">
          <cell r="A2" t="str">
            <v>실     명</v>
          </cell>
        </row>
      </sheetData>
      <sheetData sheetId="2136">
        <row r="2">
          <cell r="A2" t="str">
            <v>실     명</v>
          </cell>
        </row>
      </sheetData>
      <sheetData sheetId="2137">
        <row r="2">
          <cell r="A2" t="str">
            <v>실     명</v>
          </cell>
        </row>
      </sheetData>
      <sheetData sheetId="2138">
        <row r="2">
          <cell r="A2" t="str">
            <v>실     명</v>
          </cell>
        </row>
      </sheetData>
      <sheetData sheetId="2139">
        <row r="2">
          <cell r="A2" t="str">
            <v>실     명</v>
          </cell>
        </row>
      </sheetData>
      <sheetData sheetId="2140">
        <row r="2">
          <cell r="A2" t="str">
            <v>실     명</v>
          </cell>
        </row>
      </sheetData>
      <sheetData sheetId="2141">
        <row r="2">
          <cell r="A2" t="str">
            <v>실     명</v>
          </cell>
        </row>
      </sheetData>
      <sheetData sheetId="2142">
        <row r="2">
          <cell r="A2" t="str">
            <v>실     명</v>
          </cell>
        </row>
      </sheetData>
      <sheetData sheetId="2143">
        <row r="2">
          <cell r="A2" t="str">
            <v>실     명</v>
          </cell>
        </row>
      </sheetData>
      <sheetData sheetId="2144">
        <row r="2">
          <cell r="A2" t="str">
            <v>실     명</v>
          </cell>
        </row>
      </sheetData>
      <sheetData sheetId="2145">
        <row r="2">
          <cell r="A2" t="str">
            <v>실     명</v>
          </cell>
        </row>
      </sheetData>
      <sheetData sheetId="2146">
        <row r="2">
          <cell r="A2" t="str">
            <v>실     명</v>
          </cell>
        </row>
      </sheetData>
      <sheetData sheetId="2147">
        <row r="2">
          <cell r="A2" t="str">
            <v>실     명</v>
          </cell>
        </row>
      </sheetData>
      <sheetData sheetId="2148">
        <row r="2">
          <cell r="A2" t="str">
            <v>실     명</v>
          </cell>
        </row>
      </sheetData>
      <sheetData sheetId="2149">
        <row r="2">
          <cell r="A2" t="str">
            <v>실     명</v>
          </cell>
        </row>
      </sheetData>
      <sheetData sheetId="2150">
        <row r="2">
          <cell r="A2" t="str">
            <v>실     명</v>
          </cell>
        </row>
      </sheetData>
      <sheetData sheetId="2151">
        <row r="2">
          <cell r="A2" t="str">
            <v>실     명</v>
          </cell>
        </row>
      </sheetData>
      <sheetData sheetId="2152">
        <row r="2">
          <cell r="A2" t="str">
            <v>실     명</v>
          </cell>
        </row>
      </sheetData>
      <sheetData sheetId="2153">
        <row r="2">
          <cell r="A2" t="str">
            <v>실     명</v>
          </cell>
        </row>
      </sheetData>
      <sheetData sheetId="2154">
        <row r="2">
          <cell r="A2" t="str">
            <v>실     명</v>
          </cell>
        </row>
      </sheetData>
      <sheetData sheetId="2155">
        <row r="2">
          <cell r="A2" t="str">
            <v>실     명</v>
          </cell>
        </row>
      </sheetData>
      <sheetData sheetId="2156">
        <row r="2">
          <cell r="A2" t="str">
            <v>실     명</v>
          </cell>
        </row>
      </sheetData>
      <sheetData sheetId="2157">
        <row r="2">
          <cell r="A2" t="str">
            <v>실     명</v>
          </cell>
        </row>
      </sheetData>
      <sheetData sheetId="2158">
        <row r="2">
          <cell r="A2" t="str">
            <v>실     명</v>
          </cell>
        </row>
      </sheetData>
      <sheetData sheetId="2159">
        <row r="2">
          <cell r="A2" t="str">
            <v>실     명</v>
          </cell>
        </row>
      </sheetData>
      <sheetData sheetId="2160">
        <row r="2">
          <cell r="A2" t="str">
            <v>실     명</v>
          </cell>
        </row>
      </sheetData>
      <sheetData sheetId="2161">
        <row r="2">
          <cell r="A2" t="str">
            <v>실     명</v>
          </cell>
        </row>
      </sheetData>
      <sheetData sheetId="2162">
        <row r="2">
          <cell r="A2" t="str">
            <v>실     명</v>
          </cell>
        </row>
      </sheetData>
      <sheetData sheetId="2163">
        <row r="2">
          <cell r="A2" t="str">
            <v>실     명</v>
          </cell>
        </row>
      </sheetData>
      <sheetData sheetId="2164">
        <row r="2">
          <cell r="A2" t="str">
            <v>실     명</v>
          </cell>
        </row>
      </sheetData>
      <sheetData sheetId="2165">
        <row r="2">
          <cell r="A2" t="str">
            <v>실     명</v>
          </cell>
        </row>
      </sheetData>
      <sheetData sheetId="2166">
        <row r="2">
          <cell r="A2" t="str">
            <v>실     명</v>
          </cell>
        </row>
      </sheetData>
      <sheetData sheetId="2167">
        <row r="2">
          <cell r="A2" t="str">
            <v>실     명</v>
          </cell>
        </row>
      </sheetData>
      <sheetData sheetId="2168">
        <row r="2">
          <cell r="A2" t="str">
            <v>실     명</v>
          </cell>
        </row>
      </sheetData>
      <sheetData sheetId="2169">
        <row r="2">
          <cell r="A2" t="str">
            <v>실     명</v>
          </cell>
        </row>
      </sheetData>
      <sheetData sheetId="2170">
        <row r="2">
          <cell r="A2" t="str">
            <v>실     명</v>
          </cell>
        </row>
      </sheetData>
      <sheetData sheetId="2171">
        <row r="2">
          <cell r="A2" t="str">
            <v>실     명</v>
          </cell>
        </row>
      </sheetData>
      <sheetData sheetId="2172">
        <row r="2">
          <cell r="A2" t="str">
            <v>실     명</v>
          </cell>
        </row>
      </sheetData>
      <sheetData sheetId="2173">
        <row r="2">
          <cell r="A2" t="str">
            <v>실     명</v>
          </cell>
        </row>
      </sheetData>
      <sheetData sheetId="2174">
        <row r="2">
          <cell r="A2" t="str">
            <v>실     명</v>
          </cell>
        </row>
      </sheetData>
      <sheetData sheetId="2175">
        <row r="2">
          <cell r="A2" t="str">
            <v>실     명</v>
          </cell>
        </row>
      </sheetData>
      <sheetData sheetId="2176">
        <row r="2">
          <cell r="A2" t="str">
            <v>실     명</v>
          </cell>
        </row>
      </sheetData>
      <sheetData sheetId="2177">
        <row r="2">
          <cell r="A2" t="str">
            <v>실     명</v>
          </cell>
        </row>
      </sheetData>
      <sheetData sheetId="2178">
        <row r="2">
          <cell r="A2" t="str">
            <v>실     명</v>
          </cell>
        </row>
      </sheetData>
      <sheetData sheetId="2179">
        <row r="2">
          <cell r="A2" t="str">
            <v>실     명</v>
          </cell>
        </row>
      </sheetData>
      <sheetData sheetId="2180">
        <row r="2">
          <cell r="A2" t="str">
            <v>실     명</v>
          </cell>
        </row>
      </sheetData>
      <sheetData sheetId="2181">
        <row r="2">
          <cell r="A2" t="str">
            <v>실     명</v>
          </cell>
        </row>
      </sheetData>
      <sheetData sheetId="2182">
        <row r="2">
          <cell r="A2" t="str">
            <v>실     명</v>
          </cell>
        </row>
      </sheetData>
      <sheetData sheetId="2183">
        <row r="2">
          <cell r="A2" t="str">
            <v>실     명</v>
          </cell>
        </row>
      </sheetData>
      <sheetData sheetId="2184">
        <row r="2">
          <cell r="A2" t="str">
            <v>실     명</v>
          </cell>
        </row>
      </sheetData>
      <sheetData sheetId="2185">
        <row r="2">
          <cell r="A2" t="str">
            <v>실     명</v>
          </cell>
        </row>
      </sheetData>
      <sheetData sheetId="2186">
        <row r="2">
          <cell r="A2" t="str">
            <v>실     명</v>
          </cell>
        </row>
      </sheetData>
      <sheetData sheetId="2187">
        <row r="2">
          <cell r="A2" t="str">
            <v>실     명</v>
          </cell>
        </row>
      </sheetData>
      <sheetData sheetId="2188">
        <row r="2">
          <cell r="A2" t="str">
            <v>실     명</v>
          </cell>
        </row>
      </sheetData>
      <sheetData sheetId="2189">
        <row r="2">
          <cell r="A2" t="str">
            <v>실     명</v>
          </cell>
        </row>
      </sheetData>
      <sheetData sheetId="2190">
        <row r="2">
          <cell r="A2" t="str">
            <v>실     명</v>
          </cell>
        </row>
      </sheetData>
      <sheetData sheetId="2191">
        <row r="2">
          <cell r="A2" t="str">
            <v>실     명</v>
          </cell>
        </row>
      </sheetData>
      <sheetData sheetId="2192">
        <row r="2">
          <cell r="A2" t="str">
            <v>실     명</v>
          </cell>
        </row>
      </sheetData>
      <sheetData sheetId="2193">
        <row r="2">
          <cell r="A2" t="str">
            <v>실     명</v>
          </cell>
        </row>
      </sheetData>
      <sheetData sheetId="2194">
        <row r="2">
          <cell r="A2" t="str">
            <v>실     명</v>
          </cell>
        </row>
      </sheetData>
      <sheetData sheetId="2195">
        <row r="2">
          <cell r="A2" t="str">
            <v>실     명</v>
          </cell>
        </row>
      </sheetData>
      <sheetData sheetId="2196">
        <row r="2">
          <cell r="A2" t="str">
            <v>실     명</v>
          </cell>
        </row>
      </sheetData>
      <sheetData sheetId="2197">
        <row r="2">
          <cell r="A2" t="str">
            <v>실     명</v>
          </cell>
        </row>
      </sheetData>
      <sheetData sheetId="2198">
        <row r="2">
          <cell r="A2" t="str">
            <v>실     명</v>
          </cell>
        </row>
      </sheetData>
      <sheetData sheetId="2199">
        <row r="2">
          <cell r="A2" t="str">
            <v>실     명</v>
          </cell>
        </row>
      </sheetData>
      <sheetData sheetId="2200">
        <row r="2">
          <cell r="A2" t="str">
            <v>실     명</v>
          </cell>
        </row>
      </sheetData>
      <sheetData sheetId="2201">
        <row r="2">
          <cell r="A2" t="str">
            <v>실     명</v>
          </cell>
        </row>
      </sheetData>
      <sheetData sheetId="2202">
        <row r="2">
          <cell r="A2" t="str">
            <v>실     명</v>
          </cell>
        </row>
      </sheetData>
      <sheetData sheetId="2203">
        <row r="2">
          <cell r="A2" t="str">
            <v>실     명</v>
          </cell>
        </row>
      </sheetData>
      <sheetData sheetId="2204">
        <row r="2">
          <cell r="A2" t="str">
            <v>실     명</v>
          </cell>
        </row>
      </sheetData>
      <sheetData sheetId="2205">
        <row r="2">
          <cell r="A2" t="str">
            <v>실     명</v>
          </cell>
        </row>
      </sheetData>
      <sheetData sheetId="2206">
        <row r="2">
          <cell r="A2" t="str">
            <v>실     명</v>
          </cell>
        </row>
      </sheetData>
      <sheetData sheetId="2207">
        <row r="2">
          <cell r="A2" t="str">
            <v>실     명</v>
          </cell>
        </row>
      </sheetData>
      <sheetData sheetId="2208">
        <row r="2">
          <cell r="A2" t="str">
            <v>실     명</v>
          </cell>
        </row>
      </sheetData>
      <sheetData sheetId="2209">
        <row r="2">
          <cell r="A2" t="str">
            <v>실     명</v>
          </cell>
        </row>
      </sheetData>
      <sheetData sheetId="2210">
        <row r="2">
          <cell r="A2" t="str">
            <v>실     명</v>
          </cell>
        </row>
      </sheetData>
      <sheetData sheetId="2211">
        <row r="2">
          <cell r="A2" t="str">
            <v>실     명</v>
          </cell>
        </row>
      </sheetData>
      <sheetData sheetId="2212">
        <row r="2">
          <cell r="A2" t="str">
            <v>실     명</v>
          </cell>
        </row>
      </sheetData>
      <sheetData sheetId="2213">
        <row r="2">
          <cell r="A2" t="str">
            <v>실     명</v>
          </cell>
        </row>
      </sheetData>
      <sheetData sheetId="2214">
        <row r="2">
          <cell r="A2" t="str">
            <v>실     명</v>
          </cell>
        </row>
      </sheetData>
      <sheetData sheetId="2215">
        <row r="2">
          <cell r="A2" t="str">
            <v>실     명</v>
          </cell>
        </row>
      </sheetData>
      <sheetData sheetId="2216">
        <row r="2">
          <cell r="A2" t="str">
            <v>실     명</v>
          </cell>
        </row>
      </sheetData>
      <sheetData sheetId="2217">
        <row r="2">
          <cell r="A2" t="str">
            <v>실     명</v>
          </cell>
        </row>
      </sheetData>
      <sheetData sheetId="2218">
        <row r="2">
          <cell r="A2" t="str">
            <v>실     명</v>
          </cell>
        </row>
      </sheetData>
      <sheetData sheetId="2219">
        <row r="2">
          <cell r="A2" t="str">
            <v>실     명</v>
          </cell>
        </row>
      </sheetData>
      <sheetData sheetId="2220">
        <row r="2">
          <cell r="A2" t="str">
            <v>실     명</v>
          </cell>
        </row>
      </sheetData>
      <sheetData sheetId="2221">
        <row r="2">
          <cell r="A2" t="str">
            <v>실     명</v>
          </cell>
        </row>
      </sheetData>
      <sheetData sheetId="2222">
        <row r="2">
          <cell r="A2" t="str">
            <v>실     명</v>
          </cell>
        </row>
      </sheetData>
      <sheetData sheetId="2223">
        <row r="2">
          <cell r="A2" t="str">
            <v>실     명</v>
          </cell>
        </row>
      </sheetData>
      <sheetData sheetId="2224">
        <row r="2">
          <cell r="A2" t="str">
            <v>실     명</v>
          </cell>
        </row>
      </sheetData>
      <sheetData sheetId="2225">
        <row r="2">
          <cell r="A2" t="str">
            <v>실     명</v>
          </cell>
        </row>
      </sheetData>
      <sheetData sheetId="2226">
        <row r="2">
          <cell r="A2" t="str">
            <v>실     명</v>
          </cell>
        </row>
      </sheetData>
      <sheetData sheetId="2227">
        <row r="2">
          <cell r="A2" t="str">
            <v>실     명</v>
          </cell>
        </row>
      </sheetData>
      <sheetData sheetId="2228">
        <row r="2">
          <cell r="A2" t="str">
            <v>실     명</v>
          </cell>
        </row>
      </sheetData>
      <sheetData sheetId="2229">
        <row r="2">
          <cell r="A2" t="str">
            <v>실     명</v>
          </cell>
        </row>
      </sheetData>
      <sheetData sheetId="2230">
        <row r="2">
          <cell r="A2" t="str">
            <v>실     명</v>
          </cell>
        </row>
      </sheetData>
      <sheetData sheetId="2231">
        <row r="2">
          <cell r="A2" t="str">
            <v>실     명</v>
          </cell>
        </row>
      </sheetData>
      <sheetData sheetId="2232">
        <row r="2">
          <cell r="A2" t="str">
            <v>실     명</v>
          </cell>
        </row>
      </sheetData>
      <sheetData sheetId="2233">
        <row r="2">
          <cell r="A2" t="str">
            <v>실     명</v>
          </cell>
        </row>
      </sheetData>
      <sheetData sheetId="2234">
        <row r="2">
          <cell r="A2" t="str">
            <v>실     명</v>
          </cell>
        </row>
      </sheetData>
      <sheetData sheetId="2235">
        <row r="2">
          <cell r="A2" t="str">
            <v>실     명</v>
          </cell>
        </row>
      </sheetData>
      <sheetData sheetId="2236">
        <row r="2">
          <cell r="A2" t="str">
            <v>실     명</v>
          </cell>
        </row>
      </sheetData>
      <sheetData sheetId="2237">
        <row r="2">
          <cell r="A2" t="str">
            <v>실     명</v>
          </cell>
        </row>
      </sheetData>
      <sheetData sheetId="2238">
        <row r="2">
          <cell r="A2" t="str">
            <v>실     명</v>
          </cell>
        </row>
      </sheetData>
      <sheetData sheetId="2239">
        <row r="2">
          <cell r="A2" t="str">
            <v>실     명</v>
          </cell>
        </row>
      </sheetData>
      <sheetData sheetId="2240">
        <row r="2">
          <cell r="A2" t="str">
            <v>실     명</v>
          </cell>
        </row>
      </sheetData>
      <sheetData sheetId="2241">
        <row r="2">
          <cell r="A2" t="str">
            <v>실     명</v>
          </cell>
        </row>
      </sheetData>
      <sheetData sheetId="2242">
        <row r="2">
          <cell r="A2" t="str">
            <v>실     명</v>
          </cell>
        </row>
      </sheetData>
      <sheetData sheetId="2243">
        <row r="2">
          <cell r="A2" t="str">
            <v>실     명</v>
          </cell>
        </row>
      </sheetData>
      <sheetData sheetId="2244">
        <row r="2">
          <cell r="A2" t="str">
            <v>실     명</v>
          </cell>
        </row>
      </sheetData>
      <sheetData sheetId="2245">
        <row r="2">
          <cell r="A2" t="str">
            <v>실     명</v>
          </cell>
        </row>
      </sheetData>
      <sheetData sheetId="2246">
        <row r="2">
          <cell r="A2" t="str">
            <v>실     명</v>
          </cell>
        </row>
      </sheetData>
      <sheetData sheetId="2247">
        <row r="2">
          <cell r="A2" t="str">
            <v>실     명</v>
          </cell>
        </row>
      </sheetData>
      <sheetData sheetId="2248">
        <row r="2">
          <cell r="A2" t="str">
            <v>실     명</v>
          </cell>
        </row>
      </sheetData>
      <sheetData sheetId="2249">
        <row r="2">
          <cell r="A2" t="str">
            <v>실     명</v>
          </cell>
        </row>
      </sheetData>
      <sheetData sheetId="2250">
        <row r="2">
          <cell r="A2" t="str">
            <v>실     명</v>
          </cell>
        </row>
      </sheetData>
      <sheetData sheetId="2251">
        <row r="2">
          <cell r="A2" t="str">
            <v>실     명</v>
          </cell>
        </row>
      </sheetData>
      <sheetData sheetId="2252">
        <row r="2">
          <cell r="A2" t="str">
            <v>실     명</v>
          </cell>
        </row>
      </sheetData>
      <sheetData sheetId="2253">
        <row r="2">
          <cell r="A2" t="str">
            <v>실     명</v>
          </cell>
        </row>
      </sheetData>
      <sheetData sheetId="2254">
        <row r="2">
          <cell r="A2" t="str">
            <v>실     명</v>
          </cell>
        </row>
      </sheetData>
      <sheetData sheetId="2255">
        <row r="2">
          <cell r="A2" t="str">
            <v>실     명</v>
          </cell>
        </row>
      </sheetData>
      <sheetData sheetId="2256">
        <row r="2">
          <cell r="A2" t="str">
            <v>실     명</v>
          </cell>
        </row>
      </sheetData>
      <sheetData sheetId="2257">
        <row r="2">
          <cell r="A2" t="str">
            <v>실     명</v>
          </cell>
        </row>
      </sheetData>
      <sheetData sheetId="2258">
        <row r="2">
          <cell r="A2" t="str">
            <v>실     명</v>
          </cell>
        </row>
      </sheetData>
      <sheetData sheetId="2259">
        <row r="2">
          <cell r="A2" t="str">
            <v>실     명</v>
          </cell>
        </row>
      </sheetData>
      <sheetData sheetId="2260">
        <row r="2">
          <cell r="A2" t="str">
            <v>실     명</v>
          </cell>
        </row>
      </sheetData>
      <sheetData sheetId="2261">
        <row r="2">
          <cell r="A2" t="str">
            <v>실     명</v>
          </cell>
        </row>
      </sheetData>
      <sheetData sheetId="2262">
        <row r="2">
          <cell r="A2" t="str">
            <v>실     명</v>
          </cell>
        </row>
      </sheetData>
      <sheetData sheetId="2263">
        <row r="2">
          <cell r="A2" t="str">
            <v>실     명</v>
          </cell>
        </row>
      </sheetData>
      <sheetData sheetId="2264">
        <row r="2">
          <cell r="A2" t="str">
            <v>실     명</v>
          </cell>
        </row>
      </sheetData>
      <sheetData sheetId="2265">
        <row r="2">
          <cell r="A2" t="str">
            <v>실     명</v>
          </cell>
        </row>
      </sheetData>
      <sheetData sheetId="2266">
        <row r="2">
          <cell r="A2" t="str">
            <v>실     명</v>
          </cell>
        </row>
      </sheetData>
      <sheetData sheetId="2267">
        <row r="2">
          <cell r="A2" t="str">
            <v>실     명</v>
          </cell>
        </row>
      </sheetData>
      <sheetData sheetId="2268">
        <row r="2">
          <cell r="A2" t="str">
            <v>실     명</v>
          </cell>
        </row>
      </sheetData>
      <sheetData sheetId="2269">
        <row r="2">
          <cell r="A2" t="str">
            <v>실     명</v>
          </cell>
        </row>
      </sheetData>
      <sheetData sheetId="2270">
        <row r="2">
          <cell r="A2" t="str">
            <v>실     명</v>
          </cell>
        </row>
      </sheetData>
      <sheetData sheetId="2271">
        <row r="2">
          <cell r="A2" t="str">
            <v>실     명</v>
          </cell>
        </row>
      </sheetData>
      <sheetData sheetId="2272">
        <row r="2">
          <cell r="A2" t="str">
            <v>실     명</v>
          </cell>
        </row>
      </sheetData>
      <sheetData sheetId="2273">
        <row r="2">
          <cell r="A2" t="str">
            <v>실     명</v>
          </cell>
        </row>
      </sheetData>
      <sheetData sheetId="2274">
        <row r="2">
          <cell r="A2" t="str">
            <v>실     명</v>
          </cell>
        </row>
      </sheetData>
      <sheetData sheetId="2275">
        <row r="2">
          <cell r="A2" t="str">
            <v>실     명</v>
          </cell>
        </row>
      </sheetData>
      <sheetData sheetId="2276">
        <row r="2">
          <cell r="A2" t="str">
            <v>실     명</v>
          </cell>
        </row>
      </sheetData>
      <sheetData sheetId="2277">
        <row r="2">
          <cell r="A2" t="str">
            <v>실     명</v>
          </cell>
        </row>
      </sheetData>
      <sheetData sheetId="2278">
        <row r="2">
          <cell r="A2" t="str">
            <v>실     명</v>
          </cell>
        </row>
      </sheetData>
      <sheetData sheetId="2279">
        <row r="2">
          <cell r="A2" t="str">
            <v>실     명</v>
          </cell>
        </row>
      </sheetData>
      <sheetData sheetId="2280">
        <row r="2">
          <cell r="A2" t="str">
            <v>실     명</v>
          </cell>
        </row>
      </sheetData>
      <sheetData sheetId="2281">
        <row r="2">
          <cell r="A2" t="str">
            <v>실     명</v>
          </cell>
        </row>
      </sheetData>
      <sheetData sheetId="2282">
        <row r="2">
          <cell r="A2" t="str">
            <v>실     명</v>
          </cell>
        </row>
      </sheetData>
      <sheetData sheetId="2283">
        <row r="2">
          <cell r="A2" t="str">
            <v>실     명</v>
          </cell>
        </row>
      </sheetData>
      <sheetData sheetId="2284">
        <row r="2">
          <cell r="A2" t="str">
            <v>실     명</v>
          </cell>
        </row>
      </sheetData>
      <sheetData sheetId="2285">
        <row r="2">
          <cell r="A2" t="str">
            <v>실     명</v>
          </cell>
        </row>
      </sheetData>
      <sheetData sheetId="2286">
        <row r="2">
          <cell r="A2" t="str">
            <v>실     명</v>
          </cell>
        </row>
      </sheetData>
      <sheetData sheetId="2287">
        <row r="2">
          <cell r="A2" t="str">
            <v>실     명</v>
          </cell>
        </row>
      </sheetData>
      <sheetData sheetId="2288">
        <row r="2">
          <cell r="A2" t="str">
            <v>실     명</v>
          </cell>
        </row>
      </sheetData>
      <sheetData sheetId="2289">
        <row r="2">
          <cell r="A2" t="str">
            <v>실     명</v>
          </cell>
        </row>
      </sheetData>
      <sheetData sheetId="2290">
        <row r="2">
          <cell r="A2" t="str">
            <v>실     명</v>
          </cell>
        </row>
      </sheetData>
      <sheetData sheetId="2291">
        <row r="2">
          <cell r="A2" t="str">
            <v>실     명</v>
          </cell>
        </row>
      </sheetData>
      <sheetData sheetId="2292">
        <row r="2">
          <cell r="A2" t="str">
            <v>실     명</v>
          </cell>
        </row>
      </sheetData>
      <sheetData sheetId="2293">
        <row r="2">
          <cell r="A2" t="str">
            <v>실     명</v>
          </cell>
        </row>
      </sheetData>
      <sheetData sheetId="2294">
        <row r="2">
          <cell r="A2" t="str">
            <v>실     명</v>
          </cell>
        </row>
      </sheetData>
      <sheetData sheetId="2295">
        <row r="2">
          <cell r="A2" t="str">
            <v>실     명</v>
          </cell>
        </row>
      </sheetData>
      <sheetData sheetId="2296">
        <row r="2">
          <cell r="A2" t="str">
            <v>실     명</v>
          </cell>
        </row>
      </sheetData>
      <sheetData sheetId="2297">
        <row r="2">
          <cell r="A2" t="str">
            <v>실     명</v>
          </cell>
        </row>
      </sheetData>
      <sheetData sheetId="2298">
        <row r="2">
          <cell r="A2" t="str">
            <v>실     명</v>
          </cell>
        </row>
      </sheetData>
      <sheetData sheetId="2299">
        <row r="2">
          <cell r="A2" t="str">
            <v>실     명</v>
          </cell>
        </row>
      </sheetData>
      <sheetData sheetId="2300">
        <row r="2">
          <cell r="A2" t="str">
            <v>실     명</v>
          </cell>
        </row>
      </sheetData>
      <sheetData sheetId="2301">
        <row r="2">
          <cell r="A2" t="str">
            <v>실     명</v>
          </cell>
        </row>
      </sheetData>
      <sheetData sheetId="2302">
        <row r="2">
          <cell r="A2" t="str">
            <v>실     명</v>
          </cell>
        </row>
      </sheetData>
      <sheetData sheetId="2303">
        <row r="2">
          <cell r="A2" t="str">
            <v>실     명</v>
          </cell>
        </row>
      </sheetData>
      <sheetData sheetId="2304">
        <row r="2">
          <cell r="A2" t="str">
            <v>실     명</v>
          </cell>
        </row>
      </sheetData>
      <sheetData sheetId="2305">
        <row r="2">
          <cell r="A2" t="str">
            <v>실     명</v>
          </cell>
        </row>
      </sheetData>
      <sheetData sheetId="2306">
        <row r="2">
          <cell r="A2" t="str">
            <v>실     명</v>
          </cell>
        </row>
      </sheetData>
      <sheetData sheetId="2307">
        <row r="2">
          <cell r="A2" t="str">
            <v>실     명</v>
          </cell>
        </row>
      </sheetData>
      <sheetData sheetId="2308">
        <row r="2">
          <cell r="A2" t="str">
            <v>실     명</v>
          </cell>
        </row>
      </sheetData>
      <sheetData sheetId="2309">
        <row r="2">
          <cell r="A2" t="str">
            <v>실     명</v>
          </cell>
        </row>
      </sheetData>
      <sheetData sheetId="2310">
        <row r="2">
          <cell r="A2" t="str">
            <v>실     명</v>
          </cell>
        </row>
      </sheetData>
      <sheetData sheetId="2311">
        <row r="2">
          <cell r="A2" t="str">
            <v>실     명</v>
          </cell>
        </row>
      </sheetData>
      <sheetData sheetId="2312">
        <row r="2">
          <cell r="A2" t="str">
            <v>실     명</v>
          </cell>
        </row>
      </sheetData>
      <sheetData sheetId="2313">
        <row r="2">
          <cell r="A2" t="str">
            <v>실     명</v>
          </cell>
        </row>
      </sheetData>
      <sheetData sheetId="2314">
        <row r="2">
          <cell r="A2" t="str">
            <v>실     명</v>
          </cell>
        </row>
      </sheetData>
      <sheetData sheetId="2315">
        <row r="2">
          <cell r="A2" t="str">
            <v>실     명</v>
          </cell>
        </row>
      </sheetData>
      <sheetData sheetId="2316">
        <row r="2">
          <cell r="A2" t="str">
            <v>실     명</v>
          </cell>
        </row>
      </sheetData>
      <sheetData sheetId="2317">
        <row r="2">
          <cell r="A2" t="str">
            <v>실     명</v>
          </cell>
        </row>
      </sheetData>
      <sheetData sheetId="2318">
        <row r="2">
          <cell r="A2" t="str">
            <v>실     명</v>
          </cell>
        </row>
      </sheetData>
      <sheetData sheetId="2319">
        <row r="2">
          <cell r="A2" t="str">
            <v>실     명</v>
          </cell>
        </row>
      </sheetData>
      <sheetData sheetId="2320">
        <row r="2">
          <cell r="A2" t="str">
            <v>실     명</v>
          </cell>
        </row>
      </sheetData>
      <sheetData sheetId="2321">
        <row r="2">
          <cell r="A2" t="str">
            <v>실     명</v>
          </cell>
        </row>
      </sheetData>
      <sheetData sheetId="2322">
        <row r="2">
          <cell r="A2" t="str">
            <v>실     명</v>
          </cell>
        </row>
      </sheetData>
      <sheetData sheetId="2323">
        <row r="2">
          <cell r="A2" t="str">
            <v>실     명</v>
          </cell>
        </row>
      </sheetData>
      <sheetData sheetId="2324">
        <row r="2">
          <cell r="A2" t="str">
            <v>실     명</v>
          </cell>
        </row>
      </sheetData>
      <sheetData sheetId="2325">
        <row r="2">
          <cell r="A2" t="str">
            <v>실     명</v>
          </cell>
        </row>
      </sheetData>
      <sheetData sheetId="2326">
        <row r="2">
          <cell r="A2" t="str">
            <v>실     명</v>
          </cell>
        </row>
      </sheetData>
      <sheetData sheetId="2327">
        <row r="2">
          <cell r="A2" t="str">
            <v>실     명</v>
          </cell>
        </row>
      </sheetData>
      <sheetData sheetId="2328">
        <row r="2">
          <cell r="A2" t="str">
            <v>실     명</v>
          </cell>
        </row>
      </sheetData>
      <sheetData sheetId="2329">
        <row r="2">
          <cell r="A2" t="str">
            <v>실     명</v>
          </cell>
        </row>
      </sheetData>
      <sheetData sheetId="2330">
        <row r="2">
          <cell r="A2" t="str">
            <v>실     명</v>
          </cell>
        </row>
      </sheetData>
      <sheetData sheetId="2331">
        <row r="2">
          <cell r="A2" t="str">
            <v>실     명</v>
          </cell>
        </row>
      </sheetData>
      <sheetData sheetId="2332">
        <row r="2">
          <cell r="A2" t="str">
            <v>실     명</v>
          </cell>
        </row>
      </sheetData>
      <sheetData sheetId="2333">
        <row r="2">
          <cell r="A2" t="str">
            <v>실     명</v>
          </cell>
        </row>
      </sheetData>
      <sheetData sheetId="2334">
        <row r="2">
          <cell r="A2" t="str">
            <v>실     명</v>
          </cell>
        </row>
      </sheetData>
      <sheetData sheetId="2335">
        <row r="2">
          <cell r="A2" t="str">
            <v>실     명</v>
          </cell>
        </row>
      </sheetData>
      <sheetData sheetId="2336">
        <row r="2">
          <cell r="A2" t="str">
            <v>실     명</v>
          </cell>
        </row>
      </sheetData>
      <sheetData sheetId="2337">
        <row r="2">
          <cell r="A2" t="str">
            <v>실     명</v>
          </cell>
        </row>
      </sheetData>
      <sheetData sheetId="2338">
        <row r="2">
          <cell r="A2" t="str">
            <v>실     명</v>
          </cell>
        </row>
      </sheetData>
      <sheetData sheetId="2339">
        <row r="2">
          <cell r="A2" t="str">
            <v>실     명</v>
          </cell>
        </row>
      </sheetData>
      <sheetData sheetId="2340">
        <row r="2">
          <cell r="A2" t="str">
            <v>실     명</v>
          </cell>
        </row>
      </sheetData>
      <sheetData sheetId="2341">
        <row r="2">
          <cell r="A2" t="str">
            <v>실     명</v>
          </cell>
        </row>
      </sheetData>
      <sheetData sheetId="2342">
        <row r="2">
          <cell r="A2" t="str">
            <v>실     명</v>
          </cell>
        </row>
      </sheetData>
      <sheetData sheetId="2343">
        <row r="2">
          <cell r="A2" t="str">
            <v>실     명</v>
          </cell>
        </row>
      </sheetData>
      <sheetData sheetId="2344">
        <row r="2">
          <cell r="A2" t="str">
            <v>실     명</v>
          </cell>
        </row>
      </sheetData>
      <sheetData sheetId="2345">
        <row r="2">
          <cell r="A2" t="str">
            <v>실     명</v>
          </cell>
        </row>
      </sheetData>
      <sheetData sheetId="2346">
        <row r="2">
          <cell r="A2" t="str">
            <v>실     명</v>
          </cell>
        </row>
      </sheetData>
      <sheetData sheetId="2347">
        <row r="2">
          <cell r="A2" t="str">
            <v>실     명</v>
          </cell>
        </row>
      </sheetData>
      <sheetData sheetId="2348">
        <row r="2">
          <cell r="A2" t="str">
            <v>실     명</v>
          </cell>
        </row>
      </sheetData>
      <sheetData sheetId="2349">
        <row r="2">
          <cell r="A2" t="str">
            <v>실     명</v>
          </cell>
        </row>
      </sheetData>
      <sheetData sheetId="2350">
        <row r="2">
          <cell r="A2" t="str">
            <v>실     명</v>
          </cell>
        </row>
      </sheetData>
      <sheetData sheetId="2351">
        <row r="2">
          <cell r="A2" t="str">
            <v>실     명</v>
          </cell>
        </row>
      </sheetData>
      <sheetData sheetId="2352">
        <row r="2">
          <cell r="A2" t="str">
            <v>실     명</v>
          </cell>
        </row>
      </sheetData>
      <sheetData sheetId="2353">
        <row r="2">
          <cell r="A2" t="str">
            <v>실     명</v>
          </cell>
        </row>
      </sheetData>
      <sheetData sheetId="2354">
        <row r="2">
          <cell r="A2" t="str">
            <v>실     명</v>
          </cell>
        </row>
      </sheetData>
      <sheetData sheetId="2355">
        <row r="2">
          <cell r="A2" t="str">
            <v>실     명</v>
          </cell>
        </row>
      </sheetData>
      <sheetData sheetId="2356">
        <row r="2">
          <cell r="A2" t="str">
            <v>실     명</v>
          </cell>
        </row>
      </sheetData>
      <sheetData sheetId="2357">
        <row r="2">
          <cell r="A2" t="str">
            <v>실     명</v>
          </cell>
        </row>
      </sheetData>
      <sheetData sheetId="2358">
        <row r="2">
          <cell r="A2" t="str">
            <v>실     명</v>
          </cell>
        </row>
      </sheetData>
      <sheetData sheetId="2359">
        <row r="2">
          <cell r="A2" t="str">
            <v>실     명</v>
          </cell>
        </row>
      </sheetData>
      <sheetData sheetId="2360">
        <row r="2">
          <cell r="A2" t="str">
            <v>실     명</v>
          </cell>
        </row>
      </sheetData>
      <sheetData sheetId="2361">
        <row r="2">
          <cell r="A2" t="str">
            <v>실     명</v>
          </cell>
        </row>
      </sheetData>
      <sheetData sheetId="2362">
        <row r="2">
          <cell r="A2" t="str">
            <v>실     명</v>
          </cell>
        </row>
      </sheetData>
      <sheetData sheetId="2363">
        <row r="2">
          <cell r="A2" t="str">
            <v>실     명</v>
          </cell>
        </row>
      </sheetData>
      <sheetData sheetId="2364">
        <row r="2">
          <cell r="A2" t="str">
            <v>실     명</v>
          </cell>
        </row>
      </sheetData>
      <sheetData sheetId="2365">
        <row r="2">
          <cell r="A2" t="str">
            <v>실     명</v>
          </cell>
        </row>
      </sheetData>
      <sheetData sheetId="2366">
        <row r="2">
          <cell r="A2" t="str">
            <v>실     명</v>
          </cell>
        </row>
      </sheetData>
      <sheetData sheetId="2367">
        <row r="2">
          <cell r="A2" t="str">
            <v>실     명</v>
          </cell>
        </row>
      </sheetData>
      <sheetData sheetId="2368">
        <row r="2">
          <cell r="A2" t="str">
            <v>실     명</v>
          </cell>
        </row>
      </sheetData>
      <sheetData sheetId="2369">
        <row r="2">
          <cell r="A2" t="str">
            <v>실     명</v>
          </cell>
        </row>
      </sheetData>
      <sheetData sheetId="2370">
        <row r="2">
          <cell r="A2" t="str">
            <v>실     명</v>
          </cell>
        </row>
      </sheetData>
      <sheetData sheetId="2371">
        <row r="2">
          <cell r="A2" t="str">
            <v>실     명</v>
          </cell>
        </row>
      </sheetData>
      <sheetData sheetId="2372">
        <row r="2">
          <cell r="A2" t="str">
            <v>실     명</v>
          </cell>
        </row>
      </sheetData>
      <sheetData sheetId="2373">
        <row r="2">
          <cell r="A2" t="str">
            <v>실     명</v>
          </cell>
        </row>
      </sheetData>
      <sheetData sheetId="2374">
        <row r="2">
          <cell r="A2" t="str">
            <v>실     명</v>
          </cell>
        </row>
      </sheetData>
      <sheetData sheetId="2375">
        <row r="2">
          <cell r="A2" t="str">
            <v>실     명</v>
          </cell>
        </row>
      </sheetData>
      <sheetData sheetId="2376">
        <row r="2">
          <cell r="A2" t="str">
            <v>실     명</v>
          </cell>
        </row>
      </sheetData>
      <sheetData sheetId="2377">
        <row r="2">
          <cell r="A2" t="str">
            <v>실     명</v>
          </cell>
        </row>
      </sheetData>
      <sheetData sheetId="2378">
        <row r="2">
          <cell r="A2" t="str">
            <v>실     명</v>
          </cell>
        </row>
      </sheetData>
      <sheetData sheetId="2379">
        <row r="2">
          <cell r="A2" t="str">
            <v>실     명</v>
          </cell>
        </row>
      </sheetData>
      <sheetData sheetId="2380">
        <row r="2">
          <cell r="A2" t="str">
            <v>실     명</v>
          </cell>
        </row>
      </sheetData>
      <sheetData sheetId="2381">
        <row r="2">
          <cell r="A2" t="str">
            <v>실     명</v>
          </cell>
        </row>
      </sheetData>
      <sheetData sheetId="2382">
        <row r="2">
          <cell r="A2" t="str">
            <v>실     명</v>
          </cell>
        </row>
      </sheetData>
      <sheetData sheetId="2383">
        <row r="2">
          <cell r="A2" t="str">
            <v>실     명</v>
          </cell>
        </row>
      </sheetData>
      <sheetData sheetId="2384">
        <row r="2">
          <cell r="A2" t="str">
            <v>실     명</v>
          </cell>
        </row>
      </sheetData>
      <sheetData sheetId="2385">
        <row r="2">
          <cell r="A2" t="str">
            <v>실     명</v>
          </cell>
        </row>
      </sheetData>
      <sheetData sheetId="2386">
        <row r="2">
          <cell r="A2" t="str">
            <v>실     명</v>
          </cell>
        </row>
      </sheetData>
      <sheetData sheetId="2387">
        <row r="2">
          <cell r="A2" t="str">
            <v>실     명</v>
          </cell>
        </row>
      </sheetData>
      <sheetData sheetId="2388">
        <row r="2">
          <cell r="A2" t="str">
            <v>실     명</v>
          </cell>
        </row>
      </sheetData>
      <sheetData sheetId="2389">
        <row r="2">
          <cell r="A2" t="str">
            <v>실     명</v>
          </cell>
        </row>
      </sheetData>
      <sheetData sheetId="2390">
        <row r="2">
          <cell r="A2" t="str">
            <v>실     명</v>
          </cell>
        </row>
      </sheetData>
      <sheetData sheetId="2391">
        <row r="2">
          <cell r="A2" t="str">
            <v>실     명</v>
          </cell>
        </row>
      </sheetData>
      <sheetData sheetId="2392">
        <row r="2">
          <cell r="A2" t="str">
            <v>실     명</v>
          </cell>
        </row>
      </sheetData>
      <sheetData sheetId="2393">
        <row r="2">
          <cell r="A2" t="str">
            <v>실     명</v>
          </cell>
        </row>
      </sheetData>
      <sheetData sheetId="2394">
        <row r="2">
          <cell r="A2" t="str">
            <v>실     명</v>
          </cell>
        </row>
      </sheetData>
      <sheetData sheetId="2395">
        <row r="2">
          <cell r="A2" t="str">
            <v>실     명</v>
          </cell>
        </row>
      </sheetData>
      <sheetData sheetId="2396">
        <row r="2">
          <cell r="A2" t="str">
            <v>실     명</v>
          </cell>
        </row>
      </sheetData>
      <sheetData sheetId="2397">
        <row r="2">
          <cell r="A2" t="str">
            <v>실     명</v>
          </cell>
        </row>
      </sheetData>
      <sheetData sheetId="2398">
        <row r="2">
          <cell r="A2" t="str">
            <v>실     명</v>
          </cell>
        </row>
      </sheetData>
      <sheetData sheetId="2399">
        <row r="2">
          <cell r="A2" t="str">
            <v>실     명</v>
          </cell>
        </row>
      </sheetData>
      <sheetData sheetId="2400">
        <row r="2">
          <cell r="A2" t="str">
            <v>실     명</v>
          </cell>
        </row>
      </sheetData>
      <sheetData sheetId="2401">
        <row r="2">
          <cell r="A2" t="str">
            <v>실     명</v>
          </cell>
        </row>
      </sheetData>
      <sheetData sheetId="2402">
        <row r="2">
          <cell r="A2" t="str">
            <v>실     명</v>
          </cell>
        </row>
      </sheetData>
      <sheetData sheetId="2403">
        <row r="2">
          <cell r="A2" t="str">
            <v>실     명</v>
          </cell>
        </row>
      </sheetData>
      <sheetData sheetId="2404">
        <row r="2">
          <cell r="A2" t="str">
            <v>실     명</v>
          </cell>
        </row>
      </sheetData>
      <sheetData sheetId="2405">
        <row r="2">
          <cell r="A2" t="str">
            <v>실     명</v>
          </cell>
        </row>
      </sheetData>
      <sheetData sheetId="2406">
        <row r="2">
          <cell r="A2" t="str">
            <v>실     명</v>
          </cell>
        </row>
      </sheetData>
      <sheetData sheetId="2407">
        <row r="2">
          <cell r="A2" t="str">
            <v>실     명</v>
          </cell>
        </row>
      </sheetData>
      <sheetData sheetId="2408">
        <row r="2">
          <cell r="A2" t="str">
            <v>실     명</v>
          </cell>
        </row>
      </sheetData>
      <sheetData sheetId="2409">
        <row r="2">
          <cell r="A2" t="str">
            <v>실     명</v>
          </cell>
        </row>
      </sheetData>
      <sheetData sheetId="2410">
        <row r="2">
          <cell r="A2" t="str">
            <v>실     명</v>
          </cell>
        </row>
      </sheetData>
      <sheetData sheetId="2411">
        <row r="2">
          <cell r="A2" t="str">
            <v>실     명</v>
          </cell>
        </row>
      </sheetData>
      <sheetData sheetId="2412">
        <row r="2">
          <cell r="A2" t="str">
            <v>실     명</v>
          </cell>
        </row>
      </sheetData>
      <sheetData sheetId="2413">
        <row r="2">
          <cell r="A2" t="str">
            <v>실     명</v>
          </cell>
        </row>
      </sheetData>
      <sheetData sheetId="2414">
        <row r="2">
          <cell r="A2" t="str">
            <v>실     명</v>
          </cell>
        </row>
      </sheetData>
      <sheetData sheetId="2415">
        <row r="2">
          <cell r="A2" t="str">
            <v>실     명</v>
          </cell>
        </row>
      </sheetData>
      <sheetData sheetId="2416">
        <row r="2">
          <cell r="A2" t="str">
            <v>실     명</v>
          </cell>
        </row>
      </sheetData>
      <sheetData sheetId="2417">
        <row r="2">
          <cell r="A2" t="str">
            <v>실     명</v>
          </cell>
        </row>
      </sheetData>
      <sheetData sheetId="2418">
        <row r="2">
          <cell r="A2" t="str">
            <v>실     명</v>
          </cell>
        </row>
      </sheetData>
      <sheetData sheetId="2419">
        <row r="2">
          <cell r="A2" t="str">
            <v>실     명</v>
          </cell>
        </row>
      </sheetData>
      <sheetData sheetId="2420">
        <row r="2">
          <cell r="A2" t="str">
            <v>실     명</v>
          </cell>
        </row>
      </sheetData>
      <sheetData sheetId="2421">
        <row r="2">
          <cell r="A2" t="str">
            <v>실     명</v>
          </cell>
        </row>
      </sheetData>
      <sheetData sheetId="2422">
        <row r="2">
          <cell r="A2" t="str">
            <v>실     명</v>
          </cell>
        </row>
      </sheetData>
      <sheetData sheetId="2423">
        <row r="2">
          <cell r="A2" t="str">
            <v>실     명</v>
          </cell>
        </row>
      </sheetData>
      <sheetData sheetId="2424">
        <row r="2">
          <cell r="A2" t="str">
            <v>실     명</v>
          </cell>
        </row>
      </sheetData>
      <sheetData sheetId="2425">
        <row r="2">
          <cell r="A2" t="str">
            <v>실     명</v>
          </cell>
        </row>
      </sheetData>
      <sheetData sheetId="2426">
        <row r="2">
          <cell r="A2" t="str">
            <v>실     명</v>
          </cell>
        </row>
      </sheetData>
      <sheetData sheetId="2427">
        <row r="2">
          <cell r="A2" t="str">
            <v>실     명</v>
          </cell>
        </row>
      </sheetData>
      <sheetData sheetId="2428">
        <row r="2">
          <cell r="A2" t="str">
            <v>실     명</v>
          </cell>
        </row>
      </sheetData>
      <sheetData sheetId="2429">
        <row r="2">
          <cell r="A2" t="str">
            <v>실     명</v>
          </cell>
        </row>
      </sheetData>
      <sheetData sheetId="2430">
        <row r="2">
          <cell r="A2" t="str">
            <v>실     명</v>
          </cell>
        </row>
      </sheetData>
      <sheetData sheetId="2431">
        <row r="2">
          <cell r="A2" t="str">
            <v>실     명</v>
          </cell>
        </row>
      </sheetData>
      <sheetData sheetId="2432">
        <row r="2">
          <cell r="A2" t="str">
            <v>실     명</v>
          </cell>
        </row>
      </sheetData>
      <sheetData sheetId="2433">
        <row r="2">
          <cell r="A2" t="str">
            <v>실     명</v>
          </cell>
        </row>
      </sheetData>
      <sheetData sheetId="2434">
        <row r="2">
          <cell r="A2" t="str">
            <v>실     명</v>
          </cell>
        </row>
      </sheetData>
      <sheetData sheetId="2435">
        <row r="2">
          <cell r="A2" t="str">
            <v>실     명</v>
          </cell>
        </row>
      </sheetData>
      <sheetData sheetId="2436">
        <row r="2">
          <cell r="A2" t="str">
            <v>실     명</v>
          </cell>
        </row>
      </sheetData>
      <sheetData sheetId="2437">
        <row r="2">
          <cell r="A2" t="str">
            <v>실     명</v>
          </cell>
        </row>
      </sheetData>
      <sheetData sheetId="2438">
        <row r="2">
          <cell r="A2" t="str">
            <v>실     명</v>
          </cell>
        </row>
      </sheetData>
      <sheetData sheetId="2439">
        <row r="2">
          <cell r="A2" t="str">
            <v>실     명</v>
          </cell>
        </row>
      </sheetData>
      <sheetData sheetId="2440">
        <row r="2">
          <cell r="A2" t="str">
            <v>실     명</v>
          </cell>
        </row>
      </sheetData>
      <sheetData sheetId="2441">
        <row r="2">
          <cell r="A2" t="str">
            <v>실     명</v>
          </cell>
        </row>
      </sheetData>
      <sheetData sheetId="2442">
        <row r="2">
          <cell r="A2" t="str">
            <v>실     명</v>
          </cell>
        </row>
      </sheetData>
      <sheetData sheetId="2443">
        <row r="2">
          <cell r="A2" t="str">
            <v>실     명</v>
          </cell>
        </row>
      </sheetData>
      <sheetData sheetId="2444">
        <row r="2">
          <cell r="A2" t="str">
            <v>실     명</v>
          </cell>
        </row>
      </sheetData>
      <sheetData sheetId="2445">
        <row r="2">
          <cell r="A2" t="str">
            <v>실     명</v>
          </cell>
        </row>
      </sheetData>
      <sheetData sheetId="2446">
        <row r="2">
          <cell r="A2" t="str">
            <v>실     명</v>
          </cell>
        </row>
      </sheetData>
      <sheetData sheetId="2447">
        <row r="2">
          <cell r="A2" t="str">
            <v>실     명</v>
          </cell>
        </row>
      </sheetData>
      <sheetData sheetId="2448">
        <row r="2">
          <cell r="A2" t="str">
            <v>실     명</v>
          </cell>
        </row>
      </sheetData>
      <sheetData sheetId="2449">
        <row r="2">
          <cell r="A2" t="str">
            <v>실     명</v>
          </cell>
        </row>
      </sheetData>
      <sheetData sheetId="2450">
        <row r="2">
          <cell r="A2" t="str">
            <v>실     명</v>
          </cell>
        </row>
      </sheetData>
      <sheetData sheetId="2451">
        <row r="2">
          <cell r="A2" t="str">
            <v>실     명</v>
          </cell>
        </row>
      </sheetData>
      <sheetData sheetId="2452">
        <row r="2">
          <cell r="A2" t="str">
            <v>실     명</v>
          </cell>
        </row>
      </sheetData>
      <sheetData sheetId="2453">
        <row r="2">
          <cell r="A2" t="str">
            <v>실     명</v>
          </cell>
        </row>
      </sheetData>
      <sheetData sheetId="2454">
        <row r="2">
          <cell r="A2" t="str">
            <v>실     명</v>
          </cell>
        </row>
      </sheetData>
      <sheetData sheetId="2455">
        <row r="2">
          <cell r="A2" t="str">
            <v>실     명</v>
          </cell>
        </row>
      </sheetData>
      <sheetData sheetId="2456">
        <row r="2">
          <cell r="A2" t="str">
            <v>실     명</v>
          </cell>
        </row>
      </sheetData>
      <sheetData sheetId="2457">
        <row r="2">
          <cell r="A2" t="str">
            <v>실     명</v>
          </cell>
        </row>
      </sheetData>
      <sheetData sheetId="2458">
        <row r="2">
          <cell r="A2" t="str">
            <v>실     명</v>
          </cell>
        </row>
      </sheetData>
      <sheetData sheetId="2459">
        <row r="2">
          <cell r="A2" t="str">
            <v>실     명</v>
          </cell>
        </row>
      </sheetData>
      <sheetData sheetId="2460">
        <row r="2">
          <cell r="A2" t="str">
            <v>실     명</v>
          </cell>
        </row>
      </sheetData>
      <sheetData sheetId="2461">
        <row r="2">
          <cell r="A2" t="str">
            <v>실     명</v>
          </cell>
        </row>
      </sheetData>
      <sheetData sheetId="2462">
        <row r="2">
          <cell r="A2" t="str">
            <v>실     명</v>
          </cell>
        </row>
      </sheetData>
      <sheetData sheetId="2463">
        <row r="2">
          <cell r="A2" t="str">
            <v>실     명</v>
          </cell>
        </row>
      </sheetData>
      <sheetData sheetId="2464">
        <row r="2">
          <cell r="A2" t="str">
            <v>실     명</v>
          </cell>
        </row>
      </sheetData>
      <sheetData sheetId="2465">
        <row r="2">
          <cell r="A2" t="str">
            <v>실     명</v>
          </cell>
        </row>
      </sheetData>
      <sheetData sheetId="2466">
        <row r="2">
          <cell r="A2" t="str">
            <v>실     명</v>
          </cell>
        </row>
      </sheetData>
      <sheetData sheetId="2467">
        <row r="2">
          <cell r="A2" t="str">
            <v>실     명</v>
          </cell>
        </row>
      </sheetData>
      <sheetData sheetId="2468">
        <row r="2">
          <cell r="A2" t="str">
            <v>실     명</v>
          </cell>
        </row>
      </sheetData>
      <sheetData sheetId="2469">
        <row r="2">
          <cell r="A2" t="str">
            <v>실     명</v>
          </cell>
        </row>
      </sheetData>
      <sheetData sheetId="2470">
        <row r="2">
          <cell r="A2" t="str">
            <v>실     명</v>
          </cell>
        </row>
      </sheetData>
      <sheetData sheetId="2471">
        <row r="2">
          <cell r="A2" t="str">
            <v>실     명</v>
          </cell>
        </row>
      </sheetData>
      <sheetData sheetId="2472">
        <row r="2">
          <cell r="A2" t="str">
            <v>실     명</v>
          </cell>
        </row>
      </sheetData>
      <sheetData sheetId="2473">
        <row r="2">
          <cell r="A2" t="str">
            <v>실     명</v>
          </cell>
        </row>
      </sheetData>
      <sheetData sheetId="2474">
        <row r="2">
          <cell r="A2" t="str">
            <v>실     명</v>
          </cell>
        </row>
      </sheetData>
      <sheetData sheetId="2475">
        <row r="2">
          <cell r="A2" t="str">
            <v>실     명</v>
          </cell>
        </row>
      </sheetData>
      <sheetData sheetId="2476">
        <row r="2">
          <cell r="A2" t="str">
            <v>실     명</v>
          </cell>
        </row>
      </sheetData>
      <sheetData sheetId="2477">
        <row r="2">
          <cell r="A2" t="str">
            <v>실     명</v>
          </cell>
        </row>
      </sheetData>
      <sheetData sheetId="2478">
        <row r="2">
          <cell r="A2" t="str">
            <v>실     명</v>
          </cell>
        </row>
      </sheetData>
      <sheetData sheetId="2479">
        <row r="2">
          <cell r="A2" t="str">
            <v>실     명</v>
          </cell>
        </row>
      </sheetData>
      <sheetData sheetId="2480">
        <row r="2">
          <cell r="A2" t="str">
            <v>실     명</v>
          </cell>
        </row>
      </sheetData>
      <sheetData sheetId="2481">
        <row r="2">
          <cell r="A2" t="str">
            <v>실     명</v>
          </cell>
        </row>
      </sheetData>
      <sheetData sheetId="2482">
        <row r="2">
          <cell r="A2" t="str">
            <v>실     명</v>
          </cell>
        </row>
      </sheetData>
      <sheetData sheetId="2483">
        <row r="2">
          <cell r="A2" t="str">
            <v>실     명</v>
          </cell>
        </row>
      </sheetData>
      <sheetData sheetId="2484">
        <row r="2">
          <cell r="A2" t="str">
            <v>실     명</v>
          </cell>
        </row>
      </sheetData>
      <sheetData sheetId="2485">
        <row r="2">
          <cell r="A2" t="str">
            <v>실     명</v>
          </cell>
        </row>
      </sheetData>
      <sheetData sheetId="2486">
        <row r="2">
          <cell r="A2" t="str">
            <v>실     명</v>
          </cell>
        </row>
      </sheetData>
      <sheetData sheetId="2487">
        <row r="2">
          <cell r="A2" t="str">
            <v>실     명</v>
          </cell>
        </row>
      </sheetData>
      <sheetData sheetId="2488">
        <row r="2">
          <cell r="A2" t="str">
            <v>실     명</v>
          </cell>
        </row>
      </sheetData>
      <sheetData sheetId="2489">
        <row r="2">
          <cell r="A2" t="str">
            <v>실     명</v>
          </cell>
        </row>
      </sheetData>
      <sheetData sheetId="2490">
        <row r="2">
          <cell r="A2" t="str">
            <v>실     명</v>
          </cell>
        </row>
      </sheetData>
      <sheetData sheetId="2491">
        <row r="2">
          <cell r="A2" t="str">
            <v>실     명</v>
          </cell>
        </row>
      </sheetData>
      <sheetData sheetId="2492">
        <row r="2">
          <cell r="A2" t="str">
            <v>실     명</v>
          </cell>
        </row>
      </sheetData>
      <sheetData sheetId="2493">
        <row r="2">
          <cell r="A2" t="str">
            <v>실     명</v>
          </cell>
        </row>
      </sheetData>
      <sheetData sheetId="2494">
        <row r="2">
          <cell r="A2" t="str">
            <v>실     명</v>
          </cell>
        </row>
      </sheetData>
      <sheetData sheetId="2495">
        <row r="2">
          <cell r="A2" t="str">
            <v>실     명</v>
          </cell>
        </row>
      </sheetData>
      <sheetData sheetId="2496">
        <row r="2">
          <cell r="A2" t="str">
            <v>실     명</v>
          </cell>
        </row>
      </sheetData>
      <sheetData sheetId="2497">
        <row r="2">
          <cell r="A2" t="str">
            <v>실     명</v>
          </cell>
        </row>
      </sheetData>
      <sheetData sheetId="2498">
        <row r="2">
          <cell r="A2" t="str">
            <v>실     명</v>
          </cell>
        </row>
      </sheetData>
      <sheetData sheetId="2499">
        <row r="2">
          <cell r="A2" t="str">
            <v>실     명</v>
          </cell>
        </row>
      </sheetData>
      <sheetData sheetId="2500">
        <row r="2">
          <cell r="A2" t="str">
            <v>실     명</v>
          </cell>
        </row>
      </sheetData>
      <sheetData sheetId="2501">
        <row r="2">
          <cell r="A2" t="str">
            <v>실     명</v>
          </cell>
        </row>
      </sheetData>
      <sheetData sheetId="2502">
        <row r="2">
          <cell r="A2" t="str">
            <v>실     명</v>
          </cell>
        </row>
      </sheetData>
      <sheetData sheetId="2503">
        <row r="2">
          <cell r="A2" t="str">
            <v>실     명</v>
          </cell>
        </row>
      </sheetData>
      <sheetData sheetId="2504">
        <row r="2">
          <cell r="A2" t="str">
            <v>실     명</v>
          </cell>
        </row>
      </sheetData>
      <sheetData sheetId="2505">
        <row r="2">
          <cell r="A2" t="str">
            <v>실     명</v>
          </cell>
        </row>
      </sheetData>
      <sheetData sheetId="2506">
        <row r="2">
          <cell r="A2" t="str">
            <v>실     명</v>
          </cell>
        </row>
      </sheetData>
      <sheetData sheetId="2507">
        <row r="2">
          <cell r="A2" t="str">
            <v>실     명</v>
          </cell>
        </row>
      </sheetData>
      <sheetData sheetId="2508">
        <row r="2">
          <cell r="A2" t="str">
            <v>실     명</v>
          </cell>
        </row>
      </sheetData>
      <sheetData sheetId="2509">
        <row r="2">
          <cell r="A2" t="str">
            <v>실     명</v>
          </cell>
        </row>
      </sheetData>
      <sheetData sheetId="2510">
        <row r="2">
          <cell r="A2" t="str">
            <v>실     명</v>
          </cell>
        </row>
      </sheetData>
      <sheetData sheetId="2511">
        <row r="2">
          <cell r="A2" t="str">
            <v>실     명</v>
          </cell>
        </row>
      </sheetData>
      <sheetData sheetId="2512">
        <row r="2">
          <cell r="A2" t="str">
            <v>실     명</v>
          </cell>
        </row>
      </sheetData>
      <sheetData sheetId="2513">
        <row r="2">
          <cell r="A2" t="str">
            <v>실     명</v>
          </cell>
        </row>
      </sheetData>
      <sheetData sheetId="2514">
        <row r="2">
          <cell r="A2" t="str">
            <v>실     명</v>
          </cell>
        </row>
      </sheetData>
      <sheetData sheetId="2515">
        <row r="2">
          <cell r="A2" t="str">
            <v>실     명</v>
          </cell>
        </row>
      </sheetData>
      <sheetData sheetId="2516">
        <row r="2">
          <cell r="A2" t="str">
            <v>실     명</v>
          </cell>
        </row>
      </sheetData>
      <sheetData sheetId="2517">
        <row r="2">
          <cell r="A2" t="str">
            <v>실     명</v>
          </cell>
        </row>
      </sheetData>
      <sheetData sheetId="2518">
        <row r="2">
          <cell r="A2" t="str">
            <v>실     명</v>
          </cell>
        </row>
      </sheetData>
      <sheetData sheetId="2519">
        <row r="2">
          <cell r="A2" t="str">
            <v>실     명</v>
          </cell>
        </row>
      </sheetData>
      <sheetData sheetId="2520">
        <row r="2">
          <cell r="A2" t="str">
            <v>실     명</v>
          </cell>
        </row>
      </sheetData>
      <sheetData sheetId="2521">
        <row r="2">
          <cell r="A2" t="str">
            <v>실     명</v>
          </cell>
        </row>
      </sheetData>
      <sheetData sheetId="2522">
        <row r="2">
          <cell r="A2" t="str">
            <v>실     명</v>
          </cell>
        </row>
      </sheetData>
      <sheetData sheetId="2523">
        <row r="2">
          <cell r="A2" t="str">
            <v>실     명</v>
          </cell>
        </row>
      </sheetData>
      <sheetData sheetId="2524">
        <row r="2">
          <cell r="A2" t="str">
            <v>실     명</v>
          </cell>
        </row>
      </sheetData>
      <sheetData sheetId="2525">
        <row r="2">
          <cell r="A2" t="str">
            <v>실     명</v>
          </cell>
        </row>
      </sheetData>
      <sheetData sheetId="2526">
        <row r="2">
          <cell r="A2" t="str">
            <v>실     명</v>
          </cell>
        </row>
      </sheetData>
      <sheetData sheetId="2527">
        <row r="2">
          <cell r="A2" t="str">
            <v>실     명</v>
          </cell>
        </row>
      </sheetData>
      <sheetData sheetId="2528">
        <row r="2">
          <cell r="A2" t="str">
            <v>실     명</v>
          </cell>
        </row>
      </sheetData>
      <sheetData sheetId="2529">
        <row r="2">
          <cell r="A2" t="str">
            <v>실     명</v>
          </cell>
        </row>
      </sheetData>
      <sheetData sheetId="2530">
        <row r="2">
          <cell r="A2" t="str">
            <v>실     명</v>
          </cell>
        </row>
      </sheetData>
      <sheetData sheetId="2531">
        <row r="2">
          <cell r="A2" t="str">
            <v>실     명</v>
          </cell>
        </row>
      </sheetData>
      <sheetData sheetId="2532">
        <row r="2">
          <cell r="A2" t="str">
            <v>실     명</v>
          </cell>
        </row>
      </sheetData>
      <sheetData sheetId="2533">
        <row r="2">
          <cell r="A2" t="str">
            <v>실     명</v>
          </cell>
        </row>
      </sheetData>
      <sheetData sheetId="2534">
        <row r="2">
          <cell r="A2" t="str">
            <v>실     명</v>
          </cell>
        </row>
      </sheetData>
      <sheetData sheetId="2535">
        <row r="2">
          <cell r="A2" t="str">
            <v>실     명</v>
          </cell>
        </row>
      </sheetData>
      <sheetData sheetId="2536">
        <row r="2">
          <cell r="A2" t="str">
            <v>실     명</v>
          </cell>
        </row>
      </sheetData>
      <sheetData sheetId="2537">
        <row r="2">
          <cell r="A2" t="str">
            <v>실     명</v>
          </cell>
        </row>
      </sheetData>
      <sheetData sheetId="2538">
        <row r="2">
          <cell r="A2" t="str">
            <v>실     명</v>
          </cell>
        </row>
      </sheetData>
      <sheetData sheetId="2539">
        <row r="2">
          <cell r="A2" t="str">
            <v>실     명</v>
          </cell>
        </row>
      </sheetData>
      <sheetData sheetId="2540">
        <row r="2">
          <cell r="A2" t="str">
            <v>실     명</v>
          </cell>
        </row>
      </sheetData>
      <sheetData sheetId="2541">
        <row r="2">
          <cell r="A2" t="str">
            <v>실     명</v>
          </cell>
        </row>
      </sheetData>
      <sheetData sheetId="2542">
        <row r="2">
          <cell r="A2" t="str">
            <v>실     명</v>
          </cell>
        </row>
      </sheetData>
      <sheetData sheetId="2543">
        <row r="2">
          <cell r="A2" t="str">
            <v>실     명</v>
          </cell>
        </row>
      </sheetData>
      <sheetData sheetId="2544">
        <row r="2">
          <cell r="A2" t="str">
            <v>실     명</v>
          </cell>
        </row>
      </sheetData>
      <sheetData sheetId="2545">
        <row r="2">
          <cell r="A2" t="str">
            <v>실     명</v>
          </cell>
        </row>
      </sheetData>
      <sheetData sheetId="2546">
        <row r="2">
          <cell r="A2" t="str">
            <v>실     명</v>
          </cell>
        </row>
      </sheetData>
      <sheetData sheetId="2547">
        <row r="2">
          <cell r="A2" t="str">
            <v>실     명</v>
          </cell>
        </row>
      </sheetData>
      <sheetData sheetId="2548">
        <row r="2">
          <cell r="A2" t="str">
            <v>실     명</v>
          </cell>
        </row>
      </sheetData>
      <sheetData sheetId="2549">
        <row r="2">
          <cell r="A2" t="str">
            <v>실     명</v>
          </cell>
        </row>
      </sheetData>
      <sheetData sheetId="2550">
        <row r="2">
          <cell r="A2" t="str">
            <v>실     명</v>
          </cell>
        </row>
      </sheetData>
      <sheetData sheetId="2551">
        <row r="2">
          <cell r="A2" t="str">
            <v>실     명</v>
          </cell>
        </row>
      </sheetData>
      <sheetData sheetId="2552">
        <row r="2">
          <cell r="A2" t="str">
            <v>실     명</v>
          </cell>
        </row>
      </sheetData>
      <sheetData sheetId="2553">
        <row r="2">
          <cell r="A2" t="str">
            <v>실     명</v>
          </cell>
        </row>
      </sheetData>
      <sheetData sheetId="2554">
        <row r="2">
          <cell r="A2" t="str">
            <v>실     명</v>
          </cell>
        </row>
      </sheetData>
      <sheetData sheetId="2555">
        <row r="2">
          <cell r="A2" t="str">
            <v>실     명</v>
          </cell>
        </row>
      </sheetData>
      <sheetData sheetId="2556">
        <row r="2">
          <cell r="A2" t="str">
            <v>실     명</v>
          </cell>
        </row>
      </sheetData>
      <sheetData sheetId="2557">
        <row r="2">
          <cell r="A2" t="str">
            <v>실     명</v>
          </cell>
        </row>
      </sheetData>
      <sheetData sheetId="2558">
        <row r="2">
          <cell r="A2" t="str">
            <v>실     명</v>
          </cell>
        </row>
      </sheetData>
      <sheetData sheetId="2559">
        <row r="2">
          <cell r="A2" t="str">
            <v>실     명</v>
          </cell>
        </row>
      </sheetData>
      <sheetData sheetId="2560">
        <row r="2">
          <cell r="A2" t="str">
            <v>실     명</v>
          </cell>
        </row>
      </sheetData>
      <sheetData sheetId="2561">
        <row r="2">
          <cell r="A2" t="str">
            <v>실     명</v>
          </cell>
        </row>
      </sheetData>
      <sheetData sheetId="2562">
        <row r="2">
          <cell r="A2" t="str">
            <v>실     명</v>
          </cell>
        </row>
      </sheetData>
      <sheetData sheetId="2563">
        <row r="2">
          <cell r="A2" t="str">
            <v>실     명</v>
          </cell>
        </row>
      </sheetData>
      <sheetData sheetId="2564">
        <row r="2">
          <cell r="A2" t="str">
            <v>실     명</v>
          </cell>
        </row>
      </sheetData>
      <sheetData sheetId="2565">
        <row r="2">
          <cell r="A2" t="str">
            <v>실     명</v>
          </cell>
        </row>
      </sheetData>
      <sheetData sheetId="2566">
        <row r="2">
          <cell r="A2" t="str">
            <v>실     명</v>
          </cell>
        </row>
      </sheetData>
      <sheetData sheetId="2567">
        <row r="2">
          <cell r="A2" t="str">
            <v>실     명</v>
          </cell>
        </row>
      </sheetData>
      <sheetData sheetId="2568">
        <row r="2">
          <cell r="A2" t="str">
            <v>실     명</v>
          </cell>
        </row>
      </sheetData>
      <sheetData sheetId="2569">
        <row r="2">
          <cell r="A2" t="str">
            <v>실     명</v>
          </cell>
        </row>
      </sheetData>
      <sheetData sheetId="2570">
        <row r="2">
          <cell r="A2" t="str">
            <v>실     명</v>
          </cell>
        </row>
      </sheetData>
      <sheetData sheetId="2571">
        <row r="2">
          <cell r="A2" t="str">
            <v>실     명</v>
          </cell>
        </row>
      </sheetData>
      <sheetData sheetId="2572">
        <row r="2">
          <cell r="A2" t="str">
            <v>실     명</v>
          </cell>
        </row>
      </sheetData>
      <sheetData sheetId="2573">
        <row r="2">
          <cell r="A2" t="str">
            <v>실     명</v>
          </cell>
        </row>
      </sheetData>
      <sheetData sheetId="2574">
        <row r="2">
          <cell r="A2" t="str">
            <v>실     명</v>
          </cell>
        </row>
      </sheetData>
      <sheetData sheetId="2575">
        <row r="2">
          <cell r="A2" t="str">
            <v>실     명</v>
          </cell>
        </row>
      </sheetData>
      <sheetData sheetId="2576">
        <row r="2">
          <cell r="A2" t="str">
            <v>실     명</v>
          </cell>
        </row>
      </sheetData>
      <sheetData sheetId="2577">
        <row r="2">
          <cell r="A2" t="str">
            <v>실     명</v>
          </cell>
        </row>
      </sheetData>
      <sheetData sheetId="2578">
        <row r="2">
          <cell r="A2" t="str">
            <v>실     명</v>
          </cell>
        </row>
      </sheetData>
      <sheetData sheetId="2579">
        <row r="2">
          <cell r="A2" t="str">
            <v>실     명</v>
          </cell>
        </row>
      </sheetData>
      <sheetData sheetId="2580">
        <row r="2">
          <cell r="A2" t="str">
            <v>실     명</v>
          </cell>
        </row>
      </sheetData>
      <sheetData sheetId="2581">
        <row r="2">
          <cell r="A2" t="str">
            <v>실     명</v>
          </cell>
        </row>
      </sheetData>
      <sheetData sheetId="2582">
        <row r="2">
          <cell r="A2" t="str">
            <v>실     명</v>
          </cell>
        </row>
      </sheetData>
      <sheetData sheetId="2583">
        <row r="2">
          <cell r="A2" t="str">
            <v>실     명</v>
          </cell>
        </row>
      </sheetData>
      <sheetData sheetId="2584">
        <row r="2">
          <cell r="A2" t="str">
            <v>실     명</v>
          </cell>
        </row>
      </sheetData>
      <sheetData sheetId="2585">
        <row r="2">
          <cell r="A2" t="str">
            <v>실     명</v>
          </cell>
        </row>
      </sheetData>
      <sheetData sheetId="2586">
        <row r="2">
          <cell r="A2" t="str">
            <v>실     명</v>
          </cell>
        </row>
      </sheetData>
      <sheetData sheetId="2587">
        <row r="2">
          <cell r="A2" t="str">
            <v>실     명</v>
          </cell>
        </row>
      </sheetData>
      <sheetData sheetId="2588">
        <row r="2">
          <cell r="A2" t="str">
            <v>실     명</v>
          </cell>
        </row>
      </sheetData>
      <sheetData sheetId="2589">
        <row r="2">
          <cell r="A2" t="str">
            <v>실     명</v>
          </cell>
        </row>
      </sheetData>
      <sheetData sheetId="2590">
        <row r="2">
          <cell r="A2" t="str">
            <v>실     명</v>
          </cell>
        </row>
      </sheetData>
      <sheetData sheetId="2591">
        <row r="2">
          <cell r="A2" t="str">
            <v>실     명</v>
          </cell>
        </row>
      </sheetData>
      <sheetData sheetId="2592">
        <row r="2">
          <cell r="A2" t="str">
            <v>실     명</v>
          </cell>
        </row>
      </sheetData>
      <sheetData sheetId="2593">
        <row r="2">
          <cell r="A2" t="str">
            <v>실     명</v>
          </cell>
        </row>
      </sheetData>
      <sheetData sheetId="2594">
        <row r="2">
          <cell r="A2" t="str">
            <v>실     명</v>
          </cell>
        </row>
      </sheetData>
      <sheetData sheetId="2595">
        <row r="2">
          <cell r="A2" t="str">
            <v>실     명</v>
          </cell>
        </row>
      </sheetData>
      <sheetData sheetId="2596">
        <row r="2">
          <cell r="A2" t="str">
            <v>실     명</v>
          </cell>
        </row>
      </sheetData>
      <sheetData sheetId="2597">
        <row r="2">
          <cell r="A2" t="str">
            <v>실     명</v>
          </cell>
        </row>
      </sheetData>
      <sheetData sheetId="2598">
        <row r="2">
          <cell r="A2" t="str">
            <v>실     명</v>
          </cell>
        </row>
      </sheetData>
      <sheetData sheetId="2599">
        <row r="2">
          <cell r="A2" t="str">
            <v>실     명</v>
          </cell>
        </row>
      </sheetData>
      <sheetData sheetId="2600">
        <row r="2">
          <cell r="A2" t="str">
            <v>실     명</v>
          </cell>
        </row>
      </sheetData>
      <sheetData sheetId="2601">
        <row r="2">
          <cell r="A2" t="str">
            <v>실     명</v>
          </cell>
        </row>
      </sheetData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>
        <row r="2">
          <cell r="A2" t="str">
            <v>실     명</v>
          </cell>
        </row>
      </sheetData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>
        <row r="2">
          <cell r="A2" t="str">
            <v>실     명</v>
          </cell>
        </row>
      </sheetData>
      <sheetData sheetId="2634">
        <row r="2">
          <cell r="A2" t="str">
            <v>실     명</v>
          </cell>
        </row>
      </sheetData>
      <sheetData sheetId="2635">
        <row r="2">
          <cell r="A2" t="str">
            <v>실     명</v>
          </cell>
        </row>
      </sheetData>
      <sheetData sheetId="2636">
        <row r="2">
          <cell r="A2" t="str">
            <v>실     명</v>
          </cell>
        </row>
      </sheetData>
      <sheetData sheetId="2637">
        <row r="2">
          <cell r="A2" t="str">
            <v>실     명</v>
          </cell>
        </row>
      </sheetData>
      <sheetData sheetId="2638">
        <row r="2">
          <cell r="A2" t="str">
            <v>실     명</v>
          </cell>
        </row>
      </sheetData>
      <sheetData sheetId="2639">
        <row r="2">
          <cell r="A2" t="str">
            <v>실     명</v>
          </cell>
        </row>
      </sheetData>
      <sheetData sheetId="2640">
        <row r="2">
          <cell r="A2" t="str">
            <v>실     명</v>
          </cell>
        </row>
      </sheetData>
      <sheetData sheetId="2641">
        <row r="2">
          <cell r="A2" t="str">
            <v>실     명</v>
          </cell>
        </row>
      </sheetData>
      <sheetData sheetId="2642">
        <row r="2">
          <cell r="A2" t="str">
            <v>실     명</v>
          </cell>
        </row>
      </sheetData>
      <sheetData sheetId="2643">
        <row r="2">
          <cell r="A2" t="str">
            <v>실     명</v>
          </cell>
        </row>
      </sheetData>
      <sheetData sheetId="2644">
        <row r="2">
          <cell r="A2" t="str">
            <v>실     명</v>
          </cell>
        </row>
      </sheetData>
      <sheetData sheetId="2645">
        <row r="2">
          <cell r="A2" t="str">
            <v>실     명</v>
          </cell>
        </row>
      </sheetData>
      <sheetData sheetId="2646">
        <row r="2">
          <cell r="A2" t="str">
            <v>실     명</v>
          </cell>
        </row>
      </sheetData>
      <sheetData sheetId="2647">
        <row r="2">
          <cell r="A2" t="str">
            <v>실     명</v>
          </cell>
        </row>
      </sheetData>
      <sheetData sheetId="2648">
        <row r="2">
          <cell r="A2" t="str">
            <v>실     명</v>
          </cell>
        </row>
      </sheetData>
      <sheetData sheetId="2649">
        <row r="2">
          <cell r="A2" t="str">
            <v>실     명</v>
          </cell>
        </row>
      </sheetData>
      <sheetData sheetId="2650">
        <row r="2">
          <cell r="A2" t="str">
            <v>실     명</v>
          </cell>
        </row>
      </sheetData>
      <sheetData sheetId="2651">
        <row r="2">
          <cell r="A2" t="str">
            <v>실     명</v>
          </cell>
        </row>
      </sheetData>
      <sheetData sheetId="2652">
        <row r="2">
          <cell r="A2" t="str">
            <v>실     명</v>
          </cell>
        </row>
      </sheetData>
      <sheetData sheetId="2653">
        <row r="2">
          <cell r="A2" t="str">
            <v>실     명</v>
          </cell>
        </row>
      </sheetData>
      <sheetData sheetId="2654">
        <row r="2">
          <cell r="A2" t="str">
            <v>실     명</v>
          </cell>
        </row>
      </sheetData>
      <sheetData sheetId="2655">
        <row r="2">
          <cell r="A2" t="str">
            <v>실     명</v>
          </cell>
        </row>
      </sheetData>
      <sheetData sheetId="2656">
        <row r="2">
          <cell r="A2" t="str">
            <v>실     명</v>
          </cell>
        </row>
      </sheetData>
      <sheetData sheetId="2657">
        <row r="2">
          <cell r="A2" t="str">
            <v>실     명</v>
          </cell>
        </row>
      </sheetData>
      <sheetData sheetId="2658">
        <row r="2">
          <cell r="A2" t="str">
            <v>실     명</v>
          </cell>
        </row>
      </sheetData>
      <sheetData sheetId="2659">
        <row r="2">
          <cell r="A2" t="str">
            <v>실     명</v>
          </cell>
        </row>
      </sheetData>
      <sheetData sheetId="2660">
        <row r="2">
          <cell r="A2" t="str">
            <v>실     명</v>
          </cell>
        </row>
      </sheetData>
      <sheetData sheetId="2661">
        <row r="2">
          <cell r="A2" t="str">
            <v>실     명</v>
          </cell>
        </row>
      </sheetData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>
        <row r="2">
          <cell r="A2" t="str">
            <v>실     명</v>
          </cell>
        </row>
      </sheetData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>
        <row r="2">
          <cell r="A2" t="str">
            <v>실     명</v>
          </cell>
        </row>
      </sheetData>
      <sheetData sheetId="2683">
        <row r="2">
          <cell r="A2" t="str">
            <v>실     명</v>
          </cell>
        </row>
      </sheetData>
      <sheetData sheetId="2684">
        <row r="2">
          <cell r="A2" t="str">
            <v>실     명</v>
          </cell>
        </row>
      </sheetData>
      <sheetData sheetId="2685">
        <row r="2">
          <cell r="A2" t="str">
            <v>실     명</v>
          </cell>
        </row>
      </sheetData>
      <sheetData sheetId="2686">
        <row r="2">
          <cell r="A2" t="str">
            <v>실     명</v>
          </cell>
        </row>
      </sheetData>
      <sheetData sheetId="2687">
        <row r="2">
          <cell r="A2" t="str">
            <v>실     명</v>
          </cell>
        </row>
      </sheetData>
      <sheetData sheetId="2688">
        <row r="2">
          <cell r="A2" t="str">
            <v>실     명</v>
          </cell>
        </row>
      </sheetData>
      <sheetData sheetId="2689">
        <row r="2">
          <cell r="A2" t="str">
            <v>실     명</v>
          </cell>
        </row>
      </sheetData>
      <sheetData sheetId="2690">
        <row r="2">
          <cell r="A2" t="str">
            <v>실     명</v>
          </cell>
        </row>
      </sheetData>
      <sheetData sheetId="2691">
        <row r="2">
          <cell r="A2" t="str">
            <v>실     명</v>
          </cell>
        </row>
      </sheetData>
      <sheetData sheetId="2692">
        <row r="2">
          <cell r="A2" t="str">
            <v>실     명</v>
          </cell>
        </row>
      </sheetData>
      <sheetData sheetId="2693">
        <row r="2">
          <cell r="A2" t="str">
            <v>실     명</v>
          </cell>
        </row>
      </sheetData>
      <sheetData sheetId="2694">
        <row r="2">
          <cell r="A2" t="str">
            <v>실     명</v>
          </cell>
        </row>
      </sheetData>
      <sheetData sheetId="2695">
        <row r="2">
          <cell r="A2" t="str">
            <v>실     명</v>
          </cell>
        </row>
      </sheetData>
      <sheetData sheetId="2696">
        <row r="2">
          <cell r="A2" t="str">
            <v>실     명</v>
          </cell>
        </row>
      </sheetData>
      <sheetData sheetId="2697">
        <row r="2">
          <cell r="A2" t="str">
            <v>실     명</v>
          </cell>
        </row>
      </sheetData>
      <sheetData sheetId="2698">
        <row r="2">
          <cell r="A2" t="str">
            <v>실     명</v>
          </cell>
        </row>
      </sheetData>
      <sheetData sheetId="2699">
        <row r="2">
          <cell r="A2" t="str">
            <v>실     명</v>
          </cell>
        </row>
      </sheetData>
      <sheetData sheetId="2700">
        <row r="2">
          <cell r="A2" t="str">
            <v>실     명</v>
          </cell>
        </row>
      </sheetData>
      <sheetData sheetId="2701">
        <row r="2">
          <cell r="A2" t="str">
            <v>실     명</v>
          </cell>
        </row>
      </sheetData>
      <sheetData sheetId="2702">
        <row r="2">
          <cell r="A2" t="str">
            <v>실     명</v>
          </cell>
        </row>
      </sheetData>
      <sheetData sheetId="2703">
        <row r="2">
          <cell r="A2" t="str">
            <v>실     명</v>
          </cell>
        </row>
      </sheetData>
      <sheetData sheetId="2704">
        <row r="2">
          <cell r="A2" t="str">
            <v>실     명</v>
          </cell>
        </row>
      </sheetData>
      <sheetData sheetId="2705">
        <row r="2">
          <cell r="A2" t="str">
            <v>실     명</v>
          </cell>
        </row>
      </sheetData>
      <sheetData sheetId="2706">
        <row r="2">
          <cell r="A2" t="str">
            <v>실     명</v>
          </cell>
        </row>
      </sheetData>
      <sheetData sheetId="2707">
        <row r="2">
          <cell r="A2" t="str">
            <v>실     명</v>
          </cell>
        </row>
      </sheetData>
      <sheetData sheetId="2708">
        <row r="2">
          <cell r="A2" t="str">
            <v>실     명</v>
          </cell>
        </row>
      </sheetData>
      <sheetData sheetId="2709">
        <row r="2">
          <cell r="A2" t="str">
            <v>실     명</v>
          </cell>
        </row>
      </sheetData>
      <sheetData sheetId="2710">
        <row r="2">
          <cell r="A2" t="str">
            <v>실     명</v>
          </cell>
        </row>
      </sheetData>
      <sheetData sheetId="2711">
        <row r="2">
          <cell r="A2" t="str">
            <v>실     명</v>
          </cell>
        </row>
      </sheetData>
      <sheetData sheetId="2712">
        <row r="2">
          <cell r="A2" t="str">
            <v>실     명</v>
          </cell>
        </row>
      </sheetData>
      <sheetData sheetId="2713">
        <row r="2">
          <cell r="A2" t="str">
            <v>실     명</v>
          </cell>
        </row>
      </sheetData>
      <sheetData sheetId="2714">
        <row r="2">
          <cell r="A2" t="str">
            <v>실     명</v>
          </cell>
        </row>
      </sheetData>
      <sheetData sheetId="2715">
        <row r="2">
          <cell r="A2" t="str">
            <v>실     명</v>
          </cell>
        </row>
      </sheetData>
      <sheetData sheetId="2716">
        <row r="2">
          <cell r="A2" t="str">
            <v>실     명</v>
          </cell>
        </row>
      </sheetData>
      <sheetData sheetId="2717">
        <row r="2">
          <cell r="A2" t="str">
            <v>실     명</v>
          </cell>
        </row>
      </sheetData>
      <sheetData sheetId="2718">
        <row r="2">
          <cell r="A2" t="str">
            <v>실     명</v>
          </cell>
        </row>
      </sheetData>
      <sheetData sheetId="2719">
        <row r="2">
          <cell r="A2" t="str">
            <v>실     명</v>
          </cell>
        </row>
      </sheetData>
      <sheetData sheetId="2720">
        <row r="2">
          <cell r="A2" t="str">
            <v>실     명</v>
          </cell>
        </row>
      </sheetData>
      <sheetData sheetId="2721">
        <row r="2">
          <cell r="A2" t="str">
            <v>실     명</v>
          </cell>
        </row>
      </sheetData>
      <sheetData sheetId="2722">
        <row r="2">
          <cell r="A2" t="str">
            <v>실     명</v>
          </cell>
        </row>
      </sheetData>
      <sheetData sheetId="2723">
        <row r="2">
          <cell r="A2" t="str">
            <v>실     명</v>
          </cell>
        </row>
      </sheetData>
      <sheetData sheetId="2724">
        <row r="2">
          <cell r="A2" t="str">
            <v>실     명</v>
          </cell>
        </row>
      </sheetData>
      <sheetData sheetId="2725">
        <row r="2">
          <cell r="A2" t="str">
            <v>실     명</v>
          </cell>
        </row>
      </sheetData>
      <sheetData sheetId="2726">
        <row r="2">
          <cell r="A2" t="str">
            <v>실     명</v>
          </cell>
        </row>
      </sheetData>
      <sheetData sheetId="2727">
        <row r="2">
          <cell r="A2" t="str">
            <v>실     명</v>
          </cell>
        </row>
      </sheetData>
      <sheetData sheetId="2728">
        <row r="2">
          <cell r="A2" t="str">
            <v>실     명</v>
          </cell>
        </row>
      </sheetData>
      <sheetData sheetId="2729">
        <row r="2">
          <cell r="A2" t="str">
            <v>실     명</v>
          </cell>
        </row>
      </sheetData>
      <sheetData sheetId="2730">
        <row r="2">
          <cell r="A2" t="str">
            <v>실     명</v>
          </cell>
        </row>
      </sheetData>
      <sheetData sheetId="2731">
        <row r="2">
          <cell r="A2" t="str">
            <v>실     명</v>
          </cell>
        </row>
      </sheetData>
      <sheetData sheetId="2732">
        <row r="2">
          <cell r="A2" t="str">
            <v>실     명</v>
          </cell>
        </row>
      </sheetData>
      <sheetData sheetId="2733">
        <row r="2">
          <cell r="A2" t="str">
            <v>실     명</v>
          </cell>
        </row>
      </sheetData>
      <sheetData sheetId="2734">
        <row r="2">
          <cell r="A2" t="str">
            <v>실     명</v>
          </cell>
        </row>
      </sheetData>
      <sheetData sheetId="2735">
        <row r="2">
          <cell r="A2" t="str">
            <v>실     명</v>
          </cell>
        </row>
      </sheetData>
      <sheetData sheetId="2736">
        <row r="2">
          <cell r="A2" t="str">
            <v>실     명</v>
          </cell>
        </row>
      </sheetData>
      <sheetData sheetId="2737">
        <row r="2">
          <cell r="A2" t="str">
            <v>실     명</v>
          </cell>
        </row>
      </sheetData>
      <sheetData sheetId="2738">
        <row r="2">
          <cell r="A2" t="str">
            <v>실     명</v>
          </cell>
        </row>
      </sheetData>
      <sheetData sheetId="2739">
        <row r="2">
          <cell r="A2" t="str">
            <v>실     명</v>
          </cell>
        </row>
      </sheetData>
      <sheetData sheetId="2740">
        <row r="2">
          <cell r="A2" t="str">
            <v>실     명</v>
          </cell>
        </row>
      </sheetData>
      <sheetData sheetId="2741">
        <row r="2">
          <cell r="A2" t="str">
            <v>실     명</v>
          </cell>
        </row>
      </sheetData>
      <sheetData sheetId="2742">
        <row r="2">
          <cell r="A2" t="str">
            <v>실     명</v>
          </cell>
        </row>
      </sheetData>
      <sheetData sheetId="2743">
        <row r="2">
          <cell r="A2" t="str">
            <v>실     명</v>
          </cell>
        </row>
      </sheetData>
      <sheetData sheetId="2744">
        <row r="2">
          <cell r="A2" t="str">
            <v>실     명</v>
          </cell>
        </row>
      </sheetData>
      <sheetData sheetId="2745">
        <row r="2">
          <cell r="A2" t="str">
            <v>실     명</v>
          </cell>
        </row>
      </sheetData>
      <sheetData sheetId="2746">
        <row r="2">
          <cell r="A2" t="str">
            <v>실     명</v>
          </cell>
        </row>
      </sheetData>
      <sheetData sheetId="2747">
        <row r="2">
          <cell r="A2" t="str">
            <v>실     명</v>
          </cell>
        </row>
      </sheetData>
      <sheetData sheetId="2748">
        <row r="2">
          <cell r="A2" t="str">
            <v>실     명</v>
          </cell>
        </row>
      </sheetData>
      <sheetData sheetId="2749">
        <row r="2">
          <cell r="A2" t="str">
            <v>실     명</v>
          </cell>
        </row>
      </sheetData>
      <sheetData sheetId="2750">
        <row r="2">
          <cell r="A2" t="str">
            <v>실     명</v>
          </cell>
        </row>
      </sheetData>
      <sheetData sheetId="2751">
        <row r="2">
          <cell r="A2" t="str">
            <v>실     명</v>
          </cell>
        </row>
      </sheetData>
      <sheetData sheetId="2752">
        <row r="2">
          <cell r="A2" t="str">
            <v>실     명</v>
          </cell>
        </row>
      </sheetData>
      <sheetData sheetId="2753">
        <row r="2">
          <cell r="A2" t="str">
            <v>실     명</v>
          </cell>
        </row>
      </sheetData>
      <sheetData sheetId="2754">
        <row r="2">
          <cell r="A2" t="str">
            <v>실     명</v>
          </cell>
        </row>
      </sheetData>
      <sheetData sheetId="2755">
        <row r="2">
          <cell r="A2" t="str">
            <v>실     명</v>
          </cell>
        </row>
      </sheetData>
      <sheetData sheetId="2756">
        <row r="2">
          <cell r="A2" t="str">
            <v>실     명</v>
          </cell>
        </row>
      </sheetData>
      <sheetData sheetId="2757">
        <row r="2">
          <cell r="A2" t="str">
            <v>실     명</v>
          </cell>
        </row>
      </sheetData>
      <sheetData sheetId="2758">
        <row r="2">
          <cell r="A2" t="str">
            <v>실     명</v>
          </cell>
        </row>
      </sheetData>
      <sheetData sheetId="2759">
        <row r="2">
          <cell r="A2" t="str">
            <v>실     명</v>
          </cell>
        </row>
      </sheetData>
      <sheetData sheetId="2760">
        <row r="2">
          <cell r="A2" t="str">
            <v>실     명</v>
          </cell>
        </row>
      </sheetData>
      <sheetData sheetId="2761">
        <row r="2">
          <cell r="A2" t="str">
            <v>실     명</v>
          </cell>
        </row>
      </sheetData>
      <sheetData sheetId="2762">
        <row r="2">
          <cell r="A2" t="str">
            <v>실     명</v>
          </cell>
        </row>
      </sheetData>
      <sheetData sheetId="2763">
        <row r="2">
          <cell r="A2" t="str">
            <v>실     명</v>
          </cell>
        </row>
      </sheetData>
      <sheetData sheetId="2764">
        <row r="2">
          <cell r="A2" t="str">
            <v>실     명</v>
          </cell>
        </row>
      </sheetData>
      <sheetData sheetId="2765">
        <row r="2">
          <cell r="A2" t="str">
            <v>실     명</v>
          </cell>
        </row>
      </sheetData>
      <sheetData sheetId="2766">
        <row r="2">
          <cell r="A2" t="str">
            <v>실     명</v>
          </cell>
        </row>
      </sheetData>
      <sheetData sheetId="2767">
        <row r="2">
          <cell r="A2" t="str">
            <v>실     명</v>
          </cell>
        </row>
      </sheetData>
      <sheetData sheetId="2768">
        <row r="2">
          <cell r="A2" t="str">
            <v>실     명</v>
          </cell>
        </row>
      </sheetData>
      <sheetData sheetId="2769">
        <row r="2">
          <cell r="A2" t="str">
            <v>실     명</v>
          </cell>
        </row>
      </sheetData>
      <sheetData sheetId="2770">
        <row r="2">
          <cell r="A2" t="str">
            <v>실     명</v>
          </cell>
        </row>
      </sheetData>
      <sheetData sheetId="2771">
        <row r="2">
          <cell r="A2" t="str">
            <v>실     명</v>
          </cell>
        </row>
      </sheetData>
      <sheetData sheetId="2772">
        <row r="2">
          <cell r="A2" t="str">
            <v>실     명</v>
          </cell>
        </row>
      </sheetData>
      <sheetData sheetId="2773">
        <row r="2">
          <cell r="A2" t="str">
            <v>실     명</v>
          </cell>
        </row>
      </sheetData>
      <sheetData sheetId="2774">
        <row r="2">
          <cell r="A2" t="str">
            <v>실     명</v>
          </cell>
        </row>
      </sheetData>
      <sheetData sheetId="2775">
        <row r="2">
          <cell r="A2" t="str">
            <v>실     명</v>
          </cell>
        </row>
      </sheetData>
      <sheetData sheetId="2776">
        <row r="2">
          <cell r="A2" t="str">
            <v>실     명</v>
          </cell>
        </row>
      </sheetData>
      <sheetData sheetId="2777">
        <row r="2">
          <cell r="A2" t="str">
            <v>실     명</v>
          </cell>
        </row>
      </sheetData>
      <sheetData sheetId="2778">
        <row r="2">
          <cell r="A2" t="str">
            <v>실     명</v>
          </cell>
        </row>
      </sheetData>
      <sheetData sheetId="2779">
        <row r="2">
          <cell r="A2" t="str">
            <v>실     명</v>
          </cell>
        </row>
      </sheetData>
      <sheetData sheetId="2780">
        <row r="2">
          <cell r="A2" t="str">
            <v>실     명</v>
          </cell>
        </row>
      </sheetData>
      <sheetData sheetId="2781">
        <row r="2">
          <cell r="A2" t="str">
            <v>실     명</v>
          </cell>
        </row>
      </sheetData>
      <sheetData sheetId="2782">
        <row r="2">
          <cell r="A2" t="str">
            <v>실     명</v>
          </cell>
        </row>
      </sheetData>
      <sheetData sheetId="2783">
        <row r="2">
          <cell r="A2" t="str">
            <v>실     명</v>
          </cell>
        </row>
      </sheetData>
      <sheetData sheetId="2784">
        <row r="2">
          <cell r="A2" t="str">
            <v>실     명</v>
          </cell>
        </row>
      </sheetData>
      <sheetData sheetId="2785">
        <row r="2">
          <cell r="A2" t="str">
            <v>실     명</v>
          </cell>
        </row>
      </sheetData>
      <sheetData sheetId="2786">
        <row r="2">
          <cell r="A2" t="str">
            <v>실     명</v>
          </cell>
        </row>
      </sheetData>
      <sheetData sheetId="2787">
        <row r="2">
          <cell r="A2" t="str">
            <v>실     명</v>
          </cell>
        </row>
      </sheetData>
      <sheetData sheetId="2788">
        <row r="2">
          <cell r="A2" t="str">
            <v>실     명</v>
          </cell>
        </row>
      </sheetData>
      <sheetData sheetId="2789">
        <row r="2">
          <cell r="A2" t="str">
            <v>실     명</v>
          </cell>
        </row>
      </sheetData>
      <sheetData sheetId="2790">
        <row r="2">
          <cell r="A2" t="str">
            <v>실     명</v>
          </cell>
        </row>
      </sheetData>
      <sheetData sheetId="2791">
        <row r="2">
          <cell r="A2" t="str">
            <v>실     명</v>
          </cell>
        </row>
      </sheetData>
      <sheetData sheetId="2792">
        <row r="2">
          <cell r="A2" t="str">
            <v>실     명</v>
          </cell>
        </row>
      </sheetData>
      <sheetData sheetId="2793">
        <row r="2">
          <cell r="A2" t="str">
            <v>실     명</v>
          </cell>
        </row>
      </sheetData>
      <sheetData sheetId="2794">
        <row r="2">
          <cell r="A2" t="str">
            <v>실     명</v>
          </cell>
        </row>
      </sheetData>
      <sheetData sheetId="2795">
        <row r="2">
          <cell r="A2" t="str">
            <v>실     명</v>
          </cell>
        </row>
      </sheetData>
      <sheetData sheetId="2796">
        <row r="2">
          <cell r="A2" t="str">
            <v>실     명</v>
          </cell>
        </row>
      </sheetData>
      <sheetData sheetId="2797">
        <row r="2">
          <cell r="A2" t="str">
            <v>실     명</v>
          </cell>
        </row>
      </sheetData>
      <sheetData sheetId="2798">
        <row r="2">
          <cell r="A2" t="str">
            <v>실     명</v>
          </cell>
        </row>
      </sheetData>
      <sheetData sheetId="2799">
        <row r="2">
          <cell r="A2" t="str">
            <v>실     명</v>
          </cell>
        </row>
      </sheetData>
      <sheetData sheetId="2800">
        <row r="2">
          <cell r="A2" t="str">
            <v>실     명</v>
          </cell>
        </row>
      </sheetData>
      <sheetData sheetId="2801">
        <row r="2">
          <cell r="A2" t="str">
            <v>실     명</v>
          </cell>
        </row>
      </sheetData>
      <sheetData sheetId="2802">
        <row r="2">
          <cell r="A2" t="str">
            <v>실     명</v>
          </cell>
        </row>
      </sheetData>
      <sheetData sheetId="2803">
        <row r="2">
          <cell r="A2" t="str">
            <v>실     명</v>
          </cell>
        </row>
      </sheetData>
      <sheetData sheetId="2804">
        <row r="2">
          <cell r="A2" t="str">
            <v>실     명</v>
          </cell>
        </row>
      </sheetData>
      <sheetData sheetId="2805">
        <row r="2">
          <cell r="A2" t="str">
            <v>실     명</v>
          </cell>
        </row>
      </sheetData>
      <sheetData sheetId="2806">
        <row r="2">
          <cell r="A2" t="str">
            <v>실     명</v>
          </cell>
        </row>
      </sheetData>
      <sheetData sheetId="2807">
        <row r="2">
          <cell r="A2" t="str">
            <v>실     명</v>
          </cell>
        </row>
      </sheetData>
      <sheetData sheetId="2808">
        <row r="2">
          <cell r="A2" t="str">
            <v>실     명</v>
          </cell>
        </row>
      </sheetData>
      <sheetData sheetId="2809">
        <row r="2">
          <cell r="A2" t="str">
            <v>실     명</v>
          </cell>
        </row>
      </sheetData>
      <sheetData sheetId="2810">
        <row r="2">
          <cell r="A2" t="str">
            <v>실     명</v>
          </cell>
        </row>
      </sheetData>
      <sheetData sheetId="2811">
        <row r="2">
          <cell r="A2" t="str">
            <v>실     명</v>
          </cell>
        </row>
      </sheetData>
      <sheetData sheetId="2812">
        <row r="2">
          <cell r="A2" t="str">
            <v>실     명</v>
          </cell>
        </row>
      </sheetData>
      <sheetData sheetId="2813">
        <row r="2">
          <cell r="A2" t="str">
            <v>실     명</v>
          </cell>
        </row>
      </sheetData>
      <sheetData sheetId="2814">
        <row r="2">
          <cell r="A2" t="str">
            <v>실     명</v>
          </cell>
        </row>
      </sheetData>
      <sheetData sheetId="2815">
        <row r="2">
          <cell r="A2" t="str">
            <v>실     명</v>
          </cell>
        </row>
      </sheetData>
      <sheetData sheetId="2816">
        <row r="2">
          <cell r="A2" t="str">
            <v>실     명</v>
          </cell>
        </row>
      </sheetData>
      <sheetData sheetId="2817">
        <row r="2">
          <cell r="A2" t="str">
            <v>실     명</v>
          </cell>
        </row>
      </sheetData>
      <sheetData sheetId="2818">
        <row r="2">
          <cell r="A2" t="str">
            <v>실     명</v>
          </cell>
        </row>
      </sheetData>
      <sheetData sheetId="2819">
        <row r="2">
          <cell r="A2" t="str">
            <v>실     명</v>
          </cell>
        </row>
      </sheetData>
      <sheetData sheetId="2820">
        <row r="2">
          <cell r="A2" t="str">
            <v>실     명</v>
          </cell>
        </row>
      </sheetData>
      <sheetData sheetId="2821">
        <row r="2">
          <cell r="A2" t="str">
            <v>실     명</v>
          </cell>
        </row>
      </sheetData>
      <sheetData sheetId="2822">
        <row r="2">
          <cell r="A2" t="str">
            <v>실     명</v>
          </cell>
        </row>
      </sheetData>
      <sheetData sheetId="2823">
        <row r="2">
          <cell r="A2" t="str">
            <v>실     명</v>
          </cell>
        </row>
      </sheetData>
      <sheetData sheetId="2824">
        <row r="2">
          <cell r="A2" t="str">
            <v>실     명</v>
          </cell>
        </row>
      </sheetData>
      <sheetData sheetId="2825">
        <row r="2">
          <cell r="A2" t="str">
            <v>실     명</v>
          </cell>
        </row>
      </sheetData>
      <sheetData sheetId="2826">
        <row r="2">
          <cell r="A2" t="str">
            <v>실     명</v>
          </cell>
        </row>
      </sheetData>
      <sheetData sheetId="2827">
        <row r="2">
          <cell r="A2" t="str">
            <v>실     명</v>
          </cell>
        </row>
      </sheetData>
      <sheetData sheetId="2828">
        <row r="2">
          <cell r="A2" t="str">
            <v>실     명</v>
          </cell>
        </row>
      </sheetData>
      <sheetData sheetId="2829">
        <row r="2">
          <cell r="A2" t="str">
            <v>실     명</v>
          </cell>
        </row>
      </sheetData>
      <sheetData sheetId="2830">
        <row r="2">
          <cell r="A2" t="str">
            <v>실     명</v>
          </cell>
        </row>
      </sheetData>
      <sheetData sheetId="2831">
        <row r="2">
          <cell r="A2" t="str">
            <v>실     명</v>
          </cell>
        </row>
      </sheetData>
      <sheetData sheetId="2832">
        <row r="2">
          <cell r="A2" t="str">
            <v>실     명</v>
          </cell>
        </row>
      </sheetData>
      <sheetData sheetId="2833">
        <row r="2">
          <cell r="A2" t="str">
            <v>실     명</v>
          </cell>
        </row>
      </sheetData>
      <sheetData sheetId="2834">
        <row r="2">
          <cell r="A2" t="str">
            <v>실     명</v>
          </cell>
        </row>
      </sheetData>
      <sheetData sheetId="2835">
        <row r="2">
          <cell r="A2" t="str">
            <v>실     명</v>
          </cell>
        </row>
      </sheetData>
      <sheetData sheetId="2836">
        <row r="2">
          <cell r="A2" t="str">
            <v>실     명</v>
          </cell>
        </row>
      </sheetData>
      <sheetData sheetId="2837">
        <row r="2">
          <cell r="A2" t="str">
            <v>실     명</v>
          </cell>
        </row>
      </sheetData>
      <sheetData sheetId="2838">
        <row r="2">
          <cell r="A2" t="str">
            <v>실     명</v>
          </cell>
        </row>
      </sheetData>
      <sheetData sheetId="2839">
        <row r="2">
          <cell r="A2" t="str">
            <v>실     명</v>
          </cell>
        </row>
      </sheetData>
      <sheetData sheetId="2840">
        <row r="2">
          <cell r="A2" t="str">
            <v>실     명</v>
          </cell>
        </row>
      </sheetData>
      <sheetData sheetId="2841">
        <row r="2">
          <cell r="A2" t="str">
            <v>실     명</v>
          </cell>
        </row>
      </sheetData>
      <sheetData sheetId="2842">
        <row r="2">
          <cell r="A2" t="str">
            <v>실     명</v>
          </cell>
        </row>
      </sheetData>
      <sheetData sheetId="2843">
        <row r="2">
          <cell r="A2" t="str">
            <v>실     명</v>
          </cell>
        </row>
      </sheetData>
      <sheetData sheetId="2844">
        <row r="2">
          <cell r="A2" t="str">
            <v>실     명</v>
          </cell>
        </row>
      </sheetData>
      <sheetData sheetId="2845">
        <row r="2">
          <cell r="A2" t="str">
            <v>실     명</v>
          </cell>
        </row>
      </sheetData>
      <sheetData sheetId="2846">
        <row r="2">
          <cell r="A2" t="str">
            <v>실     명</v>
          </cell>
        </row>
      </sheetData>
      <sheetData sheetId="2847">
        <row r="2">
          <cell r="A2" t="str">
            <v>실     명</v>
          </cell>
        </row>
      </sheetData>
      <sheetData sheetId="2848">
        <row r="2">
          <cell r="A2" t="str">
            <v>실     명</v>
          </cell>
        </row>
      </sheetData>
      <sheetData sheetId="2849">
        <row r="2">
          <cell r="A2" t="str">
            <v>실     명</v>
          </cell>
        </row>
      </sheetData>
      <sheetData sheetId="2850">
        <row r="2">
          <cell r="A2" t="str">
            <v>실     명</v>
          </cell>
        </row>
      </sheetData>
      <sheetData sheetId="2851">
        <row r="2">
          <cell r="A2" t="str">
            <v>실     명</v>
          </cell>
        </row>
      </sheetData>
      <sheetData sheetId="2852">
        <row r="2">
          <cell r="A2" t="str">
            <v>실     명</v>
          </cell>
        </row>
      </sheetData>
      <sheetData sheetId="2853">
        <row r="2">
          <cell r="A2" t="str">
            <v>실     명</v>
          </cell>
        </row>
      </sheetData>
      <sheetData sheetId="2854">
        <row r="2">
          <cell r="A2" t="str">
            <v>실     명</v>
          </cell>
        </row>
      </sheetData>
      <sheetData sheetId="2855">
        <row r="2">
          <cell r="A2" t="str">
            <v>실     명</v>
          </cell>
        </row>
      </sheetData>
      <sheetData sheetId="2856">
        <row r="2">
          <cell r="A2" t="str">
            <v>실     명</v>
          </cell>
        </row>
      </sheetData>
      <sheetData sheetId="2857">
        <row r="2">
          <cell r="A2" t="str">
            <v>실     명</v>
          </cell>
        </row>
      </sheetData>
      <sheetData sheetId="2858">
        <row r="2">
          <cell r="A2" t="str">
            <v>실     명</v>
          </cell>
        </row>
      </sheetData>
      <sheetData sheetId="2859">
        <row r="2">
          <cell r="A2" t="str">
            <v>실     명</v>
          </cell>
        </row>
      </sheetData>
      <sheetData sheetId="2860">
        <row r="2">
          <cell r="A2" t="str">
            <v>실     명</v>
          </cell>
        </row>
      </sheetData>
      <sheetData sheetId="2861"/>
      <sheetData sheetId="2862"/>
      <sheetData sheetId="2863"/>
      <sheetData sheetId="2864"/>
      <sheetData sheetId="2865">
        <row r="2">
          <cell r="A2" t="str">
            <v>실     명</v>
          </cell>
        </row>
      </sheetData>
      <sheetData sheetId="2866"/>
      <sheetData sheetId="2867"/>
      <sheetData sheetId="2868"/>
      <sheetData sheetId="2869"/>
      <sheetData sheetId="2870"/>
      <sheetData sheetId="2871"/>
      <sheetData sheetId="2872">
        <row r="2">
          <cell r="A2" t="str">
            <v>실     명</v>
          </cell>
        </row>
      </sheetData>
      <sheetData sheetId="2873">
        <row r="2">
          <cell r="A2" t="str">
            <v>실     명</v>
          </cell>
        </row>
      </sheetData>
      <sheetData sheetId="2874">
        <row r="2">
          <cell r="A2" t="str">
            <v>실     명</v>
          </cell>
        </row>
      </sheetData>
      <sheetData sheetId="2875">
        <row r="2">
          <cell r="A2" t="str">
            <v>실     명</v>
          </cell>
        </row>
      </sheetData>
      <sheetData sheetId="2876">
        <row r="2">
          <cell r="A2" t="str">
            <v>실     명</v>
          </cell>
        </row>
      </sheetData>
      <sheetData sheetId="2877">
        <row r="2">
          <cell r="A2" t="str">
            <v>실     명</v>
          </cell>
        </row>
      </sheetData>
      <sheetData sheetId="2878">
        <row r="2">
          <cell r="A2" t="str">
            <v>실     명</v>
          </cell>
        </row>
      </sheetData>
      <sheetData sheetId="2879">
        <row r="2">
          <cell r="A2" t="str">
            <v>실     명</v>
          </cell>
        </row>
      </sheetData>
      <sheetData sheetId="2880">
        <row r="2">
          <cell r="A2" t="str">
            <v>실     명</v>
          </cell>
        </row>
      </sheetData>
      <sheetData sheetId="2881">
        <row r="2">
          <cell r="A2" t="str">
            <v>실     명</v>
          </cell>
        </row>
      </sheetData>
      <sheetData sheetId="2882">
        <row r="2">
          <cell r="A2" t="str">
            <v>실     명</v>
          </cell>
        </row>
      </sheetData>
      <sheetData sheetId="2883">
        <row r="2">
          <cell r="A2" t="str">
            <v>실     명</v>
          </cell>
        </row>
      </sheetData>
      <sheetData sheetId="2884">
        <row r="2">
          <cell r="A2" t="str">
            <v>실     명</v>
          </cell>
        </row>
      </sheetData>
      <sheetData sheetId="2885">
        <row r="2">
          <cell r="A2" t="str">
            <v>실     명</v>
          </cell>
        </row>
      </sheetData>
      <sheetData sheetId="2886"/>
      <sheetData sheetId="2887"/>
      <sheetData sheetId="2888"/>
      <sheetData sheetId="2889">
        <row r="2">
          <cell r="A2" t="str">
            <v>실     명</v>
          </cell>
        </row>
      </sheetData>
      <sheetData sheetId="2890">
        <row r="2">
          <cell r="A2" t="str">
            <v>실     명</v>
          </cell>
        </row>
      </sheetData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>
        <row r="2">
          <cell r="A2" t="str">
            <v>실     명</v>
          </cell>
        </row>
      </sheetData>
      <sheetData sheetId="2907">
        <row r="2">
          <cell r="A2" t="str">
            <v>실     명</v>
          </cell>
        </row>
      </sheetData>
      <sheetData sheetId="2908">
        <row r="2">
          <cell r="A2" t="str">
            <v>실     명</v>
          </cell>
        </row>
      </sheetData>
      <sheetData sheetId="2909">
        <row r="2">
          <cell r="A2" t="str">
            <v>실     명</v>
          </cell>
        </row>
      </sheetData>
      <sheetData sheetId="2910">
        <row r="2">
          <cell r="A2" t="str">
            <v>실     명</v>
          </cell>
        </row>
      </sheetData>
      <sheetData sheetId="2911">
        <row r="2">
          <cell r="A2" t="str">
            <v>실     명</v>
          </cell>
        </row>
      </sheetData>
      <sheetData sheetId="2912">
        <row r="2">
          <cell r="A2" t="str">
            <v>실     명</v>
          </cell>
        </row>
      </sheetData>
      <sheetData sheetId="2913">
        <row r="2">
          <cell r="A2" t="str">
            <v>실     명</v>
          </cell>
        </row>
      </sheetData>
      <sheetData sheetId="2914">
        <row r="2">
          <cell r="A2" t="str">
            <v>실     명</v>
          </cell>
        </row>
      </sheetData>
      <sheetData sheetId="2915">
        <row r="2">
          <cell r="A2" t="str">
            <v>실     명</v>
          </cell>
        </row>
      </sheetData>
      <sheetData sheetId="2916">
        <row r="2">
          <cell r="A2" t="str">
            <v>실     명</v>
          </cell>
        </row>
      </sheetData>
      <sheetData sheetId="2917">
        <row r="2">
          <cell r="A2" t="str">
            <v>실     명</v>
          </cell>
        </row>
      </sheetData>
      <sheetData sheetId="2918">
        <row r="2">
          <cell r="A2" t="str">
            <v>실     명</v>
          </cell>
        </row>
      </sheetData>
      <sheetData sheetId="2919">
        <row r="2">
          <cell r="A2" t="str">
            <v>실     명</v>
          </cell>
        </row>
      </sheetData>
      <sheetData sheetId="2920">
        <row r="2">
          <cell r="A2" t="str">
            <v>실     명</v>
          </cell>
        </row>
      </sheetData>
      <sheetData sheetId="2921">
        <row r="2">
          <cell r="A2" t="str">
            <v>실     명</v>
          </cell>
        </row>
      </sheetData>
      <sheetData sheetId="2922">
        <row r="2">
          <cell r="A2" t="str">
            <v>실     명</v>
          </cell>
        </row>
      </sheetData>
      <sheetData sheetId="2923">
        <row r="2">
          <cell r="A2" t="str">
            <v>실     명</v>
          </cell>
        </row>
      </sheetData>
      <sheetData sheetId="2924">
        <row r="2">
          <cell r="A2" t="str">
            <v>실     명</v>
          </cell>
        </row>
      </sheetData>
      <sheetData sheetId="2925">
        <row r="2">
          <cell r="A2" t="str">
            <v>실     명</v>
          </cell>
        </row>
      </sheetData>
      <sheetData sheetId="2926">
        <row r="2">
          <cell r="A2" t="str">
            <v>실     명</v>
          </cell>
        </row>
      </sheetData>
      <sheetData sheetId="2927">
        <row r="2">
          <cell r="A2" t="str">
            <v>실     명</v>
          </cell>
        </row>
      </sheetData>
      <sheetData sheetId="2928">
        <row r="2">
          <cell r="A2" t="str">
            <v>실     명</v>
          </cell>
        </row>
      </sheetData>
      <sheetData sheetId="2929">
        <row r="2">
          <cell r="A2" t="str">
            <v>실     명</v>
          </cell>
        </row>
      </sheetData>
      <sheetData sheetId="2930">
        <row r="2">
          <cell r="A2" t="str">
            <v>실     명</v>
          </cell>
        </row>
      </sheetData>
      <sheetData sheetId="2931">
        <row r="2">
          <cell r="A2" t="str">
            <v>실     명</v>
          </cell>
        </row>
      </sheetData>
      <sheetData sheetId="2932">
        <row r="2">
          <cell r="A2" t="str">
            <v>실     명</v>
          </cell>
        </row>
      </sheetData>
      <sheetData sheetId="2933">
        <row r="2">
          <cell r="A2" t="str">
            <v>실     명</v>
          </cell>
        </row>
      </sheetData>
      <sheetData sheetId="2934">
        <row r="2">
          <cell r="A2" t="str">
            <v>실     명</v>
          </cell>
        </row>
      </sheetData>
      <sheetData sheetId="2935">
        <row r="2">
          <cell r="A2" t="str">
            <v>실     명</v>
          </cell>
        </row>
      </sheetData>
      <sheetData sheetId="2936">
        <row r="2">
          <cell r="A2" t="str">
            <v>실     명</v>
          </cell>
        </row>
      </sheetData>
      <sheetData sheetId="2937">
        <row r="2">
          <cell r="A2" t="str">
            <v>실     명</v>
          </cell>
        </row>
      </sheetData>
      <sheetData sheetId="2938">
        <row r="2">
          <cell r="A2" t="str">
            <v>실     명</v>
          </cell>
        </row>
      </sheetData>
      <sheetData sheetId="2939">
        <row r="2">
          <cell r="A2" t="str">
            <v>실     명</v>
          </cell>
        </row>
      </sheetData>
      <sheetData sheetId="2940">
        <row r="2">
          <cell r="A2" t="str">
            <v>실     명</v>
          </cell>
        </row>
      </sheetData>
      <sheetData sheetId="2941">
        <row r="2">
          <cell r="A2" t="str">
            <v>실     명</v>
          </cell>
        </row>
      </sheetData>
      <sheetData sheetId="2942">
        <row r="2">
          <cell r="A2" t="str">
            <v>실     명</v>
          </cell>
        </row>
      </sheetData>
      <sheetData sheetId="2943">
        <row r="2">
          <cell r="A2" t="str">
            <v>실     명</v>
          </cell>
        </row>
      </sheetData>
      <sheetData sheetId="2944">
        <row r="2">
          <cell r="A2" t="str">
            <v>실     명</v>
          </cell>
        </row>
      </sheetData>
      <sheetData sheetId="2945">
        <row r="2">
          <cell r="A2" t="str">
            <v>실     명</v>
          </cell>
        </row>
      </sheetData>
      <sheetData sheetId="2946">
        <row r="2">
          <cell r="A2" t="str">
            <v>실     명</v>
          </cell>
        </row>
      </sheetData>
      <sheetData sheetId="2947">
        <row r="2">
          <cell r="A2" t="str">
            <v>실     명</v>
          </cell>
        </row>
      </sheetData>
      <sheetData sheetId="2948">
        <row r="2">
          <cell r="A2" t="str">
            <v>실     명</v>
          </cell>
        </row>
      </sheetData>
      <sheetData sheetId="2949">
        <row r="2">
          <cell r="A2" t="str">
            <v>실     명</v>
          </cell>
        </row>
      </sheetData>
      <sheetData sheetId="2950">
        <row r="2">
          <cell r="A2" t="str">
            <v>실     명</v>
          </cell>
        </row>
      </sheetData>
      <sheetData sheetId="2951">
        <row r="2">
          <cell r="A2" t="str">
            <v>실     명</v>
          </cell>
        </row>
      </sheetData>
      <sheetData sheetId="2952">
        <row r="2">
          <cell r="A2" t="str">
            <v>실     명</v>
          </cell>
        </row>
      </sheetData>
      <sheetData sheetId="2953">
        <row r="2">
          <cell r="A2" t="str">
            <v>실     명</v>
          </cell>
        </row>
      </sheetData>
      <sheetData sheetId="2954">
        <row r="2">
          <cell r="A2" t="str">
            <v>실     명</v>
          </cell>
        </row>
      </sheetData>
      <sheetData sheetId="2955">
        <row r="2">
          <cell r="A2" t="str">
            <v>실     명</v>
          </cell>
        </row>
      </sheetData>
      <sheetData sheetId="2956">
        <row r="2">
          <cell r="A2" t="str">
            <v>실     명</v>
          </cell>
        </row>
      </sheetData>
      <sheetData sheetId="2957">
        <row r="2">
          <cell r="A2" t="str">
            <v>실     명</v>
          </cell>
        </row>
      </sheetData>
      <sheetData sheetId="2958">
        <row r="2">
          <cell r="A2" t="str">
            <v>실     명</v>
          </cell>
        </row>
      </sheetData>
      <sheetData sheetId="2959">
        <row r="2">
          <cell r="A2" t="str">
            <v>실     명</v>
          </cell>
        </row>
      </sheetData>
      <sheetData sheetId="2960">
        <row r="2">
          <cell r="A2" t="str">
            <v>실     명</v>
          </cell>
        </row>
      </sheetData>
      <sheetData sheetId="2961">
        <row r="2">
          <cell r="A2" t="str">
            <v>실     명</v>
          </cell>
        </row>
      </sheetData>
      <sheetData sheetId="2962">
        <row r="2">
          <cell r="A2" t="str">
            <v>실     명</v>
          </cell>
        </row>
      </sheetData>
      <sheetData sheetId="2963">
        <row r="2">
          <cell r="A2" t="str">
            <v>실     명</v>
          </cell>
        </row>
      </sheetData>
      <sheetData sheetId="2964">
        <row r="2">
          <cell r="A2" t="str">
            <v>실     명</v>
          </cell>
        </row>
      </sheetData>
      <sheetData sheetId="2965">
        <row r="2">
          <cell r="A2" t="str">
            <v>실     명</v>
          </cell>
        </row>
      </sheetData>
      <sheetData sheetId="2966">
        <row r="2">
          <cell r="A2" t="str">
            <v>실     명</v>
          </cell>
        </row>
      </sheetData>
      <sheetData sheetId="2967">
        <row r="2">
          <cell r="A2" t="str">
            <v>실     명</v>
          </cell>
        </row>
      </sheetData>
      <sheetData sheetId="2968">
        <row r="2">
          <cell r="A2" t="str">
            <v>실     명</v>
          </cell>
        </row>
      </sheetData>
      <sheetData sheetId="2969">
        <row r="2">
          <cell r="A2" t="str">
            <v>실     명</v>
          </cell>
        </row>
      </sheetData>
      <sheetData sheetId="2970">
        <row r="2">
          <cell r="A2" t="str">
            <v>실     명</v>
          </cell>
        </row>
      </sheetData>
      <sheetData sheetId="2971">
        <row r="2">
          <cell r="A2" t="str">
            <v>실     명</v>
          </cell>
        </row>
      </sheetData>
      <sheetData sheetId="2972">
        <row r="2">
          <cell r="A2" t="str">
            <v>실     명</v>
          </cell>
        </row>
      </sheetData>
      <sheetData sheetId="2973">
        <row r="2">
          <cell r="A2" t="str">
            <v>실     명</v>
          </cell>
        </row>
      </sheetData>
      <sheetData sheetId="2974">
        <row r="2">
          <cell r="A2" t="str">
            <v>실     명</v>
          </cell>
        </row>
      </sheetData>
      <sheetData sheetId="2975">
        <row r="2">
          <cell r="A2" t="str">
            <v>실     명</v>
          </cell>
        </row>
      </sheetData>
      <sheetData sheetId="2976">
        <row r="2">
          <cell r="A2" t="str">
            <v>실     명</v>
          </cell>
        </row>
      </sheetData>
      <sheetData sheetId="2977">
        <row r="2">
          <cell r="A2" t="str">
            <v>실     명</v>
          </cell>
        </row>
      </sheetData>
      <sheetData sheetId="2978">
        <row r="2">
          <cell r="A2" t="str">
            <v>실     명</v>
          </cell>
        </row>
      </sheetData>
      <sheetData sheetId="2979">
        <row r="2">
          <cell r="A2" t="str">
            <v>실     명</v>
          </cell>
        </row>
      </sheetData>
      <sheetData sheetId="2980">
        <row r="2">
          <cell r="A2" t="str">
            <v>실     명</v>
          </cell>
        </row>
      </sheetData>
      <sheetData sheetId="2981">
        <row r="2">
          <cell r="A2" t="str">
            <v>실     명</v>
          </cell>
        </row>
      </sheetData>
      <sheetData sheetId="2982">
        <row r="2">
          <cell r="A2" t="str">
            <v>실     명</v>
          </cell>
        </row>
      </sheetData>
      <sheetData sheetId="2983">
        <row r="2">
          <cell r="A2" t="str">
            <v>실     명</v>
          </cell>
        </row>
      </sheetData>
      <sheetData sheetId="2984">
        <row r="2">
          <cell r="A2" t="str">
            <v>실     명</v>
          </cell>
        </row>
      </sheetData>
      <sheetData sheetId="2985">
        <row r="2">
          <cell r="A2" t="str">
            <v>실     명</v>
          </cell>
        </row>
      </sheetData>
      <sheetData sheetId="2986">
        <row r="2">
          <cell r="A2" t="str">
            <v>실     명</v>
          </cell>
        </row>
      </sheetData>
      <sheetData sheetId="2987">
        <row r="2">
          <cell r="A2" t="str">
            <v>실     명</v>
          </cell>
        </row>
      </sheetData>
      <sheetData sheetId="2988">
        <row r="2">
          <cell r="A2" t="str">
            <v>실     명</v>
          </cell>
        </row>
      </sheetData>
      <sheetData sheetId="2989">
        <row r="2">
          <cell r="A2" t="str">
            <v>실     명</v>
          </cell>
        </row>
      </sheetData>
      <sheetData sheetId="2990">
        <row r="2">
          <cell r="A2" t="str">
            <v>실     명</v>
          </cell>
        </row>
      </sheetData>
      <sheetData sheetId="2991">
        <row r="2">
          <cell r="A2" t="str">
            <v>실     명</v>
          </cell>
        </row>
      </sheetData>
      <sheetData sheetId="2992">
        <row r="2">
          <cell r="A2" t="str">
            <v>실     명</v>
          </cell>
        </row>
      </sheetData>
      <sheetData sheetId="2993">
        <row r="2">
          <cell r="A2" t="str">
            <v>실     명</v>
          </cell>
        </row>
      </sheetData>
      <sheetData sheetId="2994">
        <row r="2">
          <cell r="A2" t="str">
            <v>실     명</v>
          </cell>
        </row>
      </sheetData>
      <sheetData sheetId="2995">
        <row r="2">
          <cell r="A2" t="str">
            <v>실     명</v>
          </cell>
        </row>
      </sheetData>
      <sheetData sheetId="2996">
        <row r="2">
          <cell r="A2" t="str">
            <v>실     명</v>
          </cell>
        </row>
      </sheetData>
      <sheetData sheetId="2997">
        <row r="2">
          <cell r="A2" t="str">
            <v>실     명</v>
          </cell>
        </row>
      </sheetData>
      <sheetData sheetId="2998">
        <row r="2">
          <cell r="A2" t="str">
            <v>실     명</v>
          </cell>
        </row>
      </sheetData>
      <sheetData sheetId="2999">
        <row r="2">
          <cell r="A2" t="str">
            <v>실     명</v>
          </cell>
        </row>
      </sheetData>
      <sheetData sheetId="3000">
        <row r="2">
          <cell r="A2" t="str">
            <v>실     명</v>
          </cell>
        </row>
      </sheetData>
      <sheetData sheetId="3001">
        <row r="2">
          <cell r="A2" t="str">
            <v>실     명</v>
          </cell>
        </row>
      </sheetData>
      <sheetData sheetId="3002">
        <row r="2">
          <cell r="A2" t="str">
            <v>실     명</v>
          </cell>
        </row>
      </sheetData>
      <sheetData sheetId="3003">
        <row r="2">
          <cell r="A2" t="str">
            <v>실     명</v>
          </cell>
        </row>
      </sheetData>
      <sheetData sheetId="3004">
        <row r="2">
          <cell r="A2" t="str">
            <v>실     명</v>
          </cell>
        </row>
      </sheetData>
      <sheetData sheetId="3005">
        <row r="2">
          <cell r="A2" t="str">
            <v>실     명</v>
          </cell>
        </row>
      </sheetData>
      <sheetData sheetId="3006">
        <row r="2">
          <cell r="A2" t="str">
            <v>실     명</v>
          </cell>
        </row>
      </sheetData>
      <sheetData sheetId="3007">
        <row r="2">
          <cell r="A2" t="str">
            <v>실     명</v>
          </cell>
        </row>
      </sheetData>
      <sheetData sheetId="3008">
        <row r="2">
          <cell r="A2" t="str">
            <v>실     명</v>
          </cell>
        </row>
      </sheetData>
      <sheetData sheetId="3009">
        <row r="2">
          <cell r="A2" t="str">
            <v>실     명</v>
          </cell>
        </row>
      </sheetData>
      <sheetData sheetId="3010">
        <row r="2">
          <cell r="A2" t="str">
            <v>실     명</v>
          </cell>
        </row>
      </sheetData>
      <sheetData sheetId="3011">
        <row r="2">
          <cell r="A2" t="str">
            <v>실     명</v>
          </cell>
        </row>
      </sheetData>
      <sheetData sheetId="3012">
        <row r="2">
          <cell r="A2" t="str">
            <v>실     명</v>
          </cell>
        </row>
      </sheetData>
      <sheetData sheetId="3013">
        <row r="2">
          <cell r="A2" t="str">
            <v>실     명</v>
          </cell>
        </row>
      </sheetData>
      <sheetData sheetId="3014">
        <row r="2">
          <cell r="A2" t="str">
            <v>실     명</v>
          </cell>
        </row>
      </sheetData>
      <sheetData sheetId="3015">
        <row r="2">
          <cell r="A2" t="str">
            <v>실     명</v>
          </cell>
        </row>
      </sheetData>
      <sheetData sheetId="3016">
        <row r="2">
          <cell r="A2" t="str">
            <v>실     명</v>
          </cell>
        </row>
      </sheetData>
      <sheetData sheetId="3017">
        <row r="2">
          <cell r="A2" t="str">
            <v>실     명</v>
          </cell>
        </row>
      </sheetData>
      <sheetData sheetId="3018">
        <row r="2">
          <cell r="A2" t="str">
            <v>실     명</v>
          </cell>
        </row>
      </sheetData>
      <sheetData sheetId="3019">
        <row r="2">
          <cell r="A2" t="str">
            <v>실     명</v>
          </cell>
        </row>
      </sheetData>
      <sheetData sheetId="3020">
        <row r="2">
          <cell r="A2" t="str">
            <v>실     명</v>
          </cell>
        </row>
      </sheetData>
      <sheetData sheetId="3021">
        <row r="2">
          <cell r="A2" t="str">
            <v>실     명</v>
          </cell>
        </row>
      </sheetData>
      <sheetData sheetId="3022">
        <row r="2">
          <cell r="A2" t="str">
            <v>실     명</v>
          </cell>
        </row>
      </sheetData>
      <sheetData sheetId="3023">
        <row r="2">
          <cell r="A2" t="str">
            <v>실     명</v>
          </cell>
        </row>
      </sheetData>
      <sheetData sheetId="3024">
        <row r="2">
          <cell r="A2" t="str">
            <v>실     명</v>
          </cell>
        </row>
      </sheetData>
      <sheetData sheetId="3025">
        <row r="2">
          <cell r="A2" t="str">
            <v>실     명</v>
          </cell>
        </row>
      </sheetData>
      <sheetData sheetId="3026">
        <row r="2">
          <cell r="A2" t="str">
            <v>실     명</v>
          </cell>
        </row>
      </sheetData>
      <sheetData sheetId="3027">
        <row r="2">
          <cell r="A2" t="str">
            <v>실     명</v>
          </cell>
        </row>
      </sheetData>
      <sheetData sheetId="3028">
        <row r="2">
          <cell r="A2" t="str">
            <v>실     명</v>
          </cell>
        </row>
      </sheetData>
      <sheetData sheetId="3029">
        <row r="2">
          <cell r="A2" t="str">
            <v>실     명</v>
          </cell>
        </row>
      </sheetData>
      <sheetData sheetId="3030">
        <row r="2">
          <cell r="A2" t="str">
            <v>실     명</v>
          </cell>
        </row>
      </sheetData>
      <sheetData sheetId="3031">
        <row r="2">
          <cell r="A2" t="str">
            <v>실     명</v>
          </cell>
        </row>
      </sheetData>
      <sheetData sheetId="3032">
        <row r="2">
          <cell r="A2" t="str">
            <v>실     명</v>
          </cell>
        </row>
      </sheetData>
      <sheetData sheetId="3033">
        <row r="2">
          <cell r="A2" t="str">
            <v>실     명</v>
          </cell>
        </row>
      </sheetData>
      <sheetData sheetId="3034">
        <row r="2">
          <cell r="A2" t="str">
            <v>실     명</v>
          </cell>
        </row>
      </sheetData>
      <sheetData sheetId="3035">
        <row r="2">
          <cell r="A2" t="str">
            <v>실     명</v>
          </cell>
        </row>
      </sheetData>
      <sheetData sheetId="3036">
        <row r="2">
          <cell r="A2" t="str">
            <v>실     명</v>
          </cell>
        </row>
      </sheetData>
      <sheetData sheetId="3037">
        <row r="2">
          <cell r="A2" t="str">
            <v>실     명</v>
          </cell>
        </row>
      </sheetData>
      <sheetData sheetId="3038">
        <row r="2">
          <cell r="A2" t="str">
            <v>실     명</v>
          </cell>
        </row>
      </sheetData>
      <sheetData sheetId="3039">
        <row r="2">
          <cell r="A2" t="str">
            <v>실     명</v>
          </cell>
        </row>
      </sheetData>
      <sheetData sheetId="3040">
        <row r="2">
          <cell r="A2" t="str">
            <v>실     명</v>
          </cell>
        </row>
      </sheetData>
      <sheetData sheetId="3041">
        <row r="2">
          <cell r="A2" t="str">
            <v>실     명</v>
          </cell>
        </row>
      </sheetData>
      <sheetData sheetId="3042">
        <row r="2">
          <cell r="A2" t="str">
            <v>실     명</v>
          </cell>
        </row>
      </sheetData>
      <sheetData sheetId="3043">
        <row r="2">
          <cell r="A2" t="str">
            <v>실     명</v>
          </cell>
        </row>
      </sheetData>
      <sheetData sheetId="3044">
        <row r="2">
          <cell r="A2" t="str">
            <v>실     명</v>
          </cell>
        </row>
      </sheetData>
      <sheetData sheetId="3045">
        <row r="2">
          <cell r="A2" t="str">
            <v>실     명</v>
          </cell>
        </row>
      </sheetData>
      <sheetData sheetId="3046">
        <row r="2">
          <cell r="A2" t="str">
            <v>실     명</v>
          </cell>
        </row>
      </sheetData>
      <sheetData sheetId="3047">
        <row r="2">
          <cell r="A2" t="str">
            <v>실     명</v>
          </cell>
        </row>
      </sheetData>
      <sheetData sheetId="3048">
        <row r="2">
          <cell r="A2" t="str">
            <v>실     명</v>
          </cell>
        </row>
      </sheetData>
      <sheetData sheetId="3049">
        <row r="2">
          <cell r="A2" t="str">
            <v>실     명</v>
          </cell>
        </row>
      </sheetData>
      <sheetData sheetId="3050">
        <row r="2">
          <cell r="A2" t="str">
            <v>실     명</v>
          </cell>
        </row>
      </sheetData>
      <sheetData sheetId="3051">
        <row r="2">
          <cell r="A2" t="str">
            <v>실     명</v>
          </cell>
        </row>
      </sheetData>
      <sheetData sheetId="3052">
        <row r="2">
          <cell r="A2" t="str">
            <v>실     명</v>
          </cell>
        </row>
      </sheetData>
      <sheetData sheetId="3053">
        <row r="2">
          <cell r="A2" t="str">
            <v>실     명</v>
          </cell>
        </row>
      </sheetData>
      <sheetData sheetId="3054">
        <row r="2">
          <cell r="A2" t="str">
            <v>실     명</v>
          </cell>
        </row>
      </sheetData>
      <sheetData sheetId="3055">
        <row r="2">
          <cell r="A2" t="str">
            <v>실     명</v>
          </cell>
        </row>
      </sheetData>
      <sheetData sheetId="3056">
        <row r="2">
          <cell r="A2" t="str">
            <v>실     명</v>
          </cell>
        </row>
      </sheetData>
      <sheetData sheetId="3057">
        <row r="2">
          <cell r="A2" t="str">
            <v>실     명</v>
          </cell>
        </row>
      </sheetData>
      <sheetData sheetId="3058">
        <row r="2">
          <cell r="A2" t="str">
            <v>실     명</v>
          </cell>
        </row>
      </sheetData>
      <sheetData sheetId="3059">
        <row r="2">
          <cell r="A2" t="str">
            <v>실     명</v>
          </cell>
        </row>
      </sheetData>
      <sheetData sheetId="3060">
        <row r="2">
          <cell r="A2" t="str">
            <v>실     명</v>
          </cell>
        </row>
      </sheetData>
      <sheetData sheetId="3061">
        <row r="2">
          <cell r="A2" t="str">
            <v>실     명</v>
          </cell>
        </row>
      </sheetData>
      <sheetData sheetId="3062">
        <row r="2">
          <cell r="A2" t="str">
            <v>실     명</v>
          </cell>
        </row>
      </sheetData>
      <sheetData sheetId="3063">
        <row r="2">
          <cell r="A2" t="str">
            <v>실     명</v>
          </cell>
        </row>
      </sheetData>
      <sheetData sheetId="3064">
        <row r="2">
          <cell r="A2" t="str">
            <v>실     명</v>
          </cell>
        </row>
      </sheetData>
      <sheetData sheetId="3065">
        <row r="2">
          <cell r="A2" t="str">
            <v>실     명</v>
          </cell>
        </row>
      </sheetData>
      <sheetData sheetId="3066">
        <row r="2">
          <cell r="A2" t="str">
            <v>실     명</v>
          </cell>
        </row>
      </sheetData>
      <sheetData sheetId="3067">
        <row r="2">
          <cell r="A2" t="str">
            <v>실     명</v>
          </cell>
        </row>
      </sheetData>
      <sheetData sheetId="3068">
        <row r="2">
          <cell r="A2" t="str">
            <v>실     명</v>
          </cell>
        </row>
      </sheetData>
      <sheetData sheetId="3069">
        <row r="2">
          <cell r="A2" t="str">
            <v>실     명</v>
          </cell>
        </row>
      </sheetData>
      <sheetData sheetId="3070">
        <row r="2">
          <cell r="A2" t="str">
            <v>실     명</v>
          </cell>
        </row>
      </sheetData>
      <sheetData sheetId="3071">
        <row r="2">
          <cell r="A2" t="str">
            <v>실     명</v>
          </cell>
        </row>
      </sheetData>
      <sheetData sheetId="3072">
        <row r="2">
          <cell r="A2" t="str">
            <v>실     명</v>
          </cell>
        </row>
      </sheetData>
      <sheetData sheetId="3073">
        <row r="2">
          <cell r="A2" t="str">
            <v>실     명</v>
          </cell>
        </row>
      </sheetData>
      <sheetData sheetId="3074">
        <row r="2">
          <cell r="A2" t="str">
            <v>실     명</v>
          </cell>
        </row>
      </sheetData>
      <sheetData sheetId="3075">
        <row r="2">
          <cell r="A2" t="str">
            <v>실     명</v>
          </cell>
        </row>
      </sheetData>
      <sheetData sheetId="3076">
        <row r="2">
          <cell r="A2" t="str">
            <v>실     명</v>
          </cell>
        </row>
      </sheetData>
      <sheetData sheetId="3077">
        <row r="2">
          <cell r="A2" t="str">
            <v>실     명</v>
          </cell>
        </row>
      </sheetData>
      <sheetData sheetId="3078">
        <row r="2">
          <cell r="A2" t="str">
            <v>실     명</v>
          </cell>
        </row>
      </sheetData>
      <sheetData sheetId="3079">
        <row r="2">
          <cell r="A2" t="str">
            <v>실     명</v>
          </cell>
        </row>
      </sheetData>
      <sheetData sheetId="3080">
        <row r="2">
          <cell r="A2" t="str">
            <v>실     명</v>
          </cell>
        </row>
      </sheetData>
      <sheetData sheetId="3081">
        <row r="2">
          <cell r="A2" t="str">
            <v>실     명</v>
          </cell>
        </row>
      </sheetData>
      <sheetData sheetId="3082">
        <row r="2">
          <cell r="A2" t="str">
            <v>실     명</v>
          </cell>
        </row>
      </sheetData>
      <sheetData sheetId="3083">
        <row r="2">
          <cell r="A2" t="str">
            <v>실     명</v>
          </cell>
        </row>
      </sheetData>
      <sheetData sheetId="3084">
        <row r="2">
          <cell r="A2" t="str">
            <v>실     명</v>
          </cell>
        </row>
      </sheetData>
      <sheetData sheetId="3085">
        <row r="2">
          <cell r="A2" t="str">
            <v>실     명</v>
          </cell>
        </row>
      </sheetData>
      <sheetData sheetId="3086">
        <row r="2">
          <cell r="A2" t="str">
            <v>실     명</v>
          </cell>
        </row>
      </sheetData>
      <sheetData sheetId="3087">
        <row r="2">
          <cell r="A2" t="str">
            <v>실     명</v>
          </cell>
        </row>
      </sheetData>
      <sheetData sheetId="3088">
        <row r="2">
          <cell r="A2" t="str">
            <v>실     명</v>
          </cell>
        </row>
      </sheetData>
      <sheetData sheetId="3089">
        <row r="2">
          <cell r="A2" t="str">
            <v>실     명</v>
          </cell>
        </row>
      </sheetData>
      <sheetData sheetId="3090">
        <row r="2">
          <cell r="A2" t="str">
            <v>실     명</v>
          </cell>
        </row>
      </sheetData>
      <sheetData sheetId="3091">
        <row r="2">
          <cell r="A2" t="str">
            <v>실     명</v>
          </cell>
        </row>
      </sheetData>
      <sheetData sheetId="3092">
        <row r="2">
          <cell r="A2" t="str">
            <v>실     명</v>
          </cell>
        </row>
      </sheetData>
      <sheetData sheetId="3093">
        <row r="2">
          <cell r="A2" t="str">
            <v>실     명</v>
          </cell>
        </row>
      </sheetData>
      <sheetData sheetId="3094">
        <row r="2">
          <cell r="A2" t="str">
            <v>실     명</v>
          </cell>
        </row>
      </sheetData>
      <sheetData sheetId="3095">
        <row r="2">
          <cell r="A2" t="str">
            <v>실     명</v>
          </cell>
        </row>
      </sheetData>
      <sheetData sheetId="3096">
        <row r="2">
          <cell r="A2" t="str">
            <v>실     명</v>
          </cell>
        </row>
      </sheetData>
      <sheetData sheetId="3097">
        <row r="2">
          <cell r="A2" t="str">
            <v>실     명</v>
          </cell>
        </row>
      </sheetData>
      <sheetData sheetId="3098">
        <row r="2">
          <cell r="A2" t="str">
            <v>실     명</v>
          </cell>
        </row>
      </sheetData>
      <sheetData sheetId="3099">
        <row r="2">
          <cell r="A2" t="str">
            <v>실     명</v>
          </cell>
        </row>
      </sheetData>
      <sheetData sheetId="3100">
        <row r="2">
          <cell r="A2" t="str">
            <v>실     명</v>
          </cell>
        </row>
      </sheetData>
      <sheetData sheetId="3101">
        <row r="2">
          <cell r="A2" t="str">
            <v>실     명</v>
          </cell>
        </row>
      </sheetData>
      <sheetData sheetId="3102">
        <row r="2">
          <cell r="A2" t="str">
            <v>실     명</v>
          </cell>
        </row>
      </sheetData>
      <sheetData sheetId="3103">
        <row r="2">
          <cell r="A2" t="str">
            <v>실     명</v>
          </cell>
        </row>
      </sheetData>
      <sheetData sheetId="3104">
        <row r="2">
          <cell r="A2" t="str">
            <v>실     명</v>
          </cell>
        </row>
      </sheetData>
      <sheetData sheetId="3105">
        <row r="2">
          <cell r="A2" t="str">
            <v>실     명</v>
          </cell>
        </row>
      </sheetData>
      <sheetData sheetId="3106">
        <row r="2">
          <cell r="A2" t="str">
            <v>실     명</v>
          </cell>
        </row>
      </sheetData>
      <sheetData sheetId="3107">
        <row r="2">
          <cell r="A2" t="str">
            <v>실     명</v>
          </cell>
        </row>
      </sheetData>
      <sheetData sheetId="3108">
        <row r="2">
          <cell r="A2" t="str">
            <v>실     명</v>
          </cell>
        </row>
      </sheetData>
      <sheetData sheetId="3109">
        <row r="2">
          <cell r="A2" t="str">
            <v>실     명</v>
          </cell>
        </row>
      </sheetData>
      <sheetData sheetId="3110">
        <row r="2">
          <cell r="A2" t="str">
            <v>실     명</v>
          </cell>
        </row>
      </sheetData>
      <sheetData sheetId="3111">
        <row r="2">
          <cell r="A2" t="str">
            <v>실     명</v>
          </cell>
        </row>
      </sheetData>
      <sheetData sheetId="3112">
        <row r="2">
          <cell r="A2" t="str">
            <v>실     명</v>
          </cell>
        </row>
      </sheetData>
      <sheetData sheetId="3113">
        <row r="2">
          <cell r="A2" t="str">
            <v>실     명</v>
          </cell>
        </row>
      </sheetData>
      <sheetData sheetId="3114">
        <row r="2">
          <cell r="A2" t="str">
            <v>실     명</v>
          </cell>
        </row>
      </sheetData>
      <sheetData sheetId="3115">
        <row r="2">
          <cell r="A2" t="str">
            <v>실     명</v>
          </cell>
        </row>
      </sheetData>
      <sheetData sheetId="3116">
        <row r="2">
          <cell r="A2" t="str">
            <v>실     명</v>
          </cell>
        </row>
      </sheetData>
      <sheetData sheetId="3117">
        <row r="2">
          <cell r="A2" t="str">
            <v>실     명</v>
          </cell>
        </row>
      </sheetData>
      <sheetData sheetId="3118">
        <row r="2">
          <cell r="A2" t="str">
            <v>실     명</v>
          </cell>
        </row>
      </sheetData>
      <sheetData sheetId="3119">
        <row r="2">
          <cell r="A2" t="str">
            <v>실     명</v>
          </cell>
        </row>
      </sheetData>
      <sheetData sheetId="3120">
        <row r="2">
          <cell r="A2" t="str">
            <v>실     명</v>
          </cell>
        </row>
      </sheetData>
      <sheetData sheetId="3121">
        <row r="2">
          <cell r="A2" t="str">
            <v>실     명</v>
          </cell>
        </row>
      </sheetData>
      <sheetData sheetId="3122">
        <row r="2">
          <cell r="A2" t="str">
            <v>실     명</v>
          </cell>
        </row>
      </sheetData>
      <sheetData sheetId="3123">
        <row r="2">
          <cell r="A2" t="str">
            <v>실     명</v>
          </cell>
        </row>
      </sheetData>
      <sheetData sheetId="3124">
        <row r="2">
          <cell r="A2" t="str">
            <v>실     명</v>
          </cell>
        </row>
      </sheetData>
      <sheetData sheetId="3125">
        <row r="2">
          <cell r="A2" t="str">
            <v>실     명</v>
          </cell>
        </row>
      </sheetData>
      <sheetData sheetId="3126">
        <row r="2">
          <cell r="A2" t="str">
            <v>실     명</v>
          </cell>
        </row>
      </sheetData>
      <sheetData sheetId="3127">
        <row r="2">
          <cell r="A2" t="str">
            <v>실     명</v>
          </cell>
        </row>
      </sheetData>
      <sheetData sheetId="3128">
        <row r="2">
          <cell r="A2" t="str">
            <v>실     명</v>
          </cell>
        </row>
      </sheetData>
      <sheetData sheetId="3129">
        <row r="2">
          <cell r="A2" t="str">
            <v>실     명</v>
          </cell>
        </row>
      </sheetData>
      <sheetData sheetId="3130">
        <row r="2">
          <cell r="A2" t="str">
            <v>실     명</v>
          </cell>
        </row>
      </sheetData>
      <sheetData sheetId="3131">
        <row r="2">
          <cell r="A2" t="str">
            <v>실     명</v>
          </cell>
        </row>
      </sheetData>
      <sheetData sheetId="3132">
        <row r="2">
          <cell r="A2" t="str">
            <v>실     명</v>
          </cell>
        </row>
      </sheetData>
      <sheetData sheetId="3133">
        <row r="2">
          <cell r="A2" t="str">
            <v>실     명</v>
          </cell>
        </row>
      </sheetData>
      <sheetData sheetId="3134">
        <row r="2">
          <cell r="A2" t="str">
            <v>실     명</v>
          </cell>
        </row>
      </sheetData>
      <sheetData sheetId="3135">
        <row r="2">
          <cell r="A2" t="str">
            <v>실     명</v>
          </cell>
        </row>
      </sheetData>
      <sheetData sheetId="3136">
        <row r="2">
          <cell r="A2" t="str">
            <v>실     명</v>
          </cell>
        </row>
      </sheetData>
      <sheetData sheetId="3137">
        <row r="2">
          <cell r="A2" t="str">
            <v>실     명</v>
          </cell>
        </row>
      </sheetData>
      <sheetData sheetId="3138">
        <row r="2">
          <cell r="A2" t="str">
            <v>실     명</v>
          </cell>
        </row>
      </sheetData>
      <sheetData sheetId="3139">
        <row r="2">
          <cell r="A2" t="str">
            <v>실     명</v>
          </cell>
        </row>
      </sheetData>
      <sheetData sheetId="3140">
        <row r="2">
          <cell r="A2" t="str">
            <v>실     명</v>
          </cell>
        </row>
      </sheetData>
      <sheetData sheetId="3141">
        <row r="2">
          <cell r="A2" t="str">
            <v>실     명</v>
          </cell>
        </row>
      </sheetData>
      <sheetData sheetId="3142">
        <row r="2">
          <cell r="A2" t="str">
            <v>실     명</v>
          </cell>
        </row>
      </sheetData>
      <sheetData sheetId="3143">
        <row r="2">
          <cell r="A2" t="str">
            <v>실     명</v>
          </cell>
        </row>
      </sheetData>
      <sheetData sheetId="3144">
        <row r="2">
          <cell r="A2" t="str">
            <v>실     명</v>
          </cell>
        </row>
      </sheetData>
      <sheetData sheetId="3145">
        <row r="2">
          <cell r="A2" t="str">
            <v>실     명</v>
          </cell>
        </row>
      </sheetData>
      <sheetData sheetId="3146">
        <row r="2">
          <cell r="A2" t="str">
            <v>실     명</v>
          </cell>
        </row>
      </sheetData>
      <sheetData sheetId="3147">
        <row r="2">
          <cell r="A2" t="str">
            <v>실     명</v>
          </cell>
        </row>
      </sheetData>
      <sheetData sheetId="3148">
        <row r="2">
          <cell r="A2" t="str">
            <v>실     명</v>
          </cell>
        </row>
      </sheetData>
      <sheetData sheetId="3149">
        <row r="2">
          <cell r="A2" t="str">
            <v>실     명</v>
          </cell>
        </row>
      </sheetData>
      <sheetData sheetId="3150">
        <row r="2">
          <cell r="A2" t="str">
            <v>실     명</v>
          </cell>
        </row>
      </sheetData>
      <sheetData sheetId="3151">
        <row r="2">
          <cell r="A2" t="str">
            <v>실     명</v>
          </cell>
        </row>
      </sheetData>
      <sheetData sheetId="3152">
        <row r="2">
          <cell r="A2" t="str">
            <v>실     명</v>
          </cell>
        </row>
      </sheetData>
      <sheetData sheetId="3153">
        <row r="2">
          <cell r="A2" t="str">
            <v>실     명</v>
          </cell>
        </row>
      </sheetData>
      <sheetData sheetId="3154">
        <row r="2">
          <cell r="A2" t="str">
            <v>실     명</v>
          </cell>
        </row>
      </sheetData>
      <sheetData sheetId="3155">
        <row r="2">
          <cell r="A2" t="str">
            <v>실     명</v>
          </cell>
        </row>
      </sheetData>
      <sheetData sheetId="3156">
        <row r="2">
          <cell r="A2" t="str">
            <v>실     명</v>
          </cell>
        </row>
      </sheetData>
      <sheetData sheetId="3157">
        <row r="2">
          <cell r="A2" t="str">
            <v>실     명</v>
          </cell>
        </row>
      </sheetData>
      <sheetData sheetId="3158">
        <row r="2">
          <cell r="A2" t="str">
            <v>실     명</v>
          </cell>
        </row>
      </sheetData>
      <sheetData sheetId="3159">
        <row r="2">
          <cell r="A2" t="str">
            <v>실     명</v>
          </cell>
        </row>
      </sheetData>
      <sheetData sheetId="3160">
        <row r="2">
          <cell r="A2" t="str">
            <v>실     명</v>
          </cell>
        </row>
      </sheetData>
      <sheetData sheetId="3161">
        <row r="2">
          <cell r="A2" t="str">
            <v>실     명</v>
          </cell>
        </row>
      </sheetData>
      <sheetData sheetId="3162">
        <row r="2">
          <cell r="A2" t="str">
            <v>실     명</v>
          </cell>
        </row>
      </sheetData>
      <sheetData sheetId="3163">
        <row r="2">
          <cell r="A2" t="str">
            <v>실     명</v>
          </cell>
        </row>
      </sheetData>
      <sheetData sheetId="3164">
        <row r="2">
          <cell r="A2" t="str">
            <v>실     명</v>
          </cell>
        </row>
      </sheetData>
      <sheetData sheetId="3165">
        <row r="2">
          <cell r="A2" t="str">
            <v>실     명</v>
          </cell>
        </row>
      </sheetData>
      <sheetData sheetId="3166">
        <row r="2">
          <cell r="A2" t="str">
            <v>실     명</v>
          </cell>
        </row>
      </sheetData>
      <sheetData sheetId="3167">
        <row r="2">
          <cell r="A2" t="str">
            <v>실     명</v>
          </cell>
        </row>
      </sheetData>
      <sheetData sheetId="3168">
        <row r="2">
          <cell r="A2" t="str">
            <v>실     명</v>
          </cell>
        </row>
      </sheetData>
      <sheetData sheetId="3169">
        <row r="2">
          <cell r="A2" t="str">
            <v>실     명</v>
          </cell>
        </row>
      </sheetData>
      <sheetData sheetId="3170">
        <row r="2">
          <cell r="A2" t="str">
            <v>실     명</v>
          </cell>
        </row>
      </sheetData>
      <sheetData sheetId="3171">
        <row r="2">
          <cell r="A2" t="str">
            <v>실     명</v>
          </cell>
        </row>
      </sheetData>
      <sheetData sheetId="3172">
        <row r="2">
          <cell r="A2" t="str">
            <v>실     명</v>
          </cell>
        </row>
      </sheetData>
      <sheetData sheetId="3173">
        <row r="2">
          <cell r="A2" t="str">
            <v>실     명</v>
          </cell>
        </row>
      </sheetData>
      <sheetData sheetId="3174">
        <row r="2">
          <cell r="A2" t="str">
            <v>실     명</v>
          </cell>
        </row>
      </sheetData>
      <sheetData sheetId="3175">
        <row r="2">
          <cell r="A2" t="str">
            <v>실     명</v>
          </cell>
        </row>
      </sheetData>
      <sheetData sheetId="3176">
        <row r="2">
          <cell r="A2" t="str">
            <v>실     명</v>
          </cell>
        </row>
      </sheetData>
      <sheetData sheetId="3177">
        <row r="2">
          <cell r="A2" t="str">
            <v>실     명</v>
          </cell>
        </row>
      </sheetData>
      <sheetData sheetId="3178">
        <row r="2">
          <cell r="A2" t="str">
            <v>실     명</v>
          </cell>
        </row>
      </sheetData>
      <sheetData sheetId="3179">
        <row r="2">
          <cell r="A2" t="str">
            <v>실     명</v>
          </cell>
        </row>
      </sheetData>
      <sheetData sheetId="3180">
        <row r="2">
          <cell r="A2" t="str">
            <v>실     명</v>
          </cell>
        </row>
      </sheetData>
      <sheetData sheetId="3181">
        <row r="2">
          <cell r="A2" t="str">
            <v>실     명</v>
          </cell>
        </row>
      </sheetData>
      <sheetData sheetId="3182">
        <row r="2">
          <cell r="A2" t="str">
            <v>실     명</v>
          </cell>
        </row>
      </sheetData>
      <sheetData sheetId="3183">
        <row r="2">
          <cell r="A2" t="str">
            <v>실     명</v>
          </cell>
        </row>
      </sheetData>
      <sheetData sheetId="3184">
        <row r="2">
          <cell r="A2" t="str">
            <v>실     명</v>
          </cell>
        </row>
      </sheetData>
      <sheetData sheetId="3185">
        <row r="2">
          <cell r="A2" t="str">
            <v>실     명</v>
          </cell>
        </row>
      </sheetData>
      <sheetData sheetId="3186">
        <row r="2">
          <cell r="A2" t="str">
            <v>실     명</v>
          </cell>
        </row>
      </sheetData>
      <sheetData sheetId="3187">
        <row r="2">
          <cell r="A2" t="str">
            <v>실     명</v>
          </cell>
        </row>
      </sheetData>
      <sheetData sheetId="3188">
        <row r="2">
          <cell r="A2" t="str">
            <v>실     명</v>
          </cell>
        </row>
      </sheetData>
      <sheetData sheetId="3189">
        <row r="2">
          <cell r="A2" t="str">
            <v>실     명</v>
          </cell>
        </row>
      </sheetData>
      <sheetData sheetId="3190">
        <row r="2">
          <cell r="A2" t="str">
            <v>실     명</v>
          </cell>
        </row>
      </sheetData>
      <sheetData sheetId="3191">
        <row r="2">
          <cell r="A2" t="str">
            <v>실     명</v>
          </cell>
        </row>
      </sheetData>
      <sheetData sheetId="3192">
        <row r="2">
          <cell r="A2" t="str">
            <v>실     명</v>
          </cell>
        </row>
      </sheetData>
      <sheetData sheetId="3193">
        <row r="2">
          <cell r="A2" t="str">
            <v>실     명</v>
          </cell>
        </row>
      </sheetData>
      <sheetData sheetId="3194">
        <row r="2">
          <cell r="A2" t="str">
            <v>실     명</v>
          </cell>
        </row>
      </sheetData>
      <sheetData sheetId="3195">
        <row r="2">
          <cell r="A2" t="str">
            <v>실     명</v>
          </cell>
        </row>
      </sheetData>
      <sheetData sheetId="3196">
        <row r="2">
          <cell r="A2" t="str">
            <v>실     명</v>
          </cell>
        </row>
      </sheetData>
      <sheetData sheetId="3197">
        <row r="2">
          <cell r="A2" t="str">
            <v>실     명</v>
          </cell>
        </row>
      </sheetData>
      <sheetData sheetId="3198">
        <row r="2">
          <cell r="A2" t="str">
            <v>실     명</v>
          </cell>
        </row>
      </sheetData>
      <sheetData sheetId="3199">
        <row r="2">
          <cell r="A2" t="str">
            <v>실     명</v>
          </cell>
        </row>
      </sheetData>
      <sheetData sheetId="3200">
        <row r="2">
          <cell r="A2" t="str">
            <v>실     명</v>
          </cell>
        </row>
      </sheetData>
      <sheetData sheetId="3201">
        <row r="2">
          <cell r="A2" t="str">
            <v>실     명</v>
          </cell>
        </row>
      </sheetData>
      <sheetData sheetId="3202">
        <row r="2">
          <cell r="A2" t="str">
            <v>실     명</v>
          </cell>
        </row>
      </sheetData>
      <sheetData sheetId="3203">
        <row r="2">
          <cell r="A2" t="str">
            <v>실     명</v>
          </cell>
        </row>
      </sheetData>
      <sheetData sheetId="3204">
        <row r="2">
          <cell r="A2" t="str">
            <v>실     명</v>
          </cell>
        </row>
      </sheetData>
      <sheetData sheetId="3205">
        <row r="2">
          <cell r="A2" t="str">
            <v>실     명</v>
          </cell>
        </row>
      </sheetData>
      <sheetData sheetId="3206">
        <row r="2">
          <cell r="A2" t="str">
            <v>실     명</v>
          </cell>
        </row>
      </sheetData>
      <sheetData sheetId="3207">
        <row r="2">
          <cell r="A2" t="str">
            <v>실     명</v>
          </cell>
        </row>
      </sheetData>
      <sheetData sheetId="3208">
        <row r="2">
          <cell r="A2" t="str">
            <v>실     명</v>
          </cell>
        </row>
      </sheetData>
      <sheetData sheetId="3209">
        <row r="2">
          <cell r="A2" t="str">
            <v>실     명</v>
          </cell>
        </row>
      </sheetData>
      <sheetData sheetId="3210">
        <row r="2">
          <cell r="A2" t="str">
            <v>실     명</v>
          </cell>
        </row>
      </sheetData>
      <sheetData sheetId="3211">
        <row r="2">
          <cell r="A2" t="str">
            <v>실     명</v>
          </cell>
        </row>
      </sheetData>
      <sheetData sheetId="3212">
        <row r="2">
          <cell r="A2" t="str">
            <v>실     명</v>
          </cell>
        </row>
      </sheetData>
      <sheetData sheetId="3213">
        <row r="2">
          <cell r="A2" t="str">
            <v>실     명</v>
          </cell>
        </row>
      </sheetData>
      <sheetData sheetId="3214">
        <row r="2">
          <cell r="A2" t="str">
            <v>실     명</v>
          </cell>
        </row>
      </sheetData>
      <sheetData sheetId="3215">
        <row r="2">
          <cell r="A2" t="str">
            <v>실     명</v>
          </cell>
        </row>
      </sheetData>
      <sheetData sheetId="3216">
        <row r="2">
          <cell r="A2" t="str">
            <v>실     명</v>
          </cell>
        </row>
      </sheetData>
      <sheetData sheetId="3217">
        <row r="2">
          <cell r="A2" t="str">
            <v>실     명</v>
          </cell>
        </row>
      </sheetData>
      <sheetData sheetId="3218">
        <row r="2">
          <cell r="A2" t="str">
            <v>실     명</v>
          </cell>
        </row>
      </sheetData>
      <sheetData sheetId="3219">
        <row r="2">
          <cell r="A2" t="str">
            <v>실     명</v>
          </cell>
        </row>
      </sheetData>
      <sheetData sheetId="3220">
        <row r="2">
          <cell r="A2" t="str">
            <v>실     명</v>
          </cell>
        </row>
      </sheetData>
      <sheetData sheetId="3221">
        <row r="2">
          <cell r="A2" t="str">
            <v>실     명</v>
          </cell>
        </row>
      </sheetData>
      <sheetData sheetId="3222">
        <row r="2">
          <cell r="A2" t="str">
            <v>실     명</v>
          </cell>
        </row>
      </sheetData>
      <sheetData sheetId="3223">
        <row r="2">
          <cell r="A2" t="str">
            <v>실     명</v>
          </cell>
        </row>
      </sheetData>
      <sheetData sheetId="3224">
        <row r="2">
          <cell r="A2" t="str">
            <v>실     명</v>
          </cell>
        </row>
      </sheetData>
      <sheetData sheetId="3225">
        <row r="2">
          <cell r="A2" t="str">
            <v>실     명</v>
          </cell>
        </row>
      </sheetData>
      <sheetData sheetId="3226">
        <row r="2">
          <cell r="A2" t="str">
            <v>실     명</v>
          </cell>
        </row>
      </sheetData>
      <sheetData sheetId="3227">
        <row r="2">
          <cell r="A2" t="str">
            <v>실     명</v>
          </cell>
        </row>
      </sheetData>
      <sheetData sheetId="3228">
        <row r="2">
          <cell r="A2" t="str">
            <v>실     명</v>
          </cell>
        </row>
      </sheetData>
      <sheetData sheetId="3229">
        <row r="2">
          <cell r="A2" t="str">
            <v>실     명</v>
          </cell>
        </row>
      </sheetData>
      <sheetData sheetId="3230">
        <row r="2">
          <cell r="A2" t="str">
            <v>실     명</v>
          </cell>
        </row>
      </sheetData>
      <sheetData sheetId="3231">
        <row r="2">
          <cell r="A2" t="str">
            <v>실     명</v>
          </cell>
        </row>
      </sheetData>
      <sheetData sheetId="3232">
        <row r="2">
          <cell r="A2" t="str">
            <v>실     명</v>
          </cell>
        </row>
      </sheetData>
      <sheetData sheetId="3233">
        <row r="2">
          <cell r="A2" t="str">
            <v>실     명</v>
          </cell>
        </row>
      </sheetData>
      <sheetData sheetId="3234">
        <row r="2">
          <cell r="A2" t="str">
            <v>실     명</v>
          </cell>
        </row>
      </sheetData>
      <sheetData sheetId="3235">
        <row r="2">
          <cell r="A2" t="str">
            <v>실     명</v>
          </cell>
        </row>
      </sheetData>
      <sheetData sheetId="3236">
        <row r="2">
          <cell r="A2" t="str">
            <v>실     명</v>
          </cell>
        </row>
      </sheetData>
      <sheetData sheetId="3237">
        <row r="2">
          <cell r="A2" t="str">
            <v>실     명</v>
          </cell>
        </row>
      </sheetData>
      <sheetData sheetId="3238">
        <row r="2">
          <cell r="A2" t="str">
            <v>실     명</v>
          </cell>
        </row>
      </sheetData>
      <sheetData sheetId="3239">
        <row r="2">
          <cell r="A2" t="str">
            <v>실     명</v>
          </cell>
        </row>
      </sheetData>
      <sheetData sheetId="3240">
        <row r="2">
          <cell r="A2" t="str">
            <v>실     명</v>
          </cell>
        </row>
      </sheetData>
      <sheetData sheetId="3241">
        <row r="2">
          <cell r="A2" t="str">
            <v>실     명</v>
          </cell>
        </row>
      </sheetData>
      <sheetData sheetId="3242">
        <row r="2">
          <cell r="A2" t="str">
            <v>실     명</v>
          </cell>
        </row>
      </sheetData>
      <sheetData sheetId="3243">
        <row r="2">
          <cell r="A2" t="str">
            <v>실     명</v>
          </cell>
        </row>
      </sheetData>
      <sheetData sheetId="3244">
        <row r="2">
          <cell r="A2" t="str">
            <v>실     명</v>
          </cell>
        </row>
      </sheetData>
      <sheetData sheetId="3245">
        <row r="2">
          <cell r="A2" t="str">
            <v>실     명</v>
          </cell>
        </row>
      </sheetData>
      <sheetData sheetId="3246">
        <row r="2">
          <cell r="A2" t="str">
            <v>실     명</v>
          </cell>
        </row>
      </sheetData>
      <sheetData sheetId="3247">
        <row r="2">
          <cell r="A2" t="str">
            <v>실     명</v>
          </cell>
        </row>
      </sheetData>
      <sheetData sheetId="3248">
        <row r="2">
          <cell r="A2" t="str">
            <v>실     명</v>
          </cell>
        </row>
      </sheetData>
      <sheetData sheetId="3249">
        <row r="2">
          <cell r="A2" t="str">
            <v>실     명</v>
          </cell>
        </row>
      </sheetData>
      <sheetData sheetId="3250">
        <row r="2">
          <cell r="A2" t="str">
            <v>실     명</v>
          </cell>
        </row>
      </sheetData>
      <sheetData sheetId="3251">
        <row r="2">
          <cell r="A2" t="str">
            <v>실     명</v>
          </cell>
        </row>
      </sheetData>
      <sheetData sheetId="3252">
        <row r="2">
          <cell r="A2" t="str">
            <v>실     명</v>
          </cell>
        </row>
      </sheetData>
      <sheetData sheetId="3253">
        <row r="2">
          <cell r="A2" t="str">
            <v>실     명</v>
          </cell>
        </row>
      </sheetData>
      <sheetData sheetId="3254">
        <row r="2">
          <cell r="A2" t="str">
            <v>실     명</v>
          </cell>
        </row>
      </sheetData>
      <sheetData sheetId="3255">
        <row r="2">
          <cell r="A2" t="str">
            <v>실     명</v>
          </cell>
        </row>
      </sheetData>
      <sheetData sheetId="3256">
        <row r="2">
          <cell r="A2" t="str">
            <v>실     명</v>
          </cell>
        </row>
      </sheetData>
      <sheetData sheetId="3257">
        <row r="2">
          <cell r="A2" t="str">
            <v>실     명</v>
          </cell>
        </row>
      </sheetData>
      <sheetData sheetId="3258">
        <row r="2">
          <cell r="A2" t="str">
            <v>실     명</v>
          </cell>
        </row>
      </sheetData>
      <sheetData sheetId="3259">
        <row r="2">
          <cell r="A2" t="str">
            <v>실     명</v>
          </cell>
        </row>
      </sheetData>
      <sheetData sheetId="3260">
        <row r="2">
          <cell r="A2" t="str">
            <v>실     명</v>
          </cell>
        </row>
      </sheetData>
      <sheetData sheetId="3261">
        <row r="2">
          <cell r="A2" t="str">
            <v>실     명</v>
          </cell>
        </row>
      </sheetData>
      <sheetData sheetId="3262">
        <row r="2">
          <cell r="A2" t="str">
            <v>실     명</v>
          </cell>
        </row>
      </sheetData>
      <sheetData sheetId="3263">
        <row r="2">
          <cell r="A2" t="str">
            <v>실     명</v>
          </cell>
        </row>
      </sheetData>
      <sheetData sheetId="3264">
        <row r="2">
          <cell r="A2" t="str">
            <v>실     명</v>
          </cell>
        </row>
      </sheetData>
      <sheetData sheetId="3265">
        <row r="2">
          <cell r="A2" t="str">
            <v>실     명</v>
          </cell>
        </row>
      </sheetData>
      <sheetData sheetId="3266">
        <row r="2">
          <cell r="A2" t="str">
            <v>실     명</v>
          </cell>
        </row>
      </sheetData>
      <sheetData sheetId="3267">
        <row r="2">
          <cell r="A2" t="str">
            <v>실     명</v>
          </cell>
        </row>
      </sheetData>
      <sheetData sheetId="3268">
        <row r="2">
          <cell r="A2" t="str">
            <v>실     명</v>
          </cell>
        </row>
      </sheetData>
      <sheetData sheetId="3269">
        <row r="2">
          <cell r="A2" t="str">
            <v>실     명</v>
          </cell>
        </row>
      </sheetData>
      <sheetData sheetId="3270">
        <row r="2">
          <cell r="A2" t="str">
            <v>실     명</v>
          </cell>
        </row>
      </sheetData>
      <sheetData sheetId="3271">
        <row r="2">
          <cell r="A2" t="str">
            <v>실     명</v>
          </cell>
        </row>
      </sheetData>
      <sheetData sheetId="3272">
        <row r="2">
          <cell r="A2" t="str">
            <v>실     명</v>
          </cell>
        </row>
      </sheetData>
      <sheetData sheetId="3273">
        <row r="2">
          <cell r="A2" t="str">
            <v>실     명</v>
          </cell>
        </row>
      </sheetData>
      <sheetData sheetId="3274">
        <row r="2">
          <cell r="A2" t="str">
            <v>실     명</v>
          </cell>
        </row>
      </sheetData>
      <sheetData sheetId="3275">
        <row r="2">
          <cell r="A2" t="str">
            <v>실     명</v>
          </cell>
        </row>
      </sheetData>
      <sheetData sheetId="3276">
        <row r="2">
          <cell r="A2" t="str">
            <v>실     명</v>
          </cell>
        </row>
      </sheetData>
      <sheetData sheetId="3277">
        <row r="2">
          <cell r="A2" t="str">
            <v>실     명</v>
          </cell>
        </row>
      </sheetData>
      <sheetData sheetId="3278">
        <row r="2">
          <cell r="A2" t="str">
            <v>실     명</v>
          </cell>
        </row>
      </sheetData>
      <sheetData sheetId="3279">
        <row r="2">
          <cell r="A2" t="str">
            <v>실     명</v>
          </cell>
        </row>
      </sheetData>
      <sheetData sheetId="3280">
        <row r="2">
          <cell r="A2" t="str">
            <v>실     명</v>
          </cell>
        </row>
      </sheetData>
      <sheetData sheetId="3281">
        <row r="2">
          <cell r="A2" t="str">
            <v>실     명</v>
          </cell>
        </row>
      </sheetData>
      <sheetData sheetId="3282">
        <row r="2">
          <cell r="A2" t="str">
            <v>실     명</v>
          </cell>
        </row>
      </sheetData>
      <sheetData sheetId="3283">
        <row r="2">
          <cell r="A2" t="str">
            <v>실     명</v>
          </cell>
        </row>
      </sheetData>
      <sheetData sheetId="3284">
        <row r="2">
          <cell r="A2" t="str">
            <v>실     명</v>
          </cell>
        </row>
      </sheetData>
      <sheetData sheetId="3285">
        <row r="2">
          <cell r="A2" t="str">
            <v>실     명</v>
          </cell>
        </row>
      </sheetData>
      <sheetData sheetId="3286">
        <row r="2">
          <cell r="A2" t="str">
            <v>실     명</v>
          </cell>
        </row>
      </sheetData>
      <sheetData sheetId="3287">
        <row r="2">
          <cell r="A2" t="str">
            <v>실     명</v>
          </cell>
        </row>
      </sheetData>
      <sheetData sheetId="3288">
        <row r="2">
          <cell r="A2" t="str">
            <v>실     명</v>
          </cell>
        </row>
      </sheetData>
      <sheetData sheetId="3289">
        <row r="2">
          <cell r="A2" t="str">
            <v>실     명</v>
          </cell>
        </row>
      </sheetData>
      <sheetData sheetId="3290">
        <row r="2">
          <cell r="A2" t="str">
            <v>실     명</v>
          </cell>
        </row>
      </sheetData>
      <sheetData sheetId="3291">
        <row r="2">
          <cell r="A2" t="str">
            <v>실     명</v>
          </cell>
        </row>
      </sheetData>
      <sheetData sheetId="3292">
        <row r="2">
          <cell r="A2" t="str">
            <v>실     명</v>
          </cell>
        </row>
      </sheetData>
      <sheetData sheetId="3293">
        <row r="2">
          <cell r="A2" t="str">
            <v>실     명</v>
          </cell>
        </row>
      </sheetData>
      <sheetData sheetId="3294">
        <row r="2">
          <cell r="A2" t="str">
            <v>실     명</v>
          </cell>
        </row>
      </sheetData>
      <sheetData sheetId="3295">
        <row r="2">
          <cell r="A2" t="str">
            <v>실     명</v>
          </cell>
        </row>
      </sheetData>
      <sheetData sheetId="3296">
        <row r="2">
          <cell r="A2" t="str">
            <v>실     명</v>
          </cell>
        </row>
      </sheetData>
      <sheetData sheetId="3297">
        <row r="2">
          <cell r="A2" t="str">
            <v>실     명</v>
          </cell>
        </row>
      </sheetData>
      <sheetData sheetId="3298">
        <row r="2">
          <cell r="A2" t="str">
            <v>실     명</v>
          </cell>
        </row>
      </sheetData>
      <sheetData sheetId="3299">
        <row r="2">
          <cell r="A2" t="str">
            <v>실     명</v>
          </cell>
        </row>
      </sheetData>
      <sheetData sheetId="3300">
        <row r="2">
          <cell r="A2" t="str">
            <v>실     명</v>
          </cell>
        </row>
      </sheetData>
      <sheetData sheetId="3301">
        <row r="2">
          <cell r="A2" t="str">
            <v>실     명</v>
          </cell>
        </row>
      </sheetData>
      <sheetData sheetId="3302">
        <row r="2">
          <cell r="A2" t="str">
            <v>실     명</v>
          </cell>
        </row>
      </sheetData>
      <sheetData sheetId="3303">
        <row r="2">
          <cell r="A2" t="str">
            <v>실     명</v>
          </cell>
        </row>
      </sheetData>
      <sheetData sheetId="3304">
        <row r="2">
          <cell r="A2" t="str">
            <v>실     명</v>
          </cell>
        </row>
      </sheetData>
      <sheetData sheetId="3305">
        <row r="2">
          <cell r="A2" t="str">
            <v>실     명</v>
          </cell>
        </row>
      </sheetData>
      <sheetData sheetId="3306">
        <row r="2">
          <cell r="A2" t="str">
            <v>실     명</v>
          </cell>
        </row>
      </sheetData>
      <sheetData sheetId="3307">
        <row r="2">
          <cell r="A2" t="str">
            <v>실     명</v>
          </cell>
        </row>
      </sheetData>
      <sheetData sheetId="3308">
        <row r="2">
          <cell r="A2" t="str">
            <v>실     명</v>
          </cell>
        </row>
      </sheetData>
      <sheetData sheetId="3309">
        <row r="2">
          <cell r="A2" t="str">
            <v>실     명</v>
          </cell>
        </row>
      </sheetData>
      <sheetData sheetId="3310">
        <row r="2">
          <cell r="A2" t="str">
            <v>실     명</v>
          </cell>
        </row>
      </sheetData>
      <sheetData sheetId="3311">
        <row r="2">
          <cell r="A2" t="str">
            <v>실     명</v>
          </cell>
        </row>
      </sheetData>
      <sheetData sheetId="3312">
        <row r="2">
          <cell r="A2" t="str">
            <v>실     명</v>
          </cell>
        </row>
      </sheetData>
      <sheetData sheetId="3313">
        <row r="2">
          <cell r="A2" t="str">
            <v>실     명</v>
          </cell>
        </row>
      </sheetData>
      <sheetData sheetId="3314">
        <row r="2">
          <cell r="A2" t="str">
            <v>실     명</v>
          </cell>
        </row>
      </sheetData>
      <sheetData sheetId="3315">
        <row r="2">
          <cell r="A2" t="str">
            <v>실     명</v>
          </cell>
        </row>
      </sheetData>
      <sheetData sheetId="3316">
        <row r="2">
          <cell r="A2" t="str">
            <v>실     명</v>
          </cell>
        </row>
      </sheetData>
      <sheetData sheetId="3317">
        <row r="2">
          <cell r="A2" t="str">
            <v>실     명</v>
          </cell>
        </row>
      </sheetData>
      <sheetData sheetId="3318">
        <row r="2">
          <cell r="A2" t="str">
            <v>실     명</v>
          </cell>
        </row>
      </sheetData>
      <sheetData sheetId="3319">
        <row r="2">
          <cell r="A2" t="str">
            <v>실     명</v>
          </cell>
        </row>
      </sheetData>
      <sheetData sheetId="3320">
        <row r="2">
          <cell r="A2" t="str">
            <v>실     명</v>
          </cell>
        </row>
      </sheetData>
      <sheetData sheetId="3321">
        <row r="2">
          <cell r="A2" t="str">
            <v>실     명</v>
          </cell>
        </row>
      </sheetData>
      <sheetData sheetId="3322">
        <row r="2">
          <cell r="A2" t="str">
            <v>실     명</v>
          </cell>
        </row>
      </sheetData>
      <sheetData sheetId="3323">
        <row r="2">
          <cell r="A2" t="str">
            <v>실     명</v>
          </cell>
        </row>
      </sheetData>
      <sheetData sheetId="3324">
        <row r="2">
          <cell r="A2" t="str">
            <v>실     명</v>
          </cell>
        </row>
      </sheetData>
      <sheetData sheetId="3325">
        <row r="2">
          <cell r="A2" t="str">
            <v>실     명</v>
          </cell>
        </row>
      </sheetData>
      <sheetData sheetId="3326">
        <row r="2">
          <cell r="A2" t="str">
            <v>실     명</v>
          </cell>
        </row>
      </sheetData>
      <sheetData sheetId="3327">
        <row r="2">
          <cell r="A2" t="str">
            <v>실     명</v>
          </cell>
        </row>
      </sheetData>
      <sheetData sheetId="3328">
        <row r="2">
          <cell r="A2" t="str">
            <v>실     명</v>
          </cell>
        </row>
      </sheetData>
      <sheetData sheetId="3329">
        <row r="2">
          <cell r="A2" t="str">
            <v>실     명</v>
          </cell>
        </row>
      </sheetData>
      <sheetData sheetId="3330">
        <row r="2">
          <cell r="A2" t="str">
            <v>실     명</v>
          </cell>
        </row>
      </sheetData>
      <sheetData sheetId="3331">
        <row r="2">
          <cell r="A2" t="str">
            <v>실     명</v>
          </cell>
        </row>
      </sheetData>
      <sheetData sheetId="3332">
        <row r="2">
          <cell r="A2" t="str">
            <v>실     명</v>
          </cell>
        </row>
      </sheetData>
      <sheetData sheetId="3333">
        <row r="2">
          <cell r="A2" t="str">
            <v>실     명</v>
          </cell>
        </row>
      </sheetData>
      <sheetData sheetId="3334">
        <row r="2">
          <cell r="A2" t="str">
            <v>실     명</v>
          </cell>
        </row>
      </sheetData>
      <sheetData sheetId="3335">
        <row r="2">
          <cell r="A2" t="str">
            <v>실     명</v>
          </cell>
        </row>
      </sheetData>
      <sheetData sheetId="3336">
        <row r="2">
          <cell r="A2" t="str">
            <v>실     명</v>
          </cell>
        </row>
      </sheetData>
      <sheetData sheetId="3337">
        <row r="2">
          <cell r="A2" t="str">
            <v>실     명</v>
          </cell>
        </row>
      </sheetData>
      <sheetData sheetId="3338">
        <row r="2">
          <cell r="A2" t="str">
            <v>실     명</v>
          </cell>
        </row>
      </sheetData>
      <sheetData sheetId="3339">
        <row r="2">
          <cell r="A2" t="str">
            <v>실     명</v>
          </cell>
        </row>
      </sheetData>
      <sheetData sheetId="3340">
        <row r="2">
          <cell r="A2" t="str">
            <v>실     명</v>
          </cell>
        </row>
      </sheetData>
      <sheetData sheetId="3341">
        <row r="2">
          <cell r="A2" t="str">
            <v>실     명</v>
          </cell>
        </row>
      </sheetData>
      <sheetData sheetId="3342">
        <row r="2">
          <cell r="A2" t="str">
            <v>실     명</v>
          </cell>
        </row>
      </sheetData>
      <sheetData sheetId="3343">
        <row r="2">
          <cell r="A2" t="str">
            <v>실     명</v>
          </cell>
        </row>
      </sheetData>
      <sheetData sheetId="3344">
        <row r="2">
          <cell r="A2" t="str">
            <v>실     명</v>
          </cell>
        </row>
      </sheetData>
      <sheetData sheetId="3345">
        <row r="2">
          <cell r="A2" t="str">
            <v>실     명</v>
          </cell>
        </row>
      </sheetData>
      <sheetData sheetId="3346">
        <row r="2">
          <cell r="A2" t="str">
            <v>실     명</v>
          </cell>
        </row>
      </sheetData>
      <sheetData sheetId="3347">
        <row r="2">
          <cell r="A2" t="str">
            <v>실     명</v>
          </cell>
        </row>
      </sheetData>
      <sheetData sheetId="3348">
        <row r="2">
          <cell r="A2" t="str">
            <v>실     명</v>
          </cell>
        </row>
      </sheetData>
      <sheetData sheetId="3349">
        <row r="2">
          <cell r="A2" t="str">
            <v>실     명</v>
          </cell>
        </row>
      </sheetData>
      <sheetData sheetId="3350">
        <row r="2">
          <cell r="A2" t="str">
            <v>실     명</v>
          </cell>
        </row>
      </sheetData>
      <sheetData sheetId="3351">
        <row r="2">
          <cell r="A2" t="str">
            <v>실     명</v>
          </cell>
        </row>
      </sheetData>
      <sheetData sheetId="3352">
        <row r="2">
          <cell r="A2" t="str">
            <v>실     명</v>
          </cell>
        </row>
      </sheetData>
      <sheetData sheetId="3353">
        <row r="2">
          <cell r="A2" t="str">
            <v>실     명</v>
          </cell>
        </row>
      </sheetData>
      <sheetData sheetId="3354">
        <row r="2">
          <cell r="A2" t="str">
            <v>실     명</v>
          </cell>
        </row>
      </sheetData>
      <sheetData sheetId="3355">
        <row r="2">
          <cell r="A2" t="str">
            <v>실     명</v>
          </cell>
        </row>
      </sheetData>
      <sheetData sheetId="3356">
        <row r="2">
          <cell r="A2" t="str">
            <v>실     명</v>
          </cell>
        </row>
      </sheetData>
      <sheetData sheetId="3357">
        <row r="2">
          <cell r="A2" t="str">
            <v>실     명</v>
          </cell>
        </row>
      </sheetData>
      <sheetData sheetId="3358">
        <row r="2">
          <cell r="A2" t="str">
            <v>실     명</v>
          </cell>
        </row>
      </sheetData>
      <sheetData sheetId="3359">
        <row r="2">
          <cell r="A2" t="str">
            <v>실     명</v>
          </cell>
        </row>
      </sheetData>
      <sheetData sheetId="3360">
        <row r="2">
          <cell r="A2" t="str">
            <v>실     명</v>
          </cell>
        </row>
      </sheetData>
      <sheetData sheetId="3361">
        <row r="2">
          <cell r="A2" t="str">
            <v>실     명</v>
          </cell>
        </row>
      </sheetData>
      <sheetData sheetId="3362">
        <row r="2">
          <cell r="A2" t="str">
            <v>실     명</v>
          </cell>
        </row>
      </sheetData>
      <sheetData sheetId="3363">
        <row r="2">
          <cell r="A2" t="str">
            <v>실     명</v>
          </cell>
        </row>
      </sheetData>
      <sheetData sheetId="3364">
        <row r="2">
          <cell r="A2" t="str">
            <v>실     명</v>
          </cell>
        </row>
      </sheetData>
      <sheetData sheetId="3365">
        <row r="2">
          <cell r="A2" t="str">
            <v>실     명</v>
          </cell>
        </row>
      </sheetData>
      <sheetData sheetId="3366">
        <row r="2">
          <cell r="A2" t="str">
            <v>실     명</v>
          </cell>
        </row>
      </sheetData>
      <sheetData sheetId="3367">
        <row r="2">
          <cell r="A2" t="str">
            <v>실     명</v>
          </cell>
        </row>
      </sheetData>
      <sheetData sheetId="3368">
        <row r="2">
          <cell r="A2" t="str">
            <v>실     명</v>
          </cell>
        </row>
      </sheetData>
      <sheetData sheetId="3369">
        <row r="2">
          <cell r="A2" t="str">
            <v>실     명</v>
          </cell>
        </row>
      </sheetData>
      <sheetData sheetId="3370">
        <row r="2">
          <cell r="A2" t="str">
            <v>실     명</v>
          </cell>
        </row>
      </sheetData>
      <sheetData sheetId="3371">
        <row r="2">
          <cell r="A2" t="str">
            <v>실     명</v>
          </cell>
        </row>
      </sheetData>
      <sheetData sheetId="3372">
        <row r="2">
          <cell r="A2" t="str">
            <v>실     명</v>
          </cell>
        </row>
      </sheetData>
      <sheetData sheetId="3373">
        <row r="2">
          <cell r="A2" t="str">
            <v>실     명</v>
          </cell>
        </row>
      </sheetData>
      <sheetData sheetId="3374">
        <row r="2">
          <cell r="A2" t="str">
            <v>실     명</v>
          </cell>
        </row>
      </sheetData>
      <sheetData sheetId="3375">
        <row r="2">
          <cell r="A2" t="str">
            <v>실     명</v>
          </cell>
        </row>
      </sheetData>
      <sheetData sheetId="3376">
        <row r="2">
          <cell r="A2" t="str">
            <v>실     명</v>
          </cell>
        </row>
      </sheetData>
      <sheetData sheetId="3377">
        <row r="2">
          <cell r="A2" t="str">
            <v>실     명</v>
          </cell>
        </row>
      </sheetData>
      <sheetData sheetId="3378">
        <row r="2">
          <cell r="A2" t="str">
            <v>실     명</v>
          </cell>
        </row>
      </sheetData>
      <sheetData sheetId="3379">
        <row r="2">
          <cell r="A2" t="str">
            <v>실     명</v>
          </cell>
        </row>
      </sheetData>
      <sheetData sheetId="3380">
        <row r="2">
          <cell r="A2" t="str">
            <v>실     명</v>
          </cell>
        </row>
      </sheetData>
      <sheetData sheetId="3381">
        <row r="2">
          <cell r="A2" t="str">
            <v>실     명</v>
          </cell>
        </row>
      </sheetData>
      <sheetData sheetId="3382">
        <row r="2">
          <cell r="A2" t="str">
            <v>실     명</v>
          </cell>
        </row>
      </sheetData>
      <sheetData sheetId="3383">
        <row r="2">
          <cell r="A2" t="str">
            <v>실     명</v>
          </cell>
        </row>
      </sheetData>
      <sheetData sheetId="3384">
        <row r="2">
          <cell r="A2" t="str">
            <v>실     명</v>
          </cell>
        </row>
      </sheetData>
      <sheetData sheetId="3385">
        <row r="2">
          <cell r="A2" t="str">
            <v>실     명</v>
          </cell>
        </row>
      </sheetData>
      <sheetData sheetId="3386">
        <row r="2">
          <cell r="A2" t="str">
            <v>실     명</v>
          </cell>
        </row>
      </sheetData>
      <sheetData sheetId="3387">
        <row r="2">
          <cell r="A2" t="str">
            <v>실     명</v>
          </cell>
        </row>
      </sheetData>
      <sheetData sheetId="3388">
        <row r="2">
          <cell r="A2" t="str">
            <v>실     명</v>
          </cell>
        </row>
      </sheetData>
      <sheetData sheetId="3389">
        <row r="2">
          <cell r="A2" t="str">
            <v>실     명</v>
          </cell>
        </row>
      </sheetData>
      <sheetData sheetId="3390">
        <row r="2">
          <cell r="A2" t="str">
            <v>실     명</v>
          </cell>
        </row>
      </sheetData>
      <sheetData sheetId="3391">
        <row r="2">
          <cell r="A2" t="str">
            <v>실     명</v>
          </cell>
        </row>
      </sheetData>
      <sheetData sheetId="3392">
        <row r="2">
          <cell r="A2" t="str">
            <v>실     명</v>
          </cell>
        </row>
      </sheetData>
      <sheetData sheetId="3393">
        <row r="2">
          <cell r="A2" t="str">
            <v>실     명</v>
          </cell>
        </row>
      </sheetData>
      <sheetData sheetId="3394">
        <row r="2">
          <cell r="A2" t="str">
            <v>실     명</v>
          </cell>
        </row>
      </sheetData>
      <sheetData sheetId="3395">
        <row r="2">
          <cell r="A2" t="str">
            <v>실     명</v>
          </cell>
        </row>
      </sheetData>
      <sheetData sheetId="3396">
        <row r="2">
          <cell r="A2" t="str">
            <v>실     명</v>
          </cell>
        </row>
      </sheetData>
      <sheetData sheetId="3397">
        <row r="2">
          <cell r="A2" t="str">
            <v>실     명</v>
          </cell>
        </row>
      </sheetData>
      <sheetData sheetId="3398">
        <row r="2">
          <cell r="A2" t="str">
            <v>실     명</v>
          </cell>
        </row>
      </sheetData>
      <sheetData sheetId="3399">
        <row r="2">
          <cell r="A2" t="str">
            <v>실     명</v>
          </cell>
        </row>
      </sheetData>
      <sheetData sheetId="3400">
        <row r="2">
          <cell r="A2" t="str">
            <v>실     명</v>
          </cell>
        </row>
      </sheetData>
      <sheetData sheetId="3401">
        <row r="2">
          <cell r="A2" t="str">
            <v>실     명</v>
          </cell>
        </row>
      </sheetData>
      <sheetData sheetId="3402">
        <row r="2">
          <cell r="A2" t="str">
            <v>실     명</v>
          </cell>
        </row>
      </sheetData>
      <sheetData sheetId="3403">
        <row r="2">
          <cell r="A2" t="str">
            <v>실     명</v>
          </cell>
        </row>
      </sheetData>
      <sheetData sheetId="3404">
        <row r="2">
          <cell r="A2" t="str">
            <v>실     명</v>
          </cell>
        </row>
      </sheetData>
      <sheetData sheetId="3405">
        <row r="2">
          <cell r="A2" t="str">
            <v>실     명</v>
          </cell>
        </row>
      </sheetData>
      <sheetData sheetId="3406">
        <row r="2">
          <cell r="A2" t="str">
            <v>실     명</v>
          </cell>
        </row>
      </sheetData>
      <sheetData sheetId="3407">
        <row r="2">
          <cell r="A2" t="str">
            <v>실     명</v>
          </cell>
        </row>
      </sheetData>
      <sheetData sheetId="3408">
        <row r="2">
          <cell r="A2" t="str">
            <v>실     명</v>
          </cell>
        </row>
      </sheetData>
      <sheetData sheetId="3409">
        <row r="2">
          <cell r="A2" t="str">
            <v>실     명</v>
          </cell>
        </row>
      </sheetData>
      <sheetData sheetId="3410">
        <row r="2">
          <cell r="A2" t="str">
            <v>실     명</v>
          </cell>
        </row>
      </sheetData>
      <sheetData sheetId="3411">
        <row r="2">
          <cell r="A2" t="str">
            <v>실     명</v>
          </cell>
        </row>
      </sheetData>
      <sheetData sheetId="3412">
        <row r="2">
          <cell r="A2" t="str">
            <v>실     명</v>
          </cell>
        </row>
      </sheetData>
      <sheetData sheetId="3413">
        <row r="2">
          <cell r="A2" t="str">
            <v>실     명</v>
          </cell>
        </row>
      </sheetData>
      <sheetData sheetId="3414">
        <row r="2">
          <cell r="A2" t="str">
            <v>실     명</v>
          </cell>
        </row>
      </sheetData>
      <sheetData sheetId="3415">
        <row r="2">
          <cell r="A2" t="str">
            <v>실     명</v>
          </cell>
        </row>
      </sheetData>
      <sheetData sheetId="3416">
        <row r="2">
          <cell r="A2" t="str">
            <v>실     명</v>
          </cell>
        </row>
      </sheetData>
      <sheetData sheetId="3417">
        <row r="2">
          <cell r="A2" t="str">
            <v>실     명</v>
          </cell>
        </row>
      </sheetData>
      <sheetData sheetId="3418">
        <row r="2">
          <cell r="A2" t="str">
            <v>실     명</v>
          </cell>
        </row>
      </sheetData>
      <sheetData sheetId="3419">
        <row r="2">
          <cell r="A2" t="str">
            <v>실     명</v>
          </cell>
        </row>
      </sheetData>
      <sheetData sheetId="3420">
        <row r="2">
          <cell r="A2" t="str">
            <v>실     명</v>
          </cell>
        </row>
      </sheetData>
      <sheetData sheetId="3421">
        <row r="2">
          <cell r="A2" t="str">
            <v>실     명</v>
          </cell>
        </row>
      </sheetData>
      <sheetData sheetId="3422">
        <row r="2">
          <cell r="A2" t="str">
            <v>실     명</v>
          </cell>
        </row>
      </sheetData>
      <sheetData sheetId="3423">
        <row r="2">
          <cell r="A2" t="str">
            <v>실     명</v>
          </cell>
        </row>
      </sheetData>
      <sheetData sheetId="3424">
        <row r="2">
          <cell r="A2" t="str">
            <v>실     명</v>
          </cell>
        </row>
      </sheetData>
      <sheetData sheetId="3425">
        <row r="2">
          <cell r="A2" t="str">
            <v>실     명</v>
          </cell>
        </row>
      </sheetData>
      <sheetData sheetId="3426">
        <row r="2">
          <cell r="A2" t="str">
            <v>실     명</v>
          </cell>
        </row>
      </sheetData>
      <sheetData sheetId="3427">
        <row r="2">
          <cell r="A2" t="str">
            <v>실     명</v>
          </cell>
        </row>
      </sheetData>
      <sheetData sheetId="3428">
        <row r="2">
          <cell r="A2" t="str">
            <v>실     명</v>
          </cell>
        </row>
      </sheetData>
      <sheetData sheetId="3429">
        <row r="2">
          <cell r="A2" t="str">
            <v>실     명</v>
          </cell>
        </row>
      </sheetData>
      <sheetData sheetId="3430">
        <row r="2">
          <cell r="A2" t="str">
            <v>실     명</v>
          </cell>
        </row>
      </sheetData>
      <sheetData sheetId="3431">
        <row r="2">
          <cell r="A2" t="str">
            <v>실     명</v>
          </cell>
        </row>
      </sheetData>
      <sheetData sheetId="3432">
        <row r="2">
          <cell r="A2" t="str">
            <v>실     명</v>
          </cell>
        </row>
      </sheetData>
      <sheetData sheetId="3433">
        <row r="2">
          <cell r="A2" t="str">
            <v>실     명</v>
          </cell>
        </row>
      </sheetData>
      <sheetData sheetId="3434">
        <row r="2">
          <cell r="A2" t="str">
            <v>실     명</v>
          </cell>
        </row>
      </sheetData>
      <sheetData sheetId="3435">
        <row r="2">
          <cell r="A2" t="str">
            <v>실     명</v>
          </cell>
        </row>
      </sheetData>
      <sheetData sheetId="3436">
        <row r="2">
          <cell r="A2" t="str">
            <v>실     명</v>
          </cell>
        </row>
      </sheetData>
      <sheetData sheetId="3437">
        <row r="2">
          <cell r="A2" t="str">
            <v>실     명</v>
          </cell>
        </row>
      </sheetData>
      <sheetData sheetId="3438">
        <row r="2">
          <cell r="A2" t="str">
            <v>실     명</v>
          </cell>
        </row>
      </sheetData>
      <sheetData sheetId="3439">
        <row r="2">
          <cell r="A2" t="str">
            <v>실     명</v>
          </cell>
        </row>
      </sheetData>
      <sheetData sheetId="3440">
        <row r="2">
          <cell r="A2" t="str">
            <v>실     명</v>
          </cell>
        </row>
      </sheetData>
      <sheetData sheetId="3441">
        <row r="2">
          <cell r="A2" t="str">
            <v>실     명</v>
          </cell>
        </row>
      </sheetData>
      <sheetData sheetId="3442">
        <row r="2">
          <cell r="A2" t="str">
            <v>실     명</v>
          </cell>
        </row>
      </sheetData>
      <sheetData sheetId="3443">
        <row r="2">
          <cell r="A2" t="str">
            <v>실     명</v>
          </cell>
        </row>
      </sheetData>
      <sheetData sheetId="3444">
        <row r="2">
          <cell r="A2" t="str">
            <v>실     명</v>
          </cell>
        </row>
      </sheetData>
      <sheetData sheetId="3445">
        <row r="2">
          <cell r="A2" t="str">
            <v>실     명</v>
          </cell>
        </row>
      </sheetData>
      <sheetData sheetId="3446">
        <row r="2">
          <cell r="A2" t="str">
            <v>실     명</v>
          </cell>
        </row>
      </sheetData>
      <sheetData sheetId="3447">
        <row r="2">
          <cell r="A2" t="str">
            <v>실     명</v>
          </cell>
        </row>
      </sheetData>
      <sheetData sheetId="3448">
        <row r="2">
          <cell r="A2" t="str">
            <v>실     명</v>
          </cell>
        </row>
      </sheetData>
      <sheetData sheetId="3449">
        <row r="2">
          <cell r="A2" t="str">
            <v>실     명</v>
          </cell>
        </row>
      </sheetData>
      <sheetData sheetId="3450">
        <row r="2">
          <cell r="A2" t="str">
            <v>실     명</v>
          </cell>
        </row>
      </sheetData>
      <sheetData sheetId="3451">
        <row r="2">
          <cell r="A2" t="str">
            <v>실     명</v>
          </cell>
        </row>
      </sheetData>
      <sheetData sheetId="3452">
        <row r="2">
          <cell r="A2" t="str">
            <v>실     명</v>
          </cell>
        </row>
      </sheetData>
      <sheetData sheetId="3453">
        <row r="2">
          <cell r="A2" t="str">
            <v>실     명</v>
          </cell>
        </row>
      </sheetData>
      <sheetData sheetId="3454">
        <row r="2">
          <cell r="A2" t="str">
            <v>실     명</v>
          </cell>
        </row>
      </sheetData>
      <sheetData sheetId="3455">
        <row r="2">
          <cell r="A2" t="str">
            <v>실     명</v>
          </cell>
        </row>
      </sheetData>
      <sheetData sheetId="3456">
        <row r="2">
          <cell r="A2" t="str">
            <v>실     명</v>
          </cell>
        </row>
      </sheetData>
      <sheetData sheetId="3457">
        <row r="2">
          <cell r="A2" t="str">
            <v>실     명</v>
          </cell>
        </row>
      </sheetData>
      <sheetData sheetId="3458">
        <row r="2">
          <cell r="A2" t="str">
            <v>실     명</v>
          </cell>
        </row>
      </sheetData>
      <sheetData sheetId="3459">
        <row r="2">
          <cell r="A2" t="str">
            <v>실     명</v>
          </cell>
        </row>
      </sheetData>
      <sheetData sheetId="3460">
        <row r="2">
          <cell r="A2" t="str">
            <v>실     명</v>
          </cell>
        </row>
      </sheetData>
      <sheetData sheetId="3461">
        <row r="2">
          <cell r="A2" t="str">
            <v>실     명</v>
          </cell>
        </row>
      </sheetData>
      <sheetData sheetId="3462">
        <row r="2">
          <cell r="A2" t="str">
            <v>실     명</v>
          </cell>
        </row>
      </sheetData>
      <sheetData sheetId="3463">
        <row r="2">
          <cell r="A2" t="str">
            <v>실     명</v>
          </cell>
        </row>
      </sheetData>
      <sheetData sheetId="3464">
        <row r="2">
          <cell r="A2" t="str">
            <v>실     명</v>
          </cell>
        </row>
      </sheetData>
      <sheetData sheetId="3465">
        <row r="2">
          <cell r="A2" t="str">
            <v>실     명</v>
          </cell>
        </row>
      </sheetData>
      <sheetData sheetId="3466">
        <row r="2">
          <cell r="A2" t="str">
            <v>실     명</v>
          </cell>
        </row>
      </sheetData>
      <sheetData sheetId="3467">
        <row r="2">
          <cell r="A2" t="str">
            <v>실     명</v>
          </cell>
        </row>
      </sheetData>
      <sheetData sheetId="3468">
        <row r="2">
          <cell r="A2" t="str">
            <v>실     명</v>
          </cell>
        </row>
      </sheetData>
      <sheetData sheetId="3469">
        <row r="2">
          <cell r="A2" t="str">
            <v>실     명</v>
          </cell>
        </row>
      </sheetData>
      <sheetData sheetId="3470">
        <row r="2">
          <cell r="A2" t="str">
            <v>실     명</v>
          </cell>
        </row>
      </sheetData>
      <sheetData sheetId="3471">
        <row r="2">
          <cell r="A2" t="str">
            <v>실     명</v>
          </cell>
        </row>
      </sheetData>
      <sheetData sheetId="3472">
        <row r="2">
          <cell r="A2" t="str">
            <v>실     명</v>
          </cell>
        </row>
      </sheetData>
      <sheetData sheetId="3473">
        <row r="2">
          <cell r="A2" t="str">
            <v>실     명</v>
          </cell>
        </row>
      </sheetData>
      <sheetData sheetId="3474">
        <row r="2">
          <cell r="A2" t="str">
            <v>실     명</v>
          </cell>
        </row>
      </sheetData>
      <sheetData sheetId="3475">
        <row r="2">
          <cell r="A2" t="str">
            <v>실     명</v>
          </cell>
        </row>
      </sheetData>
      <sheetData sheetId="3476">
        <row r="2">
          <cell r="A2" t="str">
            <v>실     명</v>
          </cell>
        </row>
      </sheetData>
      <sheetData sheetId="3477">
        <row r="2">
          <cell r="A2" t="str">
            <v>실     명</v>
          </cell>
        </row>
      </sheetData>
      <sheetData sheetId="3478">
        <row r="2">
          <cell r="A2" t="str">
            <v>실     명</v>
          </cell>
        </row>
      </sheetData>
      <sheetData sheetId="3479">
        <row r="2">
          <cell r="A2" t="str">
            <v>실     명</v>
          </cell>
        </row>
      </sheetData>
      <sheetData sheetId="3480">
        <row r="2">
          <cell r="A2" t="str">
            <v>실     명</v>
          </cell>
        </row>
      </sheetData>
      <sheetData sheetId="3481">
        <row r="2">
          <cell r="A2" t="str">
            <v>실     명</v>
          </cell>
        </row>
      </sheetData>
      <sheetData sheetId="3482">
        <row r="2">
          <cell r="A2" t="str">
            <v>실     명</v>
          </cell>
        </row>
      </sheetData>
      <sheetData sheetId="3483">
        <row r="2">
          <cell r="A2" t="str">
            <v>실     명</v>
          </cell>
        </row>
      </sheetData>
      <sheetData sheetId="3484">
        <row r="2">
          <cell r="A2" t="str">
            <v>실     명</v>
          </cell>
        </row>
      </sheetData>
      <sheetData sheetId="3485">
        <row r="2">
          <cell r="A2" t="str">
            <v>실     명</v>
          </cell>
        </row>
      </sheetData>
      <sheetData sheetId="3486">
        <row r="2">
          <cell r="A2" t="str">
            <v>실     명</v>
          </cell>
        </row>
      </sheetData>
      <sheetData sheetId="3487">
        <row r="2">
          <cell r="A2" t="str">
            <v>실     명</v>
          </cell>
        </row>
      </sheetData>
      <sheetData sheetId="3488">
        <row r="2">
          <cell r="A2" t="str">
            <v>실     명</v>
          </cell>
        </row>
      </sheetData>
      <sheetData sheetId="3489">
        <row r="2">
          <cell r="A2" t="str">
            <v>실     명</v>
          </cell>
        </row>
      </sheetData>
      <sheetData sheetId="3490">
        <row r="2">
          <cell r="A2" t="str">
            <v>실     명</v>
          </cell>
        </row>
      </sheetData>
      <sheetData sheetId="3491">
        <row r="2">
          <cell r="A2" t="str">
            <v>실     명</v>
          </cell>
        </row>
      </sheetData>
      <sheetData sheetId="3492">
        <row r="2">
          <cell r="A2" t="str">
            <v>실     명</v>
          </cell>
        </row>
      </sheetData>
      <sheetData sheetId="3493">
        <row r="2">
          <cell r="A2" t="str">
            <v>실     명</v>
          </cell>
        </row>
      </sheetData>
      <sheetData sheetId="3494">
        <row r="2">
          <cell r="A2" t="str">
            <v>실     명</v>
          </cell>
        </row>
      </sheetData>
      <sheetData sheetId="3495">
        <row r="2">
          <cell r="A2" t="str">
            <v>실     명</v>
          </cell>
        </row>
      </sheetData>
      <sheetData sheetId="3496">
        <row r="2">
          <cell r="A2" t="str">
            <v>실     명</v>
          </cell>
        </row>
      </sheetData>
      <sheetData sheetId="3497">
        <row r="2">
          <cell r="A2" t="str">
            <v>실     명</v>
          </cell>
        </row>
      </sheetData>
      <sheetData sheetId="3498">
        <row r="2">
          <cell r="A2" t="str">
            <v>실     명</v>
          </cell>
        </row>
      </sheetData>
      <sheetData sheetId="3499">
        <row r="2">
          <cell r="A2" t="str">
            <v>실     명</v>
          </cell>
        </row>
      </sheetData>
      <sheetData sheetId="3500">
        <row r="2">
          <cell r="A2" t="str">
            <v>실     명</v>
          </cell>
        </row>
      </sheetData>
      <sheetData sheetId="3501">
        <row r="2">
          <cell r="A2" t="str">
            <v>실     명</v>
          </cell>
        </row>
      </sheetData>
      <sheetData sheetId="3502">
        <row r="2">
          <cell r="A2" t="str">
            <v>실     명</v>
          </cell>
        </row>
      </sheetData>
      <sheetData sheetId="3503">
        <row r="2">
          <cell r="A2" t="str">
            <v>실     명</v>
          </cell>
        </row>
      </sheetData>
      <sheetData sheetId="3504">
        <row r="2">
          <cell r="A2" t="str">
            <v>실     명</v>
          </cell>
        </row>
      </sheetData>
      <sheetData sheetId="3505">
        <row r="2">
          <cell r="A2" t="str">
            <v>실     명</v>
          </cell>
        </row>
      </sheetData>
      <sheetData sheetId="3506">
        <row r="2">
          <cell r="A2" t="str">
            <v>실     명</v>
          </cell>
        </row>
      </sheetData>
      <sheetData sheetId="3507">
        <row r="2">
          <cell r="A2" t="str">
            <v>실     명</v>
          </cell>
        </row>
      </sheetData>
      <sheetData sheetId="3508">
        <row r="2">
          <cell r="A2" t="str">
            <v>실     명</v>
          </cell>
        </row>
      </sheetData>
      <sheetData sheetId="3509">
        <row r="2">
          <cell r="A2" t="str">
            <v>실     명</v>
          </cell>
        </row>
      </sheetData>
      <sheetData sheetId="3510">
        <row r="2">
          <cell r="A2" t="str">
            <v>실     명</v>
          </cell>
        </row>
      </sheetData>
      <sheetData sheetId="3511">
        <row r="2">
          <cell r="A2" t="str">
            <v>실     명</v>
          </cell>
        </row>
      </sheetData>
      <sheetData sheetId="3512">
        <row r="2">
          <cell r="A2" t="str">
            <v>실     명</v>
          </cell>
        </row>
      </sheetData>
      <sheetData sheetId="3513">
        <row r="2">
          <cell r="A2" t="str">
            <v>실     명</v>
          </cell>
        </row>
      </sheetData>
      <sheetData sheetId="3514">
        <row r="2">
          <cell r="A2" t="str">
            <v>실     명</v>
          </cell>
        </row>
      </sheetData>
      <sheetData sheetId="3515">
        <row r="2">
          <cell r="A2" t="str">
            <v>실     명</v>
          </cell>
        </row>
      </sheetData>
      <sheetData sheetId="3516">
        <row r="2">
          <cell r="A2" t="str">
            <v>실     명</v>
          </cell>
        </row>
      </sheetData>
      <sheetData sheetId="3517">
        <row r="2">
          <cell r="A2" t="str">
            <v>실     명</v>
          </cell>
        </row>
      </sheetData>
      <sheetData sheetId="3518">
        <row r="2">
          <cell r="A2" t="str">
            <v>실     명</v>
          </cell>
        </row>
      </sheetData>
      <sheetData sheetId="3519">
        <row r="2">
          <cell r="A2" t="str">
            <v>실     명</v>
          </cell>
        </row>
      </sheetData>
      <sheetData sheetId="3520">
        <row r="2">
          <cell r="A2" t="str">
            <v>실     명</v>
          </cell>
        </row>
      </sheetData>
      <sheetData sheetId="3521">
        <row r="2">
          <cell r="A2" t="str">
            <v>실     명</v>
          </cell>
        </row>
      </sheetData>
      <sheetData sheetId="3522">
        <row r="2">
          <cell r="A2" t="str">
            <v>실     명</v>
          </cell>
        </row>
      </sheetData>
      <sheetData sheetId="3523">
        <row r="2">
          <cell r="A2" t="str">
            <v>실     명</v>
          </cell>
        </row>
      </sheetData>
      <sheetData sheetId="3524">
        <row r="2">
          <cell r="A2" t="str">
            <v>실     명</v>
          </cell>
        </row>
      </sheetData>
      <sheetData sheetId="3525">
        <row r="2">
          <cell r="A2" t="str">
            <v>실     명</v>
          </cell>
        </row>
      </sheetData>
      <sheetData sheetId="3526">
        <row r="2">
          <cell r="A2" t="str">
            <v>실     명</v>
          </cell>
        </row>
      </sheetData>
      <sheetData sheetId="3527">
        <row r="2">
          <cell r="A2" t="str">
            <v>실     명</v>
          </cell>
        </row>
      </sheetData>
      <sheetData sheetId="3528">
        <row r="2">
          <cell r="A2" t="str">
            <v>실     명</v>
          </cell>
        </row>
      </sheetData>
      <sheetData sheetId="3529">
        <row r="2">
          <cell r="A2" t="str">
            <v>실     명</v>
          </cell>
        </row>
      </sheetData>
      <sheetData sheetId="3530">
        <row r="2">
          <cell r="A2" t="str">
            <v>실     명</v>
          </cell>
        </row>
      </sheetData>
      <sheetData sheetId="3531">
        <row r="2">
          <cell r="A2" t="str">
            <v>실     명</v>
          </cell>
        </row>
      </sheetData>
      <sheetData sheetId="3532">
        <row r="2">
          <cell r="A2" t="str">
            <v>실     명</v>
          </cell>
        </row>
      </sheetData>
      <sheetData sheetId="3533">
        <row r="2">
          <cell r="A2" t="str">
            <v>실     명</v>
          </cell>
        </row>
      </sheetData>
      <sheetData sheetId="3534">
        <row r="2">
          <cell r="A2" t="str">
            <v>실     명</v>
          </cell>
        </row>
      </sheetData>
      <sheetData sheetId="3535">
        <row r="2">
          <cell r="A2" t="str">
            <v>실     명</v>
          </cell>
        </row>
      </sheetData>
      <sheetData sheetId="3536">
        <row r="2">
          <cell r="A2" t="str">
            <v>실     명</v>
          </cell>
        </row>
      </sheetData>
      <sheetData sheetId="3537">
        <row r="2">
          <cell r="A2" t="str">
            <v>실     명</v>
          </cell>
        </row>
      </sheetData>
      <sheetData sheetId="3538">
        <row r="2">
          <cell r="A2" t="str">
            <v>실     명</v>
          </cell>
        </row>
      </sheetData>
      <sheetData sheetId="3539">
        <row r="2">
          <cell r="A2" t="str">
            <v>실     명</v>
          </cell>
        </row>
      </sheetData>
      <sheetData sheetId="3540">
        <row r="2">
          <cell r="A2" t="str">
            <v>실     명</v>
          </cell>
        </row>
      </sheetData>
      <sheetData sheetId="3541">
        <row r="2">
          <cell r="A2" t="str">
            <v>실     명</v>
          </cell>
        </row>
      </sheetData>
      <sheetData sheetId="3542">
        <row r="2">
          <cell r="A2" t="str">
            <v>실     명</v>
          </cell>
        </row>
      </sheetData>
      <sheetData sheetId="3543">
        <row r="2">
          <cell r="A2" t="str">
            <v>실     명</v>
          </cell>
        </row>
      </sheetData>
      <sheetData sheetId="3544">
        <row r="2">
          <cell r="A2" t="str">
            <v>실     명</v>
          </cell>
        </row>
      </sheetData>
      <sheetData sheetId="3545">
        <row r="2">
          <cell r="A2" t="str">
            <v>실     명</v>
          </cell>
        </row>
      </sheetData>
      <sheetData sheetId="3546">
        <row r="2">
          <cell r="A2" t="str">
            <v>실     명</v>
          </cell>
        </row>
      </sheetData>
      <sheetData sheetId="3547">
        <row r="2">
          <cell r="A2" t="str">
            <v>실     명</v>
          </cell>
        </row>
      </sheetData>
      <sheetData sheetId="3548">
        <row r="2">
          <cell r="A2" t="str">
            <v>실     명</v>
          </cell>
        </row>
      </sheetData>
      <sheetData sheetId="3549">
        <row r="2">
          <cell r="A2" t="str">
            <v>실     명</v>
          </cell>
        </row>
      </sheetData>
      <sheetData sheetId="3550">
        <row r="2">
          <cell r="A2" t="str">
            <v>실     명</v>
          </cell>
        </row>
      </sheetData>
      <sheetData sheetId="3551">
        <row r="2">
          <cell r="A2" t="str">
            <v>실     명</v>
          </cell>
        </row>
      </sheetData>
      <sheetData sheetId="3552">
        <row r="2">
          <cell r="A2" t="str">
            <v>실     명</v>
          </cell>
        </row>
      </sheetData>
      <sheetData sheetId="3553">
        <row r="2">
          <cell r="A2" t="str">
            <v>실     명</v>
          </cell>
        </row>
      </sheetData>
      <sheetData sheetId="3554">
        <row r="2">
          <cell r="A2" t="str">
            <v>실     명</v>
          </cell>
        </row>
      </sheetData>
      <sheetData sheetId="3555">
        <row r="2">
          <cell r="A2" t="str">
            <v>실     명</v>
          </cell>
        </row>
      </sheetData>
      <sheetData sheetId="3556">
        <row r="2">
          <cell r="A2" t="str">
            <v>실     명</v>
          </cell>
        </row>
      </sheetData>
      <sheetData sheetId="3557">
        <row r="2">
          <cell r="A2" t="str">
            <v>실     명</v>
          </cell>
        </row>
      </sheetData>
      <sheetData sheetId="3558">
        <row r="2">
          <cell r="A2" t="str">
            <v>실     명</v>
          </cell>
        </row>
      </sheetData>
      <sheetData sheetId="3559">
        <row r="2">
          <cell r="A2" t="str">
            <v>실     명</v>
          </cell>
        </row>
      </sheetData>
      <sheetData sheetId="3560">
        <row r="2">
          <cell r="A2" t="str">
            <v>실     명</v>
          </cell>
        </row>
      </sheetData>
      <sheetData sheetId="3561">
        <row r="2">
          <cell r="A2" t="str">
            <v>실     명</v>
          </cell>
        </row>
      </sheetData>
      <sheetData sheetId="3562">
        <row r="2">
          <cell r="A2" t="str">
            <v>실     명</v>
          </cell>
        </row>
      </sheetData>
      <sheetData sheetId="3563">
        <row r="2">
          <cell r="A2" t="str">
            <v>실     명</v>
          </cell>
        </row>
      </sheetData>
      <sheetData sheetId="3564">
        <row r="2">
          <cell r="A2" t="str">
            <v>실     명</v>
          </cell>
        </row>
      </sheetData>
      <sheetData sheetId="3565">
        <row r="2">
          <cell r="A2" t="str">
            <v>실     명</v>
          </cell>
        </row>
      </sheetData>
      <sheetData sheetId="3566">
        <row r="2">
          <cell r="A2" t="str">
            <v>실     명</v>
          </cell>
        </row>
      </sheetData>
      <sheetData sheetId="3567">
        <row r="2">
          <cell r="A2" t="str">
            <v>실     명</v>
          </cell>
        </row>
      </sheetData>
      <sheetData sheetId="3568">
        <row r="2">
          <cell r="A2" t="str">
            <v>실     명</v>
          </cell>
        </row>
      </sheetData>
      <sheetData sheetId="3569">
        <row r="2">
          <cell r="A2" t="str">
            <v>실     명</v>
          </cell>
        </row>
      </sheetData>
      <sheetData sheetId="3570">
        <row r="2">
          <cell r="A2" t="str">
            <v>실     명</v>
          </cell>
        </row>
      </sheetData>
      <sheetData sheetId="3571">
        <row r="2">
          <cell r="A2" t="str">
            <v>실     명</v>
          </cell>
        </row>
      </sheetData>
      <sheetData sheetId="3572">
        <row r="2">
          <cell r="A2" t="str">
            <v>실     명</v>
          </cell>
        </row>
      </sheetData>
      <sheetData sheetId="3573">
        <row r="2">
          <cell r="A2" t="str">
            <v>실     명</v>
          </cell>
        </row>
      </sheetData>
      <sheetData sheetId="3574">
        <row r="2">
          <cell r="A2" t="str">
            <v>실     명</v>
          </cell>
        </row>
      </sheetData>
      <sheetData sheetId="3575">
        <row r="2">
          <cell r="A2" t="str">
            <v>실     명</v>
          </cell>
        </row>
      </sheetData>
      <sheetData sheetId="3576">
        <row r="2">
          <cell r="A2" t="str">
            <v>실     명</v>
          </cell>
        </row>
      </sheetData>
      <sheetData sheetId="3577">
        <row r="2">
          <cell r="A2" t="str">
            <v>실     명</v>
          </cell>
        </row>
      </sheetData>
      <sheetData sheetId="3578">
        <row r="2">
          <cell r="A2" t="str">
            <v>실     명</v>
          </cell>
        </row>
      </sheetData>
      <sheetData sheetId="3579">
        <row r="2">
          <cell r="A2" t="str">
            <v>실     명</v>
          </cell>
        </row>
      </sheetData>
      <sheetData sheetId="3580">
        <row r="2">
          <cell r="A2" t="str">
            <v>실     명</v>
          </cell>
        </row>
      </sheetData>
      <sheetData sheetId="3581">
        <row r="2">
          <cell r="A2" t="str">
            <v>실     명</v>
          </cell>
        </row>
      </sheetData>
      <sheetData sheetId="3582">
        <row r="2">
          <cell r="A2" t="str">
            <v>실     명</v>
          </cell>
        </row>
      </sheetData>
      <sheetData sheetId="3583">
        <row r="2">
          <cell r="A2" t="str">
            <v>실     명</v>
          </cell>
        </row>
      </sheetData>
      <sheetData sheetId="3584">
        <row r="2">
          <cell r="A2" t="str">
            <v>실     명</v>
          </cell>
        </row>
      </sheetData>
      <sheetData sheetId="3585">
        <row r="2">
          <cell r="A2" t="str">
            <v>실     명</v>
          </cell>
        </row>
      </sheetData>
      <sheetData sheetId="3586">
        <row r="2">
          <cell r="A2" t="str">
            <v>실     명</v>
          </cell>
        </row>
      </sheetData>
      <sheetData sheetId="3587">
        <row r="2">
          <cell r="A2" t="str">
            <v>실     명</v>
          </cell>
        </row>
      </sheetData>
      <sheetData sheetId="3588">
        <row r="2">
          <cell r="A2" t="str">
            <v>실     명</v>
          </cell>
        </row>
      </sheetData>
      <sheetData sheetId="3589">
        <row r="2">
          <cell r="A2" t="str">
            <v>실     명</v>
          </cell>
        </row>
      </sheetData>
      <sheetData sheetId="3590">
        <row r="2">
          <cell r="A2" t="str">
            <v>실     명</v>
          </cell>
        </row>
      </sheetData>
      <sheetData sheetId="3591">
        <row r="2">
          <cell r="A2" t="str">
            <v>실     명</v>
          </cell>
        </row>
      </sheetData>
      <sheetData sheetId="3592">
        <row r="2">
          <cell r="A2" t="str">
            <v>실     명</v>
          </cell>
        </row>
      </sheetData>
      <sheetData sheetId="3593">
        <row r="2">
          <cell r="A2" t="str">
            <v>실     명</v>
          </cell>
        </row>
      </sheetData>
      <sheetData sheetId="3594">
        <row r="2">
          <cell r="A2" t="str">
            <v>실     명</v>
          </cell>
        </row>
      </sheetData>
      <sheetData sheetId="3595">
        <row r="2">
          <cell r="A2" t="str">
            <v>실     명</v>
          </cell>
        </row>
      </sheetData>
      <sheetData sheetId="3596">
        <row r="2">
          <cell r="A2" t="str">
            <v>실     명</v>
          </cell>
        </row>
      </sheetData>
      <sheetData sheetId="3597">
        <row r="2">
          <cell r="A2" t="str">
            <v>실     명</v>
          </cell>
        </row>
      </sheetData>
      <sheetData sheetId="3598">
        <row r="2">
          <cell r="A2" t="str">
            <v>실     명</v>
          </cell>
        </row>
      </sheetData>
      <sheetData sheetId="3599">
        <row r="2">
          <cell r="A2" t="str">
            <v>실     명</v>
          </cell>
        </row>
      </sheetData>
      <sheetData sheetId="3600">
        <row r="2">
          <cell r="A2" t="str">
            <v>실     명</v>
          </cell>
        </row>
      </sheetData>
      <sheetData sheetId="3601">
        <row r="2">
          <cell r="A2" t="str">
            <v>실     명</v>
          </cell>
        </row>
      </sheetData>
      <sheetData sheetId="3602">
        <row r="2">
          <cell r="A2" t="str">
            <v>실     명</v>
          </cell>
        </row>
      </sheetData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>
        <row r="2">
          <cell r="A2" t="str">
            <v>실     명</v>
          </cell>
        </row>
      </sheetData>
      <sheetData sheetId="3617">
        <row r="2">
          <cell r="A2" t="str">
            <v>실     명</v>
          </cell>
        </row>
      </sheetData>
      <sheetData sheetId="3618">
        <row r="2">
          <cell r="A2" t="str">
            <v>실     명</v>
          </cell>
        </row>
      </sheetData>
      <sheetData sheetId="3619">
        <row r="2">
          <cell r="A2" t="str">
            <v>실     명</v>
          </cell>
        </row>
      </sheetData>
      <sheetData sheetId="3620">
        <row r="2">
          <cell r="A2" t="str">
            <v>실     명</v>
          </cell>
        </row>
      </sheetData>
      <sheetData sheetId="3621">
        <row r="2">
          <cell r="A2" t="str">
            <v>실     명</v>
          </cell>
        </row>
      </sheetData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>
        <row r="2">
          <cell r="A2" t="str">
            <v>실     명</v>
          </cell>
        </row>
      </sheetData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>
        <row r="2">
          <cell r="A2" t="str">
            <v>실     명</v>
          </cell>
        </row>
      </sheetData>
      <sheetData sheetId="3713">
        <row r="2">
          <cell r="A2" t="str">
            <v>실     명</v>
          </cell>
        </row>
      </sheetData>
      <sheetData sheetId="3714">
        <row r="2">
          <cell r="A2" t="str">
            <v>실     명</v>
          </cell>
        </row>
      </sheetData>
      <sheetData sheetId="3715">
        <row r="2">
          <cell r="A2" t="str">
            <v>실     명</v>
          </cell>
        </row>
      </sheetData>
      <sheetData sheetId="3716">
        <row r="2">
          <cell r="A2" t="str">
            <v>실     명</v>
          </cell>
        </row>
      </sheetData>
      <sheetData sheetId="3717">
        <row r="2">
          <cell r="A2" t="str">
            <v>실     명</v>
          </cell>
        </row>
      </sheetData>
      <sheetData sheetId="3718">
        <row r="2">
          <cell r="A2" t="str">
            <v>실     명</v>
          </cell>
        </row>
      </sheetData>
      <sheetData sheetId="3719">
        <row r="2">
          <cell r="A2" t="str">
            <v>실     명</v>
          </cell>
        </row>
      </sheetData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>
        <row r="2">
          <cell r="A2" t="str">
            <v>실     명</v>
          </cell>
        </row>
      </sheetData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>
        <row r="2">
          <cell r="A2" t="str">
            <v>실     명</v>
          </cell>
        </row>
      </sheetData>
      <sheetData sheetId="3766" refreshError="1"/>
      <sheetData sheetId="3767" refreshError="1"/>
      <sheetData sheetId="3768" refreshError="1"/>
      <sheetData sheetId="3769"/>
      <sheetData sheetId="3770" refreshError="1"/>
      <sheetData sheetId="377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>
        <row r="2">
          <cell r="A2" t="str">
            <v>실     명</v>
          </cell>
        </row>
      </sheetData>
      <sheetData sheetId="3787">
        <row r="2">
          <cell r="A2" t="str">
            <v>실     명</v>
          </cell>
        </row>
      </sheetData>
      <sheetData sheetId="3788">
        <row r="2">
          <cell r="A2" t="str">
            <v>실     명</v>
          </cell>
        </row>
      </sheetData>
      <sheetData sheetId="3789">
        <row r="2">
          <cell r="A2" t="str">
            <v>실     명</v>
          </cell>
        </row>
      </sheetData>
      <sheetData sheetId="3790">
        <row r="2">
          <cell r="A2" t="str">
            <v>실     명</v>
          </cell>
        </row>
      </sheetData>
      <sheetData sheetId="3791">
        <row r="2">
          <cell r="A2" t="str">
            <v>실     명</v>
          </cell>
        </row>
      </sheetData>
      <sheetData sheetId="3792">
        <row r="2">
          <cell r="A2" t="str">
            <v>실     명</v>
          </cell>
        </row>
      </sheetData>
      <sheetData sheetId="3793">
        <row r="2">
          <cell r="A2" t="str">
            <v>실     명</v>
          </cell>
        </row>
      </sheetData>
      <sheetData sheetId="3794">
        <row r="2">
          <cell r="A2" t="str">
            <v>실     명</v>
          </cell>
        </row>
      </sheetData>
      <sheetData sheetId="3795">
        <row r="2">
          <cell r="A2" t="str">
            <v>실     명</v>
          </cell>
        </row>
      </sheetData>
      <sheetData sheetId="3796">
        <row r="2">
          <cell r="A2" t="str">
            <v>실     명</v>
          </cell>
        </row>
      </sheetData>
      <sheetData sheetId="3797">
        <row r="2">
          <cell r="A2" t="str">
            <v>실     명</v>
          </cell>
        </row>
      </sheetData>
      <sheetData sheetId="3798">
        <row r="2">
          <cell r="A2" t="str">
            <v>실     명</v>
          </cell>
        </row>
      </sheetData>
      <sheetData sheetId="3799">
        <row r="2">
          <cell r="A2" t="str">
            <v>실     명</v>
          </cell>
        </row>
      </sheetData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>
        <row r="2">
          <cell r="A2" t="str">
            <v>실     명</v>
          </cell>
        </row>
      </sheetData>
      <sheetData sheetId="3842">
        <row r="2">
          <cell r="A2" t="str">
            <v>실     명</v>
          </cell>
        </row>
      </sheetData>
      <sheetData sheetId="3843">
        <row r="2">
          <cell r="A2" t="str">
            <v>실     명</v>
          </cell>
        </row>
      </sheetData>
      <sheetData sheetId="3844">
        <row r="2">
          <cell r="A2" t="str">
            <v>실     명</v>
          </cell>
        </row>
      </sheetData>
      <sheetData sheetId="3845">
        <row r="2">
          <cell r="A2" t="str">
            <v>실     명</v>
          </cell>
        </row>
      </sheetData>
      <sheetData sheetId="3846" refreshError="1"/>
      <sheetData sheetId="3847" refreshError="1"/>
      <sheetData sheetId="3848">
        <row r="2">
          <cell r="A2" t="str">
            <v>실     명</v>
          </cell>
        </row>
      </sheetData>
      <sheetData sheetId="3849">
        <row r="2">
          <cell r="A2" t="str">
            <v>실     명</v>
          </cell>
        </row>
      </sheetData>
      <sheetData sheetId="3850">
        <row r="2">
          <cell r="A2" t="str">
            <v>실     명</v>
          </cell>
        </row>
      </sheetData>
      <sheetData sheetId="3851">
        <row r="2">
          <cell r="A2" t="str">
            <v>실     명</v>
          </cell>
        </row>
      </sheetData>
      <sheetData sheetId="3852" refreshError="1"/>
      <sheetData sheetId="3853" refreshError="1"/>
      <sheetData sheetId="3854" refreshError="1"/>
      <sheetData sheetId="3855" refreshError="1"/>
      <sheetData sheetId="3856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/>
      <sheetData sheetId="3935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/>
      <sheetData sheetId="4010"/>
      <sheetData sheetId="4011"/>
      <sheetData sheetId="4012"/>
      <sheetData sheetId="4013"/>
      <sheetData sheetId="4014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/>
      <sheetData sheetId="4349"/>
      <sheetData sheetId="4350"/>
      <sheetData sheetId="435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/>
      <sheetData sheetId="4376"/>
      <sheetData sheetId="4377"/>
      <sheetData sheetId="4378" refreshError="1"/>
      <sheetData sheetId="4379" refreshError="1"/>
      <sheetData sheetId="4380" refreshError="1"/>
      <sheetData sheetId="4381"/>
      <sheetData sheetId="4382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/>
      <sheetData sheetId="4394" refreshError="1"/>
      <sheetData sheetId="4395" refreshError="1"/>
      <sheetData sheetId="4396" refreshError="1"/>
      <sheetData sheetId="4397"/>
      <sheetData sheetId="4398"/>
      <sheetData sheetId="4399" refreshError="1"/>
      <sheetData sheetId="4400" refreshError="1"/>
      <sheetData sheetId="4401"/>
      <sheetData sheetId="4402"/>
      <sheetData sheetId="4403" refreshError="1"/>
      <sheetData sheetId="4404" refreshError="1"/>
      <sheetData sheetId="4405"/>
      <sheetData sheetId="4406" refreshError="1"/>
      <sheetData sheetId="4407" refreshError="1"/>
      <sheetData sheetId="4408" refreshError="1"/>
      <sheetData sheetId="4409"/>
      <sheetData sheetId="4410" refreshError="1"/>
      <sheetData sheetId="4411"/>
      <sheetData sheetId="4412"/>
      <sheetData sheetId="4413"/>
      <sheetData sheetId="4414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/>
      <sheetData sheetId="4566"/>
      <sheetData sheetId="4567"/>
      <sheetData sheetId="4568"/>
      <sheetData sheetId="4569"/>
      <sheetData sheetId="4570"/>
      <sheetData sheetId="457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/>
      <sheetData sheetId="4681"/>
      <sheetData sheetId="4682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/>
      <sheetData sheetId="4792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 refreshError="1"/>
      <sheetData sheetId="4854" refreshError="1"/>
      <sheetData sheetId="4855"/>
      <sheetData sheetId="4856" refreshError="1"/>
      <sheetData sheetId="4857" refreshError="1"/>
      <sheetData sheetId="4858" refreshError="1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>
        <row r="2">
          <cell r="A2" t="str">
            <v>실     명</v>
          </cell>
        </row>
      </sheetData>
      <sheetData sheetId="4914">
        <row r="2">
          <cell r="A2" t="str">
            <v>실     명</v>
          </cell>
        </row>
      </sheetData>
      <sheetData sheetId="4915">
        <row r="2">
          <cell r="A2" t="str">
            <v>실     명</v>
          </cell>
        </row>
      </sheetData>
      <sheetData sheetId="4916">
        <row r="2">
          <cell r="A2" t="str">
            <v>실     명</v>
          </cell>
        </row>
      </sheetData>
      <sheetData sheetId="4917">
        <row r="2">
          <cell r="A2" t="str">
            <v>실     명</v>
          </cell>
        </row>
      </sheetData>
      <sheetData sheetId="4918">
        <row r="2">
          <cell r="A2" t="str">
            <v>실     명</v>
          </cell>
        </row>
      </sheetData>
      <sheetData sheetId="4919">
        <row r="2">
          <cell r="A2" t="str">
            <v>실     명</v>
          </cell>
        </row>
      </sheetData>
      <sheetData sheetId="4920">
        <row r="2">
          <cell r="A2" t="str">
            <v>실     명</v>
          </cell>
        </row>
      </sheetData>
      <sheetData sheetId="4921">
        <row r="2">
          <cell r="A2" t="str">
            <v>실     명</v>
          </cell>
        </row>
      </sheetData>
      <sheetData sheetId="4922">
        <row r="2">
          <cell r="A2" t="str">
            <v>실     명</v>
          </cell>
        </row>
      </sheetData>
      <sheetData sheetId="4923">
        <row r="2">
          <cell r="A2" t="str">
            <v>실     명</v>
          </cell>
        </row>
      </sheetData>
      <sheetData sheetId="4924">
        <row r="2">
          <cell r="A2" t="str">
            <v>실     명</v>
          </cell>
        </row>
      </sheetData>
      <sheetData sheetId="4925">
        <row r="2">
          <cell r="A2" t="str">
            <v>실     명</v>
          </cell>
        </row>
      </sheetData>
      <sheetData sheetId="4926">
        <row r="2">
          <cell r="A2" t="str">
            <v>실     명</v>
          </cell>
        </row>
      </sheetData>
      <sheetData sheetId="4927">
        <row r="2">
          <cell r="A2" t="str">
            <v>실     명</v>
          </cell>
        </row>
      </sheetData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/>
      <sheetData sheetId="5078"/>
      <sheetData sheetId="5079"/>
      <sheetData sheetId="5080"/>
      <sheetData sheetId="5081"/>
      <sheetData sheetId="5082"/>
      <sheetData sheetId="5083">
        <row r="2">
          <cell r="A2" t="str">
            <v>실     명</v>
          </cell>
        </row>
      </sheetData>
      <sheetData sheetId="5084">
        <row r="2">
          <cell r="A2" t="str">
            <v>실     명</v>
          </cell>
        </row>
      </sheetData>
      <sheetData sheetId="5085">
        <row r="2">
          <cell r="A2" t="str">
            <v>실     명</v>
          </cell>
        </row>
      </sheetData>
      <sheetData sheetId="5086"/>
      <sheetData sheetId="5087"/>
      <sheetData sheetId="5088"/>
      <sheetData sheetId="5089"/>
      <sheetData sheetId="5090"/>
      <sheetData sheetId="5091"/>
      <sheetData sheetId="5092">
        <row r="2">
          <cell r="A2" t="str">
            <v>실     명</v>
          </cell>
        </row>
      </sheetData>
      <sheetData sheetId="5093"/>
      <sheetData sheetId="5094">
        <row r="2">
          <cell r="A2" t="str">
            <v>실     명</v>
          </cell>
        </row>
      </sheetData>
      <sheetData sheetId="5095">
        <row r="2">
          <cell r="A2" t="str">
            <v>실     명</v>
          </cell>
        </row>
      </sheetData>
      <sheetData sheetId="5096"/>
      <sheetData sheetId="5097"/>
      <sheetData sheetId="5098"/>
      <sheetData sheetId="5099"/>
      <sheetData sheetId="5100">
        <row r="2">
          <cell r="A2" t="str">
            <v>실     명</v>
          </cell>
        </row>
      </sheetData>
      <sheetData sheetId="5101">
        <row r="2">
          <cell r="A2" t="str">
            <v>실     명</v>
          </cell>
        </row>
      </sheetData>
      <sheetData sheetId="5102"/>
      <sheetData sheetId="5103">
        <row r="2">
          <cell r="A2" t="str">
            <v>실     명</v>
          </cell>
        </row>
      </sheetData>
      <sheetData sheetId="5104">
        <row r="2">
          <cell r="A2" t="str">
            <v>실     명</v>
          </cell>
        </row>
      </sheetData>
      <sheetData sheetId="5105">
        <row r="2">
          <cell r="A2" t="str">
            <v>실     명</v>
          </cell>
        </row>
      </sheetData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>
        <row r="2">
          <cell r="A2" t="str">
            <v>실     명</v>
          </cell>
        </row>
      </sheetData>
      <sheetData sheetId="5118">
        <row r="2">
          <cell r="A2" t="str">
            <v>실     명</v>
          </cell>
        </row>
      </sheetData>
      <sheetData sheetId="5119">
        <row r="2">
          <cell r="A2" t="str">
            <v>실     명</v>
          </cell>
        </row>
      </sheetData>
      <sheetData sheetId="5120">
        <row r="2">
          <cell r="A2" t="str">
            <v>실     명</v>
          </cell>
        </row>
      </sheetData>
      <sheetData sheetId="5121">
        <row r="2">
          <cell r="A2" t="str">
            <v>실     명</v>
          </cell>
        </row>
      </sheetData>
      <sheetData sheetId="5122">
        <row r="2">
          <cell r="A2" t="str">
            <v>실     명</v>
          </cell>
        </row>
      </sheetData>
      <sheetData sheetId="5123">
        <row r="2">
          <cell r="A2" t="str">
            <v>실     명</v>
          </cell>
        </row>
      </sheetData>
      <sheetData sheetId="5124">
        <row r="2">
          <cell r="A2" t="str">
            <v>실     명</v>
          </cell>
        </row>
      </sheetData>
      <sheetData sheetId="5125">
        <row r="2">
          <cell r="A2" t="str">
            <v>실     명</v>
          </cell>
        </row>
      </sheetData>
      <sheetData sheetId="5126">
        <row r="2">
          <cell r="A2" t="str">
            <v>실     명</v>
          </cell>
        </row>
      </sheetData>
      <sheetData sheetId="5127">
        <row r="2">
          <cell r="A2" t="str">
            <v>실     명</v>
          </cell>
        </row>
      </sheetData>
      <sheetData sheetId="5128">
        <row r="2">
          <cell r="A2" t="str">
            <v>실     명</v>
          </cell>
        </row>
      </sheetData>
      <sheetData sheetId="5129">
        <row r="2">
          <cell r="A2" t="str">
            <v>실     명</v>
          </cell>
        </row>
      </sheetData>
      <sheetData sheetId="5130">
        <row r="2">
          <cell r="A2" t="str">
            <v>실     명</v>
          </cell>
        </row>
      </sheetData>
      <sheetData sheetId="5131">
        <row r="2">
          <cell r="A2" t="str">
            <v>실     명</v>
          </cell>
        </row>
      </sheetData>
      <sheetData sheetId="5132">
        <row r="2">
          <cell r="A2" t="str">
            <v>실     명</v>
          </cell>
        </row>
      </sheetData>
      <sheetData sheetId="5133">
        <row r="2">
          <cell r="A2" t="str">
            <v>실     명</v>
          </cell>
        </row>
      </sheetData>
      <sheetData sheetId="5134">
        <row r="2">
          <cell r="A2" t="str">
            <v>실     명</v>
          </cell>
        </row>
      </sheetData>
      <sheetData sheetId="5135">
        <row r="2">
          <cell r="A2" t="str">
            <v>실     명</v>
          </cell>
        </row>
      </sheetData>
      <sheetData sheetId="5136">
        <row r="2">
          <cell r="A2" t="str">
            <v>실     명</v>
          </cell>
        </row>
      </sheetData>
      <sheetData sheetId="5137">
        <row r="2">
          <cell r="A2" t="str">
            <v>실     명</v>
          </cell>
        </row>
      </sheetData>
      <sheetData sheetId="5138">
        <row r="2">
          <cell r="A2" t="str">
            <v>실     명</v>
          </cell>
        </row>
      </sheetData>
      <sheetData sheetId="5139">
        <row r="2">
          <cell r="A2" t="str">
            <v>실     명</v>
          </cell>
        </row>
      </sheetData>
      <sheetData sheetId="5140">
        <row r="2">
          <cell r="A2" t="str">
            <v>실     명</v>
          </cell>
        </row>
      </sheetData>
      <sheetData sheetId="5141">
        <row r="2">
          <cell r="A2" t="str">
            <v>실     명</v>
          </cell>
        </row>
      </sheetData>
      <sheetData sheetId="5142">
        <row r="2">
          <cell r="A2" t="str">
            <v>실     명</v>
          </cell>
        </row>
      </sheetData>
      <sheetData sheetId="5143">
        <row r="2">
          <cell r="A2" t="str">
            <v>실     명</v>
          </cell>
        </row>
      </sheetData>
      <sheetData sheetId="5144">
        <row r="2">
          <cell r="A2" t="str">
            <v>실     명</v>
          </cell>
        </row>
      </sheetData>
      <sheetData sheetId="5145">
        <row r="2">
          <cell r="A2" t="str">
            <v>실     명</v>
          </cell>
        </row>
      </sheetData>
      <sheetData sheetId="5146">
        <row r="2">
          <cell r="A2" t="str">
            <v>실     명</v>
          </cell>
        </row>
      </sheetData>
      <sheetData sheetId="5147">
        <row r="2">
          <cell r="A2" t="str">
            <v>실     명</v>
          </cell>
        </row>
      </sheetData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>
        <row r="2">
          <cell r="A2" t="str">
            <v>실     명</v>
          </cell>
        </row>
      </sheetData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>
        <row r="2">
          <cell r="A2" t="str">
            <v>실     명</v>
          </cell>
        </row>
      </sheetData>
      <sheetData sheetId="5248">
        <row r="2">
          <cell r="A2" t="str">
            <v>실     명</v>
          </cell>
        </row>
      </sheetData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>
        <row r="2">
          <cell r="A2" t="str">
            <v>실     명</v>
          </cell>
        </row>
      </sheetData>
      <sheetData sheetId="5292">
        <row r="2">
          <cell r="A2" t="str">
            <v>실     명</v>
          </cell>
        </row>
      </sheetData>
      <sheetData sheetId="5293">
        <row r="2">
          <cell r="A2" t="str">
            <v>실     명</v>
          </cell>
        </row>
      </sheetData>
      <sheetData sheetId="5294">
        <row r="2">
          <cell r="A2" t="str">
            <v>실     명</v>
          </cell>
        </row>
      </sheetData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>
        <row r="2">
          <cell r="A2" t="str">
            <v>실     명</v>
          </cell>
        </row>
      </sheetData>
      <sheetData sheetId="5307">
        <row r="2">
          <cell r="A2" t="str">
            <v>실     명</v>
          </cell>
        </row>
      </sheetData>
      <sheetData sheetId="5308">
        <row r="2">
          <cell r="A2" t="str">
            <v>실     명</v>
          </cell>
        </row>
      </sheetData>
      <sheetData sheetId="5309">
        <row r="2">
          <cell r="A2" t="str">
            <v>실     명</v>
          </cell>
        </row>
      </sheetData>
      <sheetData sheetId="5310">
        <row r="2">
          <cell r="A2" t="str">
            <v>실     명</v>
          </cell>
        </row>
      </sheetData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>
        <row r="2">
          <cell r="A2" t="str">
            <v>실     명</v>
          </cell>
        </row>
      </sheetData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>
        <row r="2">
          <cell r="A2" t="str">
            <v>실     명</v>
          </cell>
        </row>
      </sheetData>
      <sheetData sheetId="5404">
        <row r="2">
          <cell r="A2" t="str">
            <v>실     명</v>
          </cell>
        </row>
      </sheetData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>
        <row r="2">
          <cell r="A2" t="str">
            <v>실     명</v>
          </cell>
        </row>
      </sheetData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 refreshError="1"/>
      <sheetData sheetId="5928" refreshError="1"/>
      <sheetData sheetId="5929" refreshError="1"/>
      <sheetData sheetId="5930" refreshError="1"/>
      <sheetData sheetId="5931"/>
      <sheetData sheetId="5932"/>
      <sheetData sheetId="5933"/>
      <sheetData sheetId="5934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/>
      <sheetData sheetId="6028"/>
      <sheetData sheetId="6029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/>
      <sheetData sheetId="6093"/>
      <sheetData sheetId="6094"/>
      <sheetData sheetId="6095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/>
      <sheetData sheetId="6306"/>
      <sheetData sheetId="6307"/>
      <sheetData sheetId="6308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A1"/>
      <sheetName val="A2"/>
      <sheetName val="to do"/>
      <sheetName val="재고"/>
      <sheetName val="AR"/>
      <sheetName val="단가검증"/>
      <sheetName val="재고분석"/>
      <sheetName val="가공비배부"/>
      <sheetName val="제,원"/>
      <sheetName val="투자"/>
      <sheetName val="평가"/>
      <sheetName val="무형"/>
      <sheetName val="M"/>
      <sheetName val="M1-anl"/>
      <sheetName val="퇴충"/>
      <sheetName val="분석적검토"/>
      <sheetName val="자본"/>
      <sheetName val="스탁옵션"/>
      <sheetName val="원가"/>
      <sheetName val="제조원가"/>
      <sheetName val="월별제조"/>
      <sheetName val="영업외"/>
      <sheetName val="우발"/>
      <sheetName val="법인"/>
      <sheetName val="미지급법인세"/>
      <sheetName val="이연법인세"/>
      <sheetName val="BS일이후"/>
      <sheetName val="매입"/>
      <sheetName val="원재료평가"/>
      <sheetName val="제품평가"/>
      <sheetName val="cc"/>
      <sheetName val="조회"/>
      <sheetName val="총괄"/>
      <sheetName val="미수"/>
      <sheetName val="공통"/>
      <sheetName val="업무분장 "/>
      <sheetName val="B-90"/>
      <sheetName val="기말요약"/>
      <sheetName val="중요성기준"/>
      <sheetName val="A9-1~5 "/>
      <sheetName val="A9-3"/>
      <sheetName val="경영분석"/>
      <sheetName val="98경영"/>
      <sheetName val="A9-부2 "/>
      <sheetName val="A9"/>
      <sheetName val="A9-2(구)"/>
      <sheetName val="주석자료A7"/>
      <sheetName val="주총요약"/>
      <sheetName val="지급보증"/>
      <sheetName val="(법인,토지)등기부등본요약"/>
      <sheetName val="보험가입"/>
      <sheetName val="계속기업검토표"/>
      <sheetName val="A7"/>
      <sheetName val="등본요약"/>
      <sheetName val="계속기업"/>
      <sheetName val="TEMP2"/>
      <sheetName val="현금흐름표"/>
      <sheetName val="TEMP"/>
      <sheetName val="JA"/>
      <sheetName val="to_do"/>
      <sheetName val="업무분장_"/>
      <sheetName val="A9-1~5_"/>
      <sheetName val="A9-부2_"/>
      <sheetName val="영업외손익등"/>
      <sheetName val="산업은행 경영지표"/>
      <sheetName val="8월"/>
      <sheetName val="BS"/>
      <sheetName val="금융"/>
      <sheetName val="은행"/>
      <sheetName val="리스"/>
      <sheetName val="보험"/>
      <sheetName val="노무비"/>
      <sheetName val="수정시산표"/>
      <sheetName val="매입수불자재"/>
      <sheetName val="95WBS"/>
      <sheetName val="M&amp;G Outstanding Data"/>
      <sheetName val="99판매상세"/>
      <sheetName val="입력항목"/>
      <sheetName val="TB"/>
      <sheetName val="감가상각"/>
      <sheetName val="ttt"/>
      <sheetName val="미수이자"/>
      <sheetName val="Area"/>
      <sheetName val="4. Leverage - out"/>
      <sheetName val="인원계획-미화"/>
      <sheetName val="YOEMAGUM"/>
      <sheetName val="전문직"/>
      <sheetName val="인턴사원"/>
      <sheetName val="Initial Input Variable"/>
      <sheetName val="SpQ"/>
      <sheetName val="Income Statement"/>
      <sheetName val="Shareholders' Equity"/>
      <sheetName val="pre-anal손익계산서"/>
      <sheetName val="pre-anal대차대조표"/>
      <sheetName val="Rent roll"/>
      <sheetName val="CostData"/>
      <sheetName val="IncomeData"/>
      <sheetName val="Summary"/>
      <sheetName val="PropertyData"/>
      <sheetName val="AKL"/>
      <sheetName val="상가매매0115"/>
      <sheetName val="상가임대0115"/>
      <sheetName val="상품매출"/>
      <sheetName val="재고 "/>
      <sheetName val="유림골조"/>
      <sheetName val="회사정보"/>
      <sheetName val="DB"/>
      <sheetName val="인건비"/>
      <sheetName val="안산기계장치"/>
      <sheetName val="CT "/>
      <sheetName val="S&amp;R"/>
      <sheetName val="과"/>
      <sheetName val="상품입고집계"/>
      <sheetName val="받을어음"/>
      <sheetName val="10월 (2)"/>
      <sheetName val="종합-임현"/>
      <sheetName val="조회총괄"/>
      <sheetName val="현금"/>
      <sheetName val="단기차입금(200006)"/>
      <sheetName val="Variables"/>
      <sheetName val="매출"/>
      <sheetName val="목차"/>
      <sheetName val="maccp04"/>
      <sheetName val="기초해지2"/>
      <sheetName val="검산금액"/>
      <sheetName val="선수보증금"/>
      <sheetName val="Sheet5"/>
      <sheetName val="연체일수"/>
      <sheetName val="기초해지"/>
      <sheetName val="잔가합계"/>
      <sheetName val="Sheet6"/>
      <sheetName val="중도해지진행업체"/>
      <sheetName val="지우기"/>
      <sheetName val="동양제과11월"/>
      <sheetName val="동양제과 12월"/>
      <sheetName val="크라운제과11월"/>
      <sheetName val="크라운제과 12월"/>
      <sheetName val="해태제과11월"/>
      <sheetName val="리스(CIF)산출"/>
      <sheetName val="A조서-한서"/>
      <sheetName val="요율"/>
      <sheetName val="入力表"/>
      <sheetName val="Ⅰ-3"/>
      <sheetName val="Sheet1"/>
      <sheetName val="収益率計算"/>
      <sheetName val="土地建物"/>
      <sheetName val="表紙"/>
      <sheetName val="대차대조표"/>
      <sheetName val="산수(hd-0)"/>
      <sheetName val="산수(hd-1)"/>
      <sheetName val="Cost2"/>
      <sheetName val="anaysis_sheet"/>
      <sheetName val="시화점실행"/>
      <sheetName val="減少什器"/>
      <sheetName val="検針表"/>
      <sheetName val="재무가정"/>
      <sheetName val="지급어음(일별)"/>
      <sheetName val="DQE-MEN-EXT"/>
      <sheetName val="매출.물동명세"/>
      <sheetName val="CR"/>
      <sheetName val="3"/>
      <sheetName val="00'미수"/>
      <sheetName val="합손"/>
      <sheetName val="중기"/>
      <sheetName val="확인서"/>
      <sheetName val="식음료"/>
      <sheetName val="データ"/>
      <sheetName val="시산표"/>
      <sheetName val="주주명부&lt;끝&gt;"/>
      <sheetName val="(법인,토지)등기_x0002__x0000_鉘K_x000a_"/>
      <sheetName val=""/>
      <sheetName val="(법인,토지)등기_x0002__x0000_銨7_x000a_"/>
      <sheetName val="(법인,토지)등기_x0002__x0000_鑀0."/>
      <sheetName val="(법인,토지)등기부등본요_x0002_"/>
      <sheetName val="(법인,토지)등기_x0002__x0000_釘6."/>
      <sheetName val="(법인,토지)등기_x0002__x0000_鈰_x000f_."/>
      <sheetName val="(법인,토지)등기_x0002__x0000_鈰 ."/>
      <sheetName val="sch_list (2)"/>
      <sheetName val="(법인,토지)등기_x0002_?鉘K_x000a_"/>
      <sheetName val="(법인,토지)등기_x0002_?銨7_x000a_"/>
      <sheetName val="(법인,토지)등기_x0002_?鑀0."/>
      <sheetName val="(법인,토지)등기_x0002_?釘6."/>
      <sheetName val="MISforgeforging"/>
      <sheetName val="CVBUH2MONTHLY"/>
      <sheetName val="보조부문비배부"/>
      <sheetName val="재고선1"/>
      <sheetName val="222"/>
      <sheetName val="부서코드표"/>
      <sheetName val="spares timing"/>
      <sheetName val="PROC CHARGE"/>
      <sheetName val="After Apr 05 List rso dom"/>
      <sheetName val="(법인,토지)등기_x0002_"/>
      <sheetName val="oth exp final"/>
      <sheetName val="w.o.exp final (2)"/>
      <sheetName val="P111-115"/>
      <sheetName val="P248"/>
      <sheetName val="W-현원가"/>
      <sheetName val="피벗"/>
      <sheetName val="10한빛"/>
      <sheetName val="Sheet11"/>
      <sheetName val="(법인,토지)등기_x0002_?鈰_x000f_."/>
      <sheetName val="(법인,토지)등기_x0002_?鈰 ."/>
      <sheetName val="(법인,토지)등기_x0002__鉘K_"/>
      <sheetName val="(법인,토지)등기_x0002__銨7_"/>
      <sheetName val="(법인,토지)등기_x0002__鑀0."/>
      <sheetName val="(법인,토지)등기_x0002__釘6."/>
      <sheetName val="제조부문배부"/>
      <sheetName val="Master"/>
      <sheetName val="WELDING"/>
      <sheetName val="PL"/>
      <sheetName val="TEMP1"/>
      <sheetName val="_x0000_ "/>
      <sheetName val="Reference"/>
      <sheetName val="BND"/>
      <sheetName val="PRDMAR96"/>
      <sheetName val="#REF"/>
      <sheetName val="FDY_PWR"/>
      <sheetName val="Dforgings"/>
      <sheetName val="IND9899"/>
      <sheetName val="1st"/>
      <sheetName val="Tdep(old)"/>
      <sheetName val="finalised"/>
      <sheetName val="Transportation"/>
      <sheetName val="change fdy"/>
      <sheetName val="501frgmar"/>
      <sheetName val="? "/>
      <sheetName val="5"/>
      <sheetName val="LDP 50"/>
      <sheetName val="B0_111350"/>
      <sheetName val="9910"/>
      <sheetName val="외상매출금현황-수정분 A2"/>
      <sheetName val="XREF"/>
      <sheetName val="SALE"/>
      <sheetName val="목표대비(변경전)"/>
      <sheetName val="COND"/>
      <sheetName val="Tax FY 09-10"/>
      <sheetName val="정비손익"/>
      <sheetName val="Sch 7-13"/>
      <sheetName val="_"/>
      <sheetName val="LDP_50"/>
      <sheetName val="MAR A"/>
      <sheetName val="현장"/>
      <sheetName val="크라운"/>
      <sheetName val="대손설정"/>
      <sheetName val="9609Aß"/>
      <sheetName val="수정분개"/>
      <sheetName val="96수표어음"/>
      <sheetName val="リスト"/>
      <sheetName val="SH_work"/>
      <sheetName val="(Monthly)"/>
      <sheetName val="王子一覧"/>
      <sheetName val="データベース"/>
      <sheetName val="データ(新宿区,徒,0,0)"/>
      <sheetName val="6A CA"/>
      <sheetName val="7月入出金（西洞院）"/>
      <sheetName val="CostApp."/>
      <sheetName val="京王井の頭線"/>
      <sheetName val="Announced_Deals"/>
      <sheetName val="商品一覧"/>
      <sheetName val="CashFlow(중간집계)"/>
      <sheetName val="1.1 Project Data"/>
      <sheetName val="収支"/>
      <sheetName val="FF-6"/>
      <sheetName val="NAV"/>
      <sheetName val="売掛99･9_確定_クエリー"/>
      <sheetName val="LIST"/>
      <sheetName val="리츠"/>
      <sheetName val="入力用(家賃)"/>
      <sheetName val="入力用(駐車)"/>
      <sheetName val="dso-WS"/>
      <sheetName val="Control Sheet"/>
      <sheetName val="10월판관"/>
      <sheetName val="Front Cover"/>
      <sheetName val="담보명세"/>
      <sheetName val="Import_FX"/>
      <sheetName val="to_do1"/>
      <sheetName val="업무분장_1"/>
      <sheetName val="A9-1~5_1"/>
      <sheetName val="A9-부2_1"/>
      <sheetName val="M&amp;G_Outstanding_Data"/>
      <sheetName val="산업은행_경영지표"/>
      <sheetName val="Initial_Input_Variable"/>
      <sheetName val="Income_Statement"/>
      <sheetName val="Shareholders'_Equity"/>
      <sheetName val="Rent_roll"/>
      <sheetName val="재고_"/>
      <sheetName val="4__Leverage_-_out"/>
      <sheetName val="CT_"/>
      <sheetName val="동양제과_12월"/>
      <sheetName val="크라운제과_12월"/>
      <sheetName val="10월_(2)"/>
      <sheetName val="業者の口座名・番号"/>
      <sheetName val="to_do2"/>
      <sheetName val="업무분장_2"/>
      <sheetName val="A9-1~5_2"/>
      <sheetName val="A9-부2_2"/>
      <sheetName val="M&amp;G_Outstanding_Data1"/>
      <sheetName val="산업은행_경영지표1"/>
      <sheetName val="Initial_Input_Variable1"/>
      <sheetName val="Income_Statement1"/>
      <sheetName val="Shareholders'_Equity1"/>
      <sheetName val="Rent_roll1"/>
      <sheetName val="재고_1"/>
      <sheetName val="4__Leverage_-_out1"/>
      <sheetName val="CT_1"/>
      <sheetName val="동양제과_12월1"/>
      <sheetName val="크라운제과_12월1"/>
      <sheetName val="10월_(2)1"/>
      <sheetName val="매출_물동명세"/>
      <sheetName val="6A_CA"/>
      <sheetName val="CostApp_"/>
      <sheetName val="1_1_Project_Data"/>
      <sheetName val="승용"/>
      <sheetName val="원_VL"/>
      <sheetName val="118.세금과공과"/>
      <sheetName val="108.수선비"/>
      <sheetName val="일위"/>
      <sheetName val="賃料等一覧"/>
      <sheetName val="抽出／ビル実績データ"/>
      <sheetName val="Front_Cover"/>
      <sheetName val="단가산출"/>
      <sheetName val="조회서"/>
      <sheetName val="주소"/>
      <sheetName val="건설가계정"/>
      <sheetName val="Feuil3"/>
      <sheetName val="償却資産税"/>
      <sheetName val="상불"/>
      <sheetName val="건물"/>
      <sheetName val="CODE"/>
      <sheetName val="(법인,토지)등기_x0002__x0000_鉘K "/>
      <sheetName val="(법인,토지)등기_x0002__x0000_銨7 "/>
      <sheetName val="(법인,토지)등기_x0002_?鉘K "/>
      <sheetName val="(법인,토지)등기_x0002_?銨7 "/>
      <sheetName val="피엘"/>
      <sheetName val="배서어음명세서"/>
      <sheetName val="Data"/>
      <sheetName val="시험연구비상각"/>
      <sheetName val="우편번호"/>
      <sheetName val="Input"/>
      <sheetName val="Sheet3"/>
      <sheetName val="명세"/>
      <sheetName val="Menu_Link"/>
      <sheetName val="계정code"/>
      <sheetName val="SM1-09"/>
      <sheetName val="SM2-09"/>
      <sheetName val="아이콘"/>
      <sheetName val="SO416"/>
      <sheetName val="투입&amp;생산"/>
      <sheetName val="상품입력"/>
      <sheetName val="원재료입력"/>
      <sheetName val="범한여행"/>
      <sheetName val="1.MDF1공장"/>
      <sheetName val="받을어음할인및 융통어음"/>
      <sheetName val="支払手形"/>
      <sheetName val="가상"/>
      <sheetName val="정상"/>
      <sheetName val="매출채권"/>
      <sheetName val="조정전"/>
      <sheetName val="차수"/>
      <sheetName val="5사남"/>
      <sheetName val="기본사항"/>
      <sheetName val="97 사업추정(WEKI)"/>
      <sheetName val="Ctrl"/>
      <sheetName val="compare2"/>
      <sheetName val="기준정보"/>
      <sheetName val="표준 Table_2004년"/>
      <sheetName val="당좌차월"/>
      <sheetName val="Krw"/>
      <sheetName val="US$ I (SEG.)"/>
      <sheetName val="원97"/>
      <sheetName val="EE118C"/>
      <sheetName val="EE118"/>
      <sheetName val="수금 "/>
      <sheetName val="12월정산수금현황"/>
      <sheetName val="경영비율 "/>
      <sheetName val="DY092"/>
      <sheetName val="과장"/>
      <sheetName val="f_BS"/>
      <sheetName val="시산표12월(수정후)"/>
      <sheetName val="JOB Assign"/>
      <sheetName val="AP"/>
      <sheetName val="MKI TB"/>
      <sheetName val="Ⅱ1-0타"/>
      <sheetName val="서식시트"/>
      <sheetName val="매입유형"/>
      <sheetName val="매입처등록"/>
      <sheetName val="전체지분도"/>
      <sheetName val="12월원재료매입"/>
      <sheetName val="금월실적"/>
      <sheetName val="98상품수불(기초)"/>
      <sheetName val="제품수불 (기초)"/>
      <sheetName val="98제품수불부"/>
      <sheetName val="별첨1"/>
      <sheetName val="별첨2"/>
      <sheetName val="7상품수"/>
      <sheetName val="99선급비용"/>
      <sheetName val="근무내역"/>
      <sheetName val="2001Org"/>
      <sheetName val="장차입"/>
      <sheetName val="FS"/>
      <sheetName val="MUS Calculations- Figure 5410.1"/>
      <sheetName val="선급금"/>
      <sheetName val="미지급이자"/>
      <sheetName val="1"/>
      <sheetName val="7.수탁수수료현황"/>
      <sheetName val="06"/>
      <sheetName val="1.현금예금"/>
      <sheetName val="Y-WORK"/>
      <sheetName val="A2109"/>
      <sheetName val="Munka1"/>
      <sheetName val="'94자산"/>
      <sheetName val="ST"/>
      <sheetName val="주메뉴"/>
      <sheetName val="⑧미수이자"/>
      <sheetName val="첨부2"/>
      <sheetName val="Pricing"/>
      <sheetName val="Debt Service Schedule"/>
      <sheetName val="본사현황"/>
      <sheetName val="월별손익"/>
      <sheetName val="Taxas"/>
      <sheetName val="WEIGHT"/>
      <sheetName val="매  출"/>
      <sheetName val="미지급이자1"/>
      <sheetName val="PLarp"/>
      <sheetName val="Macro1"/>
      <sheetName val="to_do3"/>
      <sheetName val="업무분장_3"/>
      <sheetName val="A9-1~5_3"/>
      <sheetName val="A9-부2_3"/>
      <sheetName val="M&amp;G_Outstanding_Data2"/>
      <sheetName val="산업은행_경영지표2"/>
      <sheetName val="Initial_Input_Variable2"/>
      <sheetName val="Income_Statement2"/>
      <sheetName val="Shareholders'_Equity2"/>
      <sheetName val="Rent_roll2"/>
      <sheetName val="재고_2"/>
      <sheetName val="4__Leverage_-_out2"/>
      <sheetName val="CT_2"/>
      <sheetName val="시흥면세"/>
      <sheetName val="별제권_정리담보권1"/>
      <sheetName val="CostApp_1"/>
      <sheetName val="6A_CA1"/>
      <sheetName val="1_1_Project_Data1"/>
      <sheetName val="매출_물동명세1"/>
      <sheetName val="현금및현금등가물1"/>
      <sheetName val="Balance"/>
      <sheetName val="97부과내역 "/>
      <sheetName val="(법인,토지)등기鉘K_x000a_"/>
      <sheetName val="(법인,토지)등기銨7_x000a_"/>
      <sheetName val="(법인,토지)등기鑀0_"/>
      <sheetName val="(법인,토지)등기부등본요"/>
      <sheetName val="(법인,토지)등기釘6_"/>
      <sheetName val="(법인,토지)등기鈰_"/>
      <sheetName val="(법인,토지)등기鈰__"/>
      <sheetName val="(법인,토지)등기?鉘K_x000a_"/>
      <sheetName val="(법인,토지)등기?銨7_x000a_"/>
      <sheetName val="(법인,토지)등기?鑀0_"/>
      <sheetName val="(법인,토지)등기?釘6_"/>
      <sheetName val="sch_list_(2)"/>
      <sheetName val="spares_timing"/>
      <sheetName val="PROC_CHARGE"/>
      <sheetName val="After_Apr_05_List_rso_dom"/>
      <sheetName val="sch_list_(2)1"/>
      <sheetName val="spares_timing1"/>
      <sheetName val="PROC_CHARGE1"/>
      <sheetName val="After_Apr_05_List_rso_dom1"/>
      <sheetName val="sch_list_(2)2"/>
      <sheetName val="spares_timing2"/>
      <sheetName val="PROC_CHARGE2"/>
      <sheetName val="After_Apr_05_List_rso_dom2"/>
      <sheetName val="Ratios"/>
      <sheetName val="Data validation"/>
      <sheetName val="LDP_501"/>
      <sheetName val="Tax_FY_09-10"/>
      <sheetName val="외상매출금현황-수정분_A2"/>
      <sheetName val="Sch_7-13"/>
      <sheetName val="?_"/>
      <sheetName val="MAR_A"/>
      <sheetName val="Fruit Pending Order"/>
      <sheetName val="24.보증금(전신전화가입권)"/>
      <sheetName val="금액집계(리포트)"/>
      <sheetName val="작업일지"/>
      <sheetName val="CAUDIT"/>
      <sheetName val="24_보증금(전신전화가입권)"/>
      <sheetName val="5-4.생산필요공수및인원"/>
      <sheetName val="PI"/>
      <sheetName val="2.대외공문"/>
      <sheetName val="HP1AMLIST"/>
      <sheetName val="RD제품개발투자비(매가)"/>
      <sheetName val="등록"/>
      <sheetName val="특판제외"/>
      <sheetName val="1공장 재공품생산현황"/>
      <sheetName val="1-6(반품내역)"/>
      <sheetName val="실행철강하도"/>
      <sheetName val="97지급이자"/>
      <sheetName val="U3.1"/>
      <sheetName val="주식배당"/>
      <sheetName val="sch_list_(2)3"/>
      <sheetName val="spares_timing3"/>
      <sheetName val="PROC_CHARGE3"/>
      <sheetName val="After_Apr_05_List_rso_dom3"/>
      <sheetName val="oth_exp_final"/>
      <sheetName val="w_o_exp_final_(2)"/>
      <sheetName val="(법인,토지)등기"/>
      <sheetName val="(법인,토지)등기_鉘K_"/>
      <sheetName val="(법인,토지)등기_銨7_"/>
      <sheetName val="(법인,토지)등기_鑀0_"/>
      <sheetName val="(법인,토지)등기_釘6_"/>
      <sheetName val="(법인,토지)등기?鈰_"/>
      <sheetName val="(법인,토지)등기?鈰__"/>
      <sheetName val="change_fdy"/>
      <sheetName val="Data_validation"/>
      <sheetName val="total"/>
      <sheetName val="96시장예측"/>
      <sheetName val="_x0000_P"/>
      <sheetName val="부재료입고집계"/>
      <sheetName val="MIJIBI"/>
      <sheetName val="LinerWt"/>
      <sheetName val="108_수선비"/>
      <sheetName val="6월수불"/>
      <sheetName val="재료비집계표"/>
      <sheetName val="검기갑지"/>
      <sheetName val="M1master"/>
      <sheetName val="외주현황.wq1"/>
      <sheetName val="주요비율-낙관"/>
      <sheetName val="Ⅰ-1"/>
      <sheetName val="전신전화가입권"/>
      <sheetName val="투자자산명세서"/>
      <sheetName val="3-4현"/>
      <sheetName val="3-3현"/>
      <sheetName val="6660"/>
      <sheetName val="Lead"/>
      <sheetName val="투찰가"/>
      <sheetName val="결산분계"/>
      <sheetName val="03년3Q누계급여"/>
      <sheetName val="96월별PL"/>
      <sheetName val="대환취급"/>
      <sheetName val="WPL"/>
      <sheetName val="BS-Arp"/>
      <sheetName val="WBS"/>
      <sheetName val="지급보증금74"/>
      <sheetName val="이자율"/>
      <sheetName val="본사"/>
      <sheetName val="출입자명단"/>
      <sheetName val="IDONG"/>
      <sheetName val="支払明細"/>
      <sheetName val="解約"/>
      <sheetName val="__Krkrdab103____work______A___2"/>
      <sheetName val="to_do4"/>
      <sheetName val="업무분장_4"/>
      <sheetName val="A9-1~5_4"/>
      <sheetName val="A9-부2_4"/>
      <sheetName val="M&amp;G_Outstanding_Data3"/>
      <sheetName val="산업은행_경영지표3"/>
      <sheetName val="Initial_Input_Variable3"/>
      <sheetName val="Income_Statement3"/>
      <sheetName val="Shareholders'_Equity3"/>
      <sheetName val="Rent_roll3"/>
      <sheetName val="재고_3"/>
      <sheetName val="4__Leverage_-_out3"/>
      <sheetName val="CT_3"/>
      <sheetName val="to_do5"/>
      <sheetName val="업무분장_5"/>
      <sheetName val="A9-1~5_5"/>
      <sheetName val="A9-부2_5"/>
      <sheetName val="M&amp;G_Outstanding_Data4"/>
      <sheetName val="산업은행_경영지표4"/>
      <sheetName val="Initial_Input_Variable4"/>
      <sheetName val="Income_Statement4"/>
      <sheetName val="Shareholders'_Equity4"/>
      <sheetName val="Rent_roll4"/>
      <sheetName val="재고_4"/>
      <sheetName val="4__Leverage_-_out4"/>
      <sheetName val="CT_4"/>
      <sheetName val="Hoja de datos"/>
      <sheetName val="Metrics"/>
      <sheetName val="동양제과_12월2"/>
      <sheetName val="크라운제과_12월2"/>
      <sheetName val="10월_(2)2"/>
      <sheetName val="Budget"/>
      <sheetName val="評価書"/>
      <sheetName val="大楼分录"/>
      <sheetName val="Front_Cover1"/>
      <sheetName val="수지예산"/>
      <sheetName val="신1"/>
      <sheetName val="2월"/>
      <sheetName val="마카소요량&amp;재단"/>
      <sheetName val="추이도"/>
      <sheetName val="기준환율"/>
      <sheetName val="A-100전제"/>
      <sheetName val="R&amp;D"/>
      <sheetName val="주요품목수불(반기)"/>
      <sheetName val="관리1"/>
      <sheetName val="Quantity"/>
      <sheetName val="수불부"/>
      <sheetName val="공통비"/>
      <sheetName val="12월급여"/>
      <sheetName val="11월급여"/>
      <sheetName val="조명시설"/>
      <sheetName val="MANAGER"/>
      <sheetName val="정산표"/>
      <sheetName val="기초데이타"/>
      <sheetName val="Comp Sheet"/>
      <sheetName val="cash flow_stress"/>
      <sheetName val="table"/>
      <sheetName val="시설이용권명세서"/>
      <sheetName val="Comp_Sheet"/>
      <sheetName val="cash_flow_stress"/>
      <sheetName val="97_사업추정(WEKI)"/>
      <sheetName val="표준_Table_2004년"/>
      <sheetName val="US$_I_(SEG_)"/>
      <sheetName val="1_MDF1공장"/>
      <sheetName val="MKI_TB"/>
      <sheetName val="수금_"/>
      <sheetName val="경영비율_"/>
      <sheetName val="매__출"/>
      <sheetName val="otherkpi"/>
      <sheetName val="TaxCalc"/>
      <sheetName val="연체대출"/>
      <sheetName val="Property"/>
      <sheetName val="미지급비용"/>
      <sheetName val="SG"/>
      <sheetName val="payroll"/>
      <sheetName val="갑지1"/>
      <sheetName val="의왕"/>
      <sheetName val="m200110"/>
      <sheetName val="m200109"/>
      <sheetName val="대동"/>
      <sheetName val="INTERCO LOAN"/>
      <sheetName val="총괄원장"/>
      <sheetName val="매출명세 1월부터"/>
      <sheetName val="9.1"/>
      <sheetName val="1부생산계획"/>
      <sheetName val="GA"/>
      <sheetName val="ITS Assumptions"/>
      <sheetName val="Proj. Fin."/>
      <sheetName val="주간남10대순위1"/>
      <sheetName val="주간여30대순위1"/>
      <sheetName val="공사별5 "/>
      <sheetName val="N賃率-職"/>
      <sheetName val="__________x005f_x0002__x005f_x0000__K_x00_2"/>
      <sheetName val="__________x005f_x0002__x005f_x0000__7_x00_2"/>
      <sheetName val="(법인,토지)등기_x005f_x0002__x005f_x0000_鑀0."/>
      <sheetName val="(법인,토지)등기부등본요_x005f_x0002_"/>
      <sheetName val="(법인,토지)등기_x005f_x0002__x005f_x0000_釘6."/>
      <sheetName val="__________x005f_x0002__x005f_x0000___x000_2"/>
      <sheetName val="(법인,토지)등기_x005f_x0002__x005f_x0000_鈰 ."/>
      <sheetName val="(법인,토지)등기_x005f_x0002_?鉘K_x005f_x000a_"/>
      <sheetName val="(법인,토지)등기_x005f_x0002_?銨7_x005f_x000a_"/>
      <sheetName val="(법인,토지)등기_x005f_x0002_?鑀0."/>
      <sheetName val="(법인,토지)등기_x005f_x0002_?釘6."/>
      <sheetName val="(법인,토지)등기_x005f_x0002_"/>
      <sheetName val="(법인,토지)등기_x005f_x0002_?鈰_x005f_x000f_."/>
      <sheetName val="(법인,토지)등기_x005f_x0002_?鈰 ."/>
      <sheetName val="(법인,토지)등기_x005f_x0002__鉘K_"/>
      <sheetName val="(법인,토지)등기_x005f_x0002__銨7_"/>
      <sheetName val="(법인,토지)등기_x005f_x0002__鑀0."/>
      <sheetName val="(법인,토지)등기_x005f_x0002__釘6."/>
      <sheetName val="_x005f_x0000_ "/>
      <sheetName val="(법인,토지)등기_x005f_x0002__x005f_x0000_鉘K "/>
      <sheetName val="(법인,토지)등기_x005f_x0002__x005f_x0000_銨7 "/>
      <sheetName val="(법인,토지)등기_x005f_x0002_?鉘K "/>
      <sheetName val="(법인,토지)등기_x005f_x0002_?銨7 "/>
      <sheetName val="(법인,토지)등기鉘K_x005f_x000a_"/>
      <sheetName val="(법인,토지)등기銨7_x005f_x000a_"/>
      <sheetName val="(법인,토지)등기?鉘K_x005f_x000a_"/>
      <sheetName val="(법인,토지)등기?銨7_x005f_x000a_"/>
      <sheetName val="_x005f_x0000_P"/>
      <sheetName val="물량"/>
      <sheetName val="10월_(2)3"/>
      <sheetName val="동양제과_12월3"/>
      <sheetName val="크라운제과_12월3"/>
      <sheetName val="Front_Cover2"/>
      <sheetName val="매출_물동명세2"/>
      <sheetName val="6A_CA2"/>
      <sheetName val="CostApp_2"/>
      <sheetName val="1_1_Project_Data2"/>
      <sheetName val="oth_exp_final1"/>
      <sheetName val="w_o_exp_final_(2)1"/>
      <sheetName val="change_fdy1"/>
      <sheetName val="?_1"/>
      <sheetName val="LDP_502"/>
      <sheetName val="외상매출금현황-수정분_A21"/>
      <sheetName val="Tax_FY_09-101"/>
      <sheetName val="Sch_7-131"/>
      <sheetName val="MAR_A1"/>
      <sheetName val="10월_(2)4"/>
      <sheetName val="동양제과_12월4"/>
      <sheetName val="크라운제과_12월4"/>
      <sheetName val="Front_Cover3"/>
      <sheetName val="매출_물동명세3"/>
      <sheetName val="6A_CA3"/>
      <sheetName val="CostApp_3"/>
      <sheetName val="1_1_Project_Data3"/>
      <sheetName val="oth_exp_final2"/>
      <sheetName val="w_o_exp_final_(2)2"/>
      <sheetName val="change_fdy2"/>
      <sheetName val="?_2"/>
      <sheetName val="LDP_503"/>
      <sheetName val="외상매출금현황-수정분_A22"/>
      <sheetName val="Tax_FY_09-102"/>
      <sheetName val="Sch_7-132"/>
      <sheetName val="MAR_A2"/>
      <sheetName val="DFA"/>
      <sheetName val="Print"/>
      <sheetName val="분양가"/>
      <sheetName val="현금흐름(SPC)"/>
      <sheetName val="토목공사"/>
      <sheetName val="sch_list_(2)4"/>
      <sheetName val="spares_timing4"/>
      <sheetName val="PROC_CHARGE4"/>
      <sheetName val="After_Apr_05_List_rso_dom4"/>
      <sheetName val="(법인,토지)등기_x005f_x0002__x005f_x0000_鉘K_"/>
      <sheetName val="(법인,토지)등기_x005f_x0002__x005f_x0000_銨7_"/>
      <sheetName val="(법인,토지)등기_x005f_x0002__x005f_x0000_鉘K_x000a"/>
      <sheetName val="(법인,토지)등기_x005f_x0002__x005f_x0000_銨7_x000a"/>
      <sheetName val="(법인,토지)등기_x005f_x005f_x005f_x0002__x005f_x005f_x0"/>
      <sheetName val="(법인,토지)등기부등본요_x005f_x005f_x005f_x0002_"/>
      <sheetName val="(법인,토지)등기_x005f_x0002__x005f_x0000_鈰_x005f_x000f_"/>
      <sheetName val="(법인,토지)등기_x005f_x0002__鉘K_x005f_x000a_"/>
      <sheetName val="(법인,토지)등기_x005f_x0002__銨7_x005f_x000a_"/>
      <sheetName val="(법인,토지)등기_鉘K_x005f_x000a_"/>
      <sheetName val="(법인,토지)등기_銨7_x005f_x000a_"/>
      <sheetName val="(법인,토지)등기_x005f_x0002__鈰_x005f_x000f_."/>
      <sheetName val="(법인,토지)등기_x005f_x0002__鈰 ."/>
      <sheetName val="Data_validation1"/>
      <sheetName val="업무분장_6"/>
      <sheetName val="A9-1~5_6"/>
      <sheetName val="A9-부2_6"/>
      <sheetName val="to_do6"/>
      <sheetName val="M&amp;G_Outstanding_Data5"/>
      <sheetName val="산업은행_경영지표5"/>
      <sheetName val="Initial_Input_Variable5"/>
      <sheetName val="Income_Statement5"/>
      <sheetName val="Shareholders'_Equity5"/>
      <sheetName val="Rent_roll5"/>
      <sheetName val="재고_5"/>
      <sheetName val="4__Leverage_-_out5"/>
      <sheetName val="CT_5"/>
      <sheetName val="118_세금과공과"/>
      <sheetName val="Control_Sheet"/>
      <sheetName val="받을어음할인및_융통어음"/>
      <sheetName val="Hoja_de_datos"/>
      <sheetName val="(법인,토지)등기鉘K_"/>
      <sheetName val="(법인,토지)등기銨7_"/>
      <sheetName val="(법인,토지)등기?鉘K_"/>
      <sheetName val="(법인,토지)등기?銨7_"/>
      <sheetName val="설계내역서"/>
      <sheetName val="CY0 Actual"/>
      <sheetName val="资产负债表明细-PRC"/>
      <sheetName val="10월_(2)5"/>
      <sheetName val="동양제과_12월5"/>
      <sheetName val="크라운제과_12월5"/>
      <sheetName val="Front_Cover4"/>
      <sheetName val="매출_물동명세4"/>
      <sheetName val="6A_CA4"/>
      <sheetName val="CostApp_4"/>
      <sheetName val="1_1_Project_Data4"/>
      <sheetName val="oth_exp_final3"/>
      <sheetName val="w_o_exp_final_(2)3"/>
      <sheetName val="change_fdy3"/>
      <sheetName val="?_3"/>
      <sheetName val="LDP_504"/>
      <sheetName val="외상매출금현황-수정분_A23"/>
      <sheetName val="Tax_FY_09-103"/>
      <sheetName val="Sch_7-133"/>
      <sheetName val="MAR_A3"/>
      <sheetName val="부산제일극장"/>
      <sheetName val="CTEMCOST"/>
      <sheetName val="외화"/>
      <sheetName val="을지"/>
      <sheetName val="내역서"/>
      <sheetName val="직노"/>
      <sheetName val="손익"/>
      <sheetName val="일위대가"/>
      <sheetName val="2공구산출내역"/>
      <sheetName val="Geo iTMS"/>
      <sheetName val="지급이자"/>
      <sheetName val="실적분석"/>
      <sheetName val="사업자등록증"/>
      <sheetName val="FAB"/>
      <sheetName val="Sales"/>
      <sheetName val="업체손실공수.xls"/>
      <sheetName val="97부과내역_"/>
      <sheetName val="U3_1"/>
      <sheetName val="24_보증금(전신전화가입권)1"/>
      <sheetName val="5-4_생산필요공수및인원"/>
      <sheetName val="JOB_Assign"/>
      <sheetName val="Fruit_Pending_Order"/>
      <sheetName val="제품수불_(기초)"/>
      <sheetName val="비품"/>
      <sheetName val="forecasted_BS"/>
      <sheetName val="forecasted_IS"/>
      <sheetName val="MUS_Calculations-_Figure_5410_1"/>
      <sheetName val="7_수탁수수료현황"/>
      <sheetName val="1_현금예금"/>
      <sheetName val="Debt_Service_Schedule"/>
      <sheetName val="Asset9809CAK"/>
      <sheetName val="(법인,토지)등기_x0002__x0000_鉘K_x000a"/>
      <sheetName val="(법인,토지)등기_x0002__x0000_銨7_x000a"/>
      <sheetName val="(법인,토지)등기_x0002__x0000_鈰_x000f_"/>
      <sheetName val="__________x005f_x0002__x0"/>
      <sheetName val="(법인,토지)등기_x005f_x0002__x0"/>
      <sheetName val="(법인,토지)등기_x005f_x0002_?鉘K_x005f"/>
      <sheetName val="(법인,토지)등기_x005f_x0002_?銨7_x005f"/>
      <sheetName val="(법인,토지)등기_x005f_x0002_?鈰_"/>
      <sheetName val="엘지엠알오"/>
      <sheetName val="tsuga"/>
      <sheetName val="95D"/>
      <sheetName val="94D"/>
      <sheetName val="회사제시"/>
      <sheetName val="000000"/>
      <sheetName val="Signups"/>
      <sheetName val="Nvision Data"/>
      <sheetName val="San Luis"/>
      <sheetName val="MOTLIST"/>
      <sheetName val="_ "/>
      <sheetName val="__"/>
      <sheetName val="_x005f_x005f_x005f_x0000_ "/>
      <sheetName val="(법인,토지)등기_x005f_x005f_x005f_x0002_?鉘K_x005f"/>
      <sheetName val="(법인,토지)등기_x005f_x005f_x005f_x0002_?銨7_x005f"/>
      <sheetName val="(법인,토지)등기_x005f_x005f_x005f_x0002_?鑀0."/>
      <sheetName val="(법인,토지)등기_x005f_x005f_x005f_x0002_?釘6."/>
      <sheetName val="_x005f_x005f_x005f_x005f_x005f_x005f_x005f_x0000_ "/>
      <sheetName val="COUNT STATUS"/>
      <sheetName val="차체"/>
      <sheetName val="BRAKE"/>
      <sheetName val="TOTAL LIST"/>
      <sheetName val="MBLB"/>
      <sheetName val="YM"/>
      <sheetName val="MB51"/>
      <sheetName val="Vendor"/>
      <sheetName val="Daten"/>
      <sheetName val="Drop-Down Lists"/>
      <sheetName val="Wkz_PBD"/>
      <sheetName val="Notes"/>
      <sheetName val="Clause 9"/>
      <sheetName val="Eq. Mobilization"/>
      <sheetName val="Cash flow details"/>
      <sheetName val="Assumptions Teesta"/>
      <sheetName val="Equity Requirement Analysis"/>
      <sheetName val="Jindal"/>
      <sheetName val="DCF_MREPL"/>
      <sheetName val="(법인,토지)등기_x005f_x0002__x005f_x0000_鑀0_"/>
      <sheetName val="(법인,토지)등기_x005f_x0002__x005f_x0000_釘6_"/>
      <sheetName val="(법인,토지)등기_x005f_x0002__鑀0_"/>
      <sheetName val="(법인,토지)등기_x005f_x0002__釘6_"/>
      <sheetName val="손익계산서"/>
      <sheetName val="손익합산"/>
      <sheetName val="ISP경우_회선"/>
      <sheetName val="IJABUNRI"/>
      <sheetName val="SMXEXPS"/>
      <sheetName val="전체현황(확정)"/>
      <sheetName val="출자한도1031"/>
      <sheetName val="집계표"/>
      <sheetName val="예산내역서(총괄)"/>
      <sheetName val="예산내역서"/>
      <sheetName val="공제대산출"/>
      <sheetName val="운반공사,공구손료"/>
      <sheetName val="Sheet2"/>
      <sheetName val="97년"/>
      <sheetName val="완성차 미수금"/>
      <sheetName val="Assumpt"/>
      <sheetName val="INPUT(1)"/>
      <sheetName val="96기지국"/>
      <sheetName val="97기지국"/>
      <sheetName val="정의"/>
      <sheetName val="변제"/>
      <sheetName val="이자"/>
      <sheetName val="상환대상"/>
      <sheetName val="가정"/>
      <sheetName val="270"/>
      <sheetName val="손익분석"/>
      <sheetName val="고정자산원본"/>
      <sheetName val="인건비예산(정규직)"/>
      <sheetName val="본사출하"/>
      <sheetName val="현지요약"/>
      <sheetName val="업무계획1"/>
      <sheetName val="MatchCode"/>
      <sheetName val="현금과예금"/>
      <sheetName val="JT3.0견적-구1"/>
      <sheetName val="기본입력사항"/>
      <sheetName val="점검결과"/>
      <sheetName val="구분자 목록 관리"/>
      <sheetName val="Validation"/>
      <sheetName val="퇴직급여충당금"/>
      <sheetName val="Depreciation"/>
      <sheetName val="무형자산 LS11"/>
      <sheetName val="TB - 2018"/>
      <sheetName val="산출기준(파견전산실)"/>
      <sheetName val="월말마감"/>
      <sheetName val="수액원료"/>
      <sheetName val="_94자산"/>
      <sheetName val="(법인,토지)등기_x005f_x0002__x005f_x0000_鑀0_1"/>
      <sheetName val="(법인,토지)등기_x005f_x0002__x005f_x0000_釘6_1"/>
      <sheetName val="(법인,토지)등기_x005f_x0002__鑀0_1"/>
      <sheetName val="(법인,토지)등기_x005f_x0002__釘6_1"/>
      <sheetName val="June"/>
      <sheetName val="切替情報"/>
      <sheetName val="(법인,토지)등기_x0002__鉘K_x000a_"/>
      <sheetName val="(법인,토지)등기_x0002__銨7_x000a_"/>
      <sheetName val="(법인,토지)등기_x0002__鈰_x000f_."/>
      <sheetName val="(법인,토지)등기_x0002__鈰 ."/>
      <sheetName val="(법인,토지)등기_鉘K_x000a_"/>
      <sheetName val="(법인,토지)등기_銨7_x000a_"/>
      <sheetName val="(법인,토지)등기_x0002__x0"/>
      <sheetName val="(법인,토지)등기_x0002_?鉘K_x005f"/>
      <sheetName val="(법인,토지)등기_x0002_?銨7_x005f"/>
      <sheetName val="LEDGER"/>
      <sheetName val="Sheet3 (2)"/>
      <sheetName val="건설중인자산(기타)"/>
      <sheetName val="과6"/>
      <sheetName val="품종별월계"/>
      <sheetName val="대차대조표-공시형"/>
      <sheetName val="출금실적"/>
      <sheetName val="경비"/>
      <sheetName val="선택지"/>
      <sheetName val="(법인,토지)등기_鈰_"/>
      <sheetName val="(법인,토지)등기_鈰__"/>
      <sheetName val="4j_a_"/>
      <sheetName val="MPFCons"/>
      <sheetName val="MPF2"/>
      <sheetName val="CSM with CKD"/>
      <sheetName val="(법인,토지)등기_x005f_x005f_x005f_x0002_"/>
      <sheetName val="(법인,토지)등기_x005f_x005f_x005f_x0002__鉘K_"/>
      <sheetName val="(법인,토지)등기_x005f_x005f_x005f_x0002__銨7_"/>
      <sheetName val="(법인,토지)등기_x005f_x005f_x005f_x0002__鑀0."/>
      <sheetName val="(법인,토지)등기_x005f_x005f_x005f_x0002__釘6."/>
      <sheetName val="(법인,토지)등기_x005f_x005f_x005f_x0002_?鈰_x005f_x005f_"/>
      <sheetName val="(법인,토지)등기_x005f_x005f_x005f_x0002_?鈰 ."/>
      <sheetName val="(법인,토지)등기鉘K_x005f_x005f_x005f_x000a_"/>
      <sheetName val="(법인,토지)등기銨7_x005f_x005f_x005f_x000a_"/>
      <sheetName val="(법인,토지)등기?鉘K_x005f_x005f_x005f_x000a_"/>
      <sheetName val="(법인,토지)등기?銨7_x005f_x005f_x005f_x000a_"/>
      <sheetName val="(법인,토지)등기_x005f_x005f_x005f_x005f_x005f_x005f_x00"/>
      <sheetName val="(법인,토지)등기부등본요_x005f_x005f_x005f_x005f_x005f"/>
      <sheetName val="(법인,토지)등기鉘K_x005f_x005f_x005f_x005f_x005f_x005f_x"/>
      <sheetName val="(법인,토지)등기銨7_x005f_x005f_x005f_x005f_x005f_x005f_x"/>
      <sheetName val="(법인,토지)등기_鉘K_x005f_x005f_x005f_x005f_x005f_x005f_"/>
      <sheetName val="(법인,토지)등기_銨7_x005f_x005f_x005f_x005f_x005f_x005f_"/>
      <sheetName val="(법인,토지)등기_x005f_x005f_x005f_x0002__鉘K_x005f"/>
      <sheetName val="(법인,토지)등기_x005f_x005f_x005f_x0002__銨7_x005f"/>
      <sheetName val="(법인,토지)등기_鉘K_x005f_x005f_x005f_x000a_"/>
      <sheetName val="(법인,토지)등기_銨7_x005f_x005f_x005f_x000a_"/>
      <sheetName val="(법인,토지)등기_x005f_x005f_x005f_x0002__鈰_x005f_x005f_"/>
      <sheetName val="(법인,토지)등기_x005f_x005f_x005f_x0002__鈰 ."/>
      <sheetName val="시설투자"/>
      <sheetName val="Analysis"/>
      <sheetName val="CASH FLO"/>
      <sheetName val="SPC-OC"/>
      <sheetName val="PE CHARGES"/>
      <sheetName val="TAX"/>
      <sheetName val="Pg 1,2"/>
      <sheetName val="Schedules PL"/>
      <sheetName val="Schedules BS"/>
      <sheetName val="PTP-Normal"/>
      <sheetName val="Sch5TO10"/>
      <sheetName val="(법인,토지)등기_x0002__x0000_鉘K_"/>
      <sheetName val="(법인,토지)등기_x0002__x0000_銨7_"/>
      <sheetName val="(법인,토지)등기_x005f_x0002__鉘K_x005f"/>
      <sheetName val="(법인,토지)등기_x005f_x0002__銨7_x005f"/>
      <sheetName val="(법인,토지)등기부등본요_x005f_x005f_x005f"/>
      <sheetName val="(법인,토지)등기_x005f_x0002__鈰_"/>
      <sheetName val="(법인,토지)등기_x005f_x005f_x00"/>
      <sheetName val="(법인,토지)등기鉘K_x005f_x005f_x"/>
      <sheetName val="(법인,토지)등기銨7_x005f_x005f_x"/>
      <sheetName val="(법인,토지)등기_鉘K_x005f_x005f_"/>
      <sheetName val="(법인,토지)등기_銨7_x005f_x005f_"/>
      <sheetName val="(법인,토지)등기_x0002__鉘K_x005f"/>
      <sheetName val="(법인,토지)등기_x0002__銨7_x005f"/>
      <sheetName val="(법인,토지)등기_x0002__鈰_"/>
      <sheetName val="(법인,토지)등기_x0002_?鈰_"/>
      <sheetName val="(법인,토지)등기부등본요_x005f"/>
      <sheetName val="(법인,토지)등기_x00"/>
      <sheetName val="(법인,토지)등기鉘K_x"/>
      <sheetName val="(법인,토지)등기銨7_x"/>
      <sheetName val="M.I.S."/>
      <sheetName val="Stock &amp;D"/>
      <sheetName val="9-1차이내역."/>
      <sheetName val="MacroA"/>
      <sheetName val="Hide(1)"/>
      <sheetName val="Links"/>
      <sheetName val="영업.일1"/>
      <sheetName val="18"/>
      <sheetName val="운전자금97총괄"/>
      <sheetName val="當期시산표(결재)"/>
      <sheetName val="2001퇴직급여"/>
      <sheetName val="퇴직급여계산"/>
      <sheetName val="조정명세서"/>
      <sheetName val="기안소집"/>
      <sheetName val="(1)메가총괄"/>
      <sheetName val="(3)프리머스"/>
      <sheetName val="기준재고"/>
      <sheetName val="제품(수출)매출"/>
      <sheetName val="2_대외공문"/>
      <sheetName val="1공장_재공품생산현황"/>
      <sheetName val="Fruit_Pending_Order1"/>
      <sheetName val="업체손실공수_xls"/>
      <sheetName val="_x005f_x0000__"/>
      <sheetName val="__1"/>
      <sheetName val="_x005f_x005f_x005f_x0000__"/>
      <sheetName val="(법인,토지)등기_x005f_x005f_x005f_x0002_?鑀0_"/>
      <sheetName val="(법인,토지)등기_x005f_x005f_x005f_x0002_?釘6_"/>
      <sheetName val="_x005f_x005f_x005f_x005f_x005f_x005f_x005f_x0000__"/>
      <sheetName val="(법인,토지)등기_x005f_x0002__x005f_x0000_鈰__"/>
      <sheetName val="(법인,토지)등기_x005f_x0002_?鑀0_"/>
      <sheetName val="(법인,토지)등기_x005f_x0002_?釘6_"/>
      <sheetName val="COUNT_STATUS"/>
      <sheetName val="TOTAL_LIST"/>
      <sheetName val="Drop-Down_Lists"/>
      <sheetName val="(법인,토지)등기_x005f_x0002__鈰_x005f_x000f__"/>
      <sheetName val="(법인,토지)등기_x005f_x0002__鈰__"/>
      <sheetName val="Clause_9"/>
      <sheetName val="Eq__Mobilization"/>
      <sheetName val="Cash_flow_details"/>
      <sheetName val="Assumptions_Teesta"/>
      <sheetName val="Equity_Requirement_Analysis"/>
      <sheetName val="Geo_iTMS"/>
      <sheetName val="P &amp; L"/>
      <sheetName val="Daily Data"/>
      <sheetName val="General Assumptions"/>
      <sheetName val="FG"/>
      <sheetName val="All Inv"/>
      <sheetName val="Stock"/>
      <sheetName val="GR stk"/>
      <sheetName val="Albion Invc"/>
      <sheetName val="Albion"/>
      <sheetName val="DW Jan20"/>
      <sheetName val="Banjo Stk"/>
      <sheetName val="Aft-Mkt"/>
      <sheetName val="RK20"/>
      <sheetName val="DW Dec19"/>
      <sheetName val="New Launch"/>
      <sheetName val="Product Matrix"/>
      <sheetName val="Customer"/>
      <sheetName val="Frght Svg"/>
      <sheetName val="RK19"/>
      <sheetName val="Prm Frght"/>
      <sheetName val="Banjo CP"/>
      <sheetName val="DW Nov19"/>
      <sheetName val="DW Oct19"/>
      <sheetName val="DW Sep19"/>
      <sheetName val="DW Aug19"/>
      <sheetName val="Prod Summary"/>
      <sheetName val="NM"/>
      <sheetName val="Other"/>
      <sheetName val="Banjo Seq"/>
      <sheetName val="RMA List"/>
      <sheetName val="Air Frieght"/>
      <sheetName val="Packing std MOQ"/>
      <sheetName val="Format"/>
      <sheetName val="Dsp Summary"/>
      <sheetName val="DICV SPD Master "/>
      <sheetName val="Freight"/>
      <sheetName val="HDT set up"/>
      <sheetName val="Spares packing box"/>
      <sheetName val="Gear OSP"/>
      <sheetName val="HDT A"/>
      <sheetName val="MDT A "/>
      <sheetName val="LDT A "/>
      <sheetName val="BSA A"/>
      <sheetName val="Monthwise sales"/>
      <sheetName val="Customer Req"/>
      <sheetName val="Master Sales"/>
      <sheetName val="MIJ Activity"/>
      <sheetName val="Cust Login"/>
      <sheetName val="PMF supplier List"/>
      <sheetName val="Axle part nos"/>
      <sheetName val="Rahul Patil"/>
      <sheetName val="Customer Details"/>
      <sheetName val="Customer Delivery Rating"/>
      <sheetName val="Plant Address"/>
      <sheetName val="DICV Spares MOQ"/>
      <sheetName val="Transport List"/>
      <sheetName val="S&amp;OP Attnd"/>
      <sheetName val="EEA Steel 4 Cyl Standard Time."/>
      <sheetName val="DUNNAGE"/>
      <sheetName val="MISC"/>
      <sheetName val="56"/>
      <sheetName val="률표"/>
      <sheetName val="추가예산"/>
      <sheetName val="FRDS9805"/>
      <sheetName val="대차,손익"/>
      <sheetName val="P&amp;L Summary Page"/>
      <sheetName val="Æo°¡±aAØ"/>
      <sheetName val="분개장·원장"/>
      <sheetName val="Basic_Information"/>
      <sheetName val="INCOME"/>
      <sheetName val="카메라"/>
      <sheetName val="MKI_TB1"/>
      <sheetName val="97_사업추정(WEKI)1"/>
      <sheetName val="108_수선비1"/>
      <sheetName val="표준_Table_2004년1"/>
      <sheetName val="US$_I_(SEG_)1"/>
      <sheetName val="Cover"/>
      <sheetName val="노동부"/>
      <sheetName val="第二拠出金率"/>
      <sheetName val="報告ﾏｸﾛ"/>
      <sheetName val="LK-FS"/>
      <sheetName val="전체"/>
      <sheetName val="사업계획대 업무실적"/>
      <sheetName val="계산기(입력)"/>
      <sheetName val="서식지정"/>
      <sheetName val="협조전"/>
      <sheetName val="Setup"/>
      <sheetName val="원재료"/>
      <sheetName val="구분자_목록_관리"/>
      <sheetName val="LeadSchedule"/>
      <sheetName val="4.경비 5.영업외수지"/>
      <sheetName val="H130"/>
      <sheetName val="7.세금과공공"/>
      <sheetName val="5.환평가"/>
      <sheetName val="Parm"/>
      <sheetName val="DE"/>
      <sheetName val="K?fe"/>
      <sheetName val="제품분류코드"/>
      <sheetName val="기성내역"/>
      <sheetName val="Cust"/>
      <sheetName val="Sales - Machinery &amp; Equipment"/>
      <sheetName val="MLCashflow"/>
      <sheetName val="Calendar"/>
      <sheetName val="데이타"/>
      <sheetName val="Other creditors"/>
      <sheetName val="Amt due to Related companies"/>
      <sheetName val="Indirect tax payable"/>
      <sheetName val="Accrued expenses"/>
      <sheetName val="실적"/>
      <sheetName val="to_do7"/>
      <sheetName val="업무분장_7"/>
      <sheetName val="A9-1~5_7"/>
      <sheetName val="A9-부2_7"/>
      <sheetName val="M&amp;G_Outstanding_Data6"/>
      <sheetName val="산업은행_경영지표6"/>
      <sheetName val="Initial_Input_Variable6"/>
      <sheetName val="Income_Statement6"/>
      <sheetName val="Shareholders'_Equity6"/>
      <sheetName val="Rent_roll6"/>
      <sheetName val="재고_6"/>
      <sheetName val="4__Leverage_-_out6"/>
      <sheetName val="CT_6"/>
      <sheetName val="118_세금과공과1"/>
      <sheetName val="Control_Sheet1"/>
      <sheetName val="Hoja_de_datos1"/>
      <sheetName val="1_MDF1공장1"/>
      <sheetName val="받을어음할인및_융통어음1"/>
      <sheetName val="_1"/>
      <sheetName val="수금_1"/>
      <sheetName val="경영비율_1"/>
      <sheetName val="JOB_Assign1"/>
      <sheetName val="제품수불_(기초)1"/>
      <sheetName val="MUS_Calculations-_Figure_5410_2"/>
      <sheetName val="7_수탁수수료현황1"/>
      <sheetName val="1_현금예금1"/>
      <sheetName val="Debt_Service_Schedule1"/>
      <sheetName val="매__출1"/>
      <sheetName val="외주현황_wq1"/>
      <sheetName val="(법인,토지)등기_x005f_x0002_?鈰_x005f_x000f__"/>
      <sheetName val="(법인,토지)등기_x005f_x0002_?鈰__"/>
      <sheetName val="(법인,토지)등기_x005f_x0002_?鉘K_"/>
      <sheetName val="(법인,토지)등기_x005f_x0002_?銨7_"/>
      <sheetName val="Comp_Sheet1"/>
      <sheetName val="cash_flow_stress1"/>
      <sheetName val="INTERCO_LOAN"/>
      <sheetName val="매출명세_1월부터"/>
      <sheetName val="9_1"/>
      <sheetName val="ITS_Assumptions"/>
      <sheetName val="Proj__Fin_"/>
      <sheetName val="공사별5_"/>
      <sheetName val="BI"/>
      <sheetName val="เครื่องตกแต่ง"/>
      <sheetName val="เครื่องมือ"/>
      <sheetName val="อาคาร"/>
    </sheetNames>
    <sheetDataSet>
      <sheetData sheetId="0">
        <row r="1">
          <cell r="A1" t="str">
            <v>감 사 업 무 분 담 표</v>
          </cell>
        </row>
      </sheetData>
      <sheetData sheetId="1">
        <row r="1">
          <cell r="A1" t="str">
            <v>감 사 업 무 분 담 표</v>
          </cell>
        </row>
      </sheetData>
      <sheetData sheetId="2"/>
      <sheetData sheetId="3">
        <row r="45">
          <cell r="F45" t="str">
            <v>V</v>
          </cell>
        </row>
      </sheetData>
      <sheetData sheetId="4">
        <row r="45">
          <cell r="F45" t="str">
            <v>V</v>
          </cell>
        </row>
      </sheetData>
      <sheetData sheetId="5">
        <row r="4">
          <cell r="A4" t="str">
            <v>감사기준일 : 1999.12.31</v>
          </cell>
        </row>
      </sheetData>
      <sheetData sheetId="6">
        <row r="1">
          <cell r="A1" t="str">
            <v>감 사 업 무 분 담 표</v>
          </cell>
        </row>
      </sheetData>
      <sheetData sheetId="7">
        <row r="45">
          <cell r="F45" t="str">
            <v>V</v>
          </cell>
        </row>
      </sheetData>
      <sheetData sheetId="8">
        <row r="4">
          <cell r="A4" t="str">
            <v>감사기준일 : 1999.12.31</v>
          </cell>
        </row>
      </sheetData>
      <sheetData sheetId="9">
        <row r="1">
          <cell r="A1" t="str">
            <v>감 사 업 무 분 담 표</v>
          </cell>
        </row>
      </sheetData>
      <sheetData sheetId="10">
        <row r="45">
          <cell r="F45" t="str">
            <v>V</v>
          </cell>
        </row>
      </sheetData>
      <sheetData sheetId="11">
        <row r="45">
          <cell r="F45" t="str">
            <v>V</v>
          </cell>
        </row>
      </sheetData>
      <sheetData sheetId="12">
        <row r="1">
          <cell r="A1" t="str">
            <v>감 사 업 무 분 담 표</v>
          </cell>
        </row>
      </sheetData>
      <sheetData sheetId="13">
        <row r="1">
          <cell r="A1" t="str">
            <v>감 사 업 무 분 담 표</v>
          </cell>
        </row>
      </sheetData>
      <sheetData sheetId="14">
        <row r="1">
          <cell r="A1" t="str">
            <v>감 사 업 무 분 담 표</v>
          </cell>
        </row>
      </sheetData>
      <sheetData sheetId="15">
        <row r="45">
          <cell r="F45" t="str">
            <v>V</v>
          </cell>
        </row>
      </sheetData>
      <sheetData sheetId="16">
        <row r="45">
          <cell r="F45" t="str">
            <v>V</v>
          </cell>
        </row>
      </sheetData>
      <sheetData sheetId="17"/>
      <sheetData sheetId="18">
        <row r="4">
          <cell r="A4" t="str">
            <v>감사기준일 : 1999.12.31</v>
          </cell>
        </row>
      </sheetData>
      <sheetData sheetId="19">
        <row r="1">
          <cell r="A1" t="str">
            <v>감 사 업 무 분 담 표</v>
          </cell>
        </row>
      </sheetData>
      <sheetData sheetId="20">
        <row r="45">
          <cell r="F45" t="str">
            <v>V</v>
          </cell>
        </row>
      </sheetData>
      <sheetData sheetId="21">
        <row r="4">
          <cell r="A4" t="str">
            <v>감사기준일 : 1999.12.31</v>
          </cell>
        </row>
      </sheetData>
      <sheetData sheetId="22">
        <row r="1">
          <cell r="A1" t="str">
            <v>감 사 업 무 분 담 표</v>
          </cell>
        </row>
      </sheetData>
      <sheetData sheetId="23">
        <row r="45">
          <cell r="F45" t="str">
            <v>V</v>
          </cell>
        </row>
      </sheetData>
      <sheetData sheetId="24">
        <row r="45">
          <cell r="F45" t="str">
            <v>V</v>
          </cell>
        </row>
      </sheetData>
      <sheetData sheetId="25">
        <row r="45">
          <cell r="F45" t="str">
            <v>V</v>
          </cell>
        </row>
      </sheetData>
      <sheetData sheetId="26">
        <row r="4">
          <cell r="A4" t="str">
            <v>감사기준일 : 1999.12.31</v>
          </cell>
        </row>
      </sheetData>
      <sheetData sheetId="27">
        <row r="1">
          <cell r="A1" t="str">
            <v>감 사 업 무 분 담 표</v>
          </cell>
        </row>
      </sheetData>
      <sheetData sheetId="28">
        <row r="45">
          <cell r="F45" t="str">
            <v>V</v>
          </cell>
        </row>
      </sheetData>
      <sheetData sheetId="29">
        <row r="4">
          <cell r="A4" t="str">
            <v>감사기준일 : 1999.12.31</v>
          </cell>
        </row>
      </sheetData>
      <sheetData sheetId="30">
        <row r="1">
          <cell r="A1" t="str">
            <v>감 사 업 무 분 담 표</v>
          </cell>
        </row>
      </sheetData>
      <sheetData sheetId="31">
        <row r="45">
          <cell r="F45" t="str">
            <v>V</v>
          </cell>
        </row>
      </sheetData>
      <sheetData sheetId="32">
        <row r="45">
          <cell r="F45" t="str">
            <v>V</v>
          </cell>
        </row>
      </sheetData>
      <sheetData sheetId="33">
        <row r="1">
          <cell r="A1" t="str">
            <v>감 사 업 무 분 담 표</v>
          </cell>
        </row>
      </sheetData>
      <sheetData sheetId="34" refreshError="1"/>
      <sheetData sheetId="35" refreshError="1">
        <row r="1">
          <cell r="A1" t="str">
            <v>감 사 업 무 분 담 표</v>
          </cell>
        </row>
        <row r="45">
          <cell r="F45" t="str">
            <v>V</v>
          </cell>
        </row>
      </sheetData>
      <sheetData sheetId="36">
        <row r="45">
          <cell r="F45" t="str">
            <v>V</v>
          </cell>
        </row>
      </sheetData>
      <sheetData sheetId="37">
        <row r="45">
          <cell r="F45" t="str">
            <v>V</v>
          </cell>
        </row>
      </sheetData>
      <sheetData sheetId="38">
        <row r="45">
          <cell r="F45" t="str">
            <v>V</v>
          </cell>
        </row>
      </sheetData>
      <sheetData sheetId="39">
        <row r="4">
          <cell r="A4" t="str">
            <v>감사기준일 : 1999.12.31</v>
          </cell>
        </row>
      </sheetData>
      <sheetData sheetId="40">
        <row r="1">
          <cell r="A1" t="str">
            <v>감 사 업 무 분 담 표</v>
          </cell>
        </row>
      </sheetData>
      <sheetData sheetId="41">
        <row r="45">
          <cell r="F45" t="str">
            <v>V</v>
          </cell>
        </row>
      </sheetData>
      <sheetData sheetId="42">
        <row r="4">
          <cell r="A4" t="str">
            <v>감사기준일 : 1999.12.31</v>
          </cell>
        </row>
      </sheetData>
      <sheetData sheetId="43">
        <row r="1">
          <cell r="A1" t="str">
            <v>감 사 업 무 분 담 표</v>
          </cell>
        </row>
      </sheetData>
      <sheetData sheetId="44">
        <row r="45">
          <cell r="F45" t="str">
            <v>V</v>
          </cell>
        </row>
      </sheetData>
      <sheetData sheetId="45">
        <row r="45">
          <cell r="F45" t="str">
            <v>V</v>
          </cell>
        </row>
      </sheetData>
      <sheetData sheetId="46">
        <row r="1">
          <cell r="A1" t="str">
            <v>감 사 업 무 분 담 표</v>
          </cell>
        </row>
      </sheetData>
      <sheetData sheetId="47">
        <row r="4">
          <cell r="A4" t="str">
            <v>감사기준일 : 1999.12.31</v>
          </cell>
        </row>
      </sheetData>
      <sheetData sheetId="48">
        <row r="1">
          <cell r="A1" t="str">
            <v>감 사 업 무 분 담 표</v>
          </cell>
        </row>
      </sheetData>
      <sheetData sheetId="49">
        <row r="45">
          <cell r="F45" t="str">
            <v>V</v>
          </cell>
        </row>
      </sheetData>
      <sheetData sheetId="50">
        <row r="4">
          <cell r="A4" t="str">
            <v>감사기준일 : 1999.12.31</v>
          </cell>
        </row>
      </sheetData>
      <sheetData sheetId="51">
        <row r="1">
          <cell r="A1" t="str">
            <v>감 사 업 무 분 담 표</v>
          </cell>
        </row>
      </sheetData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>
        <row r="1">
          <cell r="A1" t="str">
            <v>감 사 업 무 분 담 표</v>
          </cell>
        </row>
      </sheetData>
      <sheetData sheetId="238">
        <row r="1">
          <cell r="A1" t="str">
            <v>감 사 업 무 분 담 표</v>
          </cell>
        </row>
      </sheetData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>
        <row r="1">
          <cell r="A1" t="str">
            <v>감 사 업 무 분 담 표</v>
          </cell>
        </row>
      </sheetData>
      <sheetData sheetId="276">
        <row r="1">
          <cell r="A1" t="str">
            <v>감 사 업 무 분 담 표</v>
          </cell>
        </row>
      </sheetData>
      <sheetData sheetId="277">
        <row r="1">
          <cell r="A1" t="str">
            <v>감 사 업 무 분 담 표</v>
          </cell>
        </row>
      </sheetData>
      <sheetData sheetId="278">
        <row r="1">
          <cell r="A1" t="str">
            <v>감 사 업 무 분 담 표</v>
          </cell>
        </row>
      </sheetData>
      <sheetData sheetId="279">
        <row r="1">
          <cell r="A1" t="str">
            <v>감 사 업 무 분 담 표</v>
          </cell>
        </row>
      </sheetData>
      <sheetData sheetId="280">
        <row r="1">
          <cell r="A1" t="str">
            <v>감 사 업 무 분 담 표</v>
          </cell>
        </row>
      </sheetData>
      <sheetData sheetId="281">
        <row r="1">
          <cell r="A1" t="str">
            <v>감 사 업 무 분 담 표</v>
          </cell>
        </row>
      </sheetData>
      <sheetData sheetId="282">
        <row r="1">
          <cell r="A1" t="str">
            <v>감 사 업 무 분 담 표</v>
          </cell>
        </row>
      </sheetData>
      <sheetData sheetId="283">
        <row r="1">
          <cell r="A1" t="str">
            <v>감 사 업 무 분 담 표</v>
          </cell>
        </row>
      </sheetData>
      <sheetData sheetId="284">
        <row r="1">
          <cell r="A1" t="str">
            <v>감 사 업 무 분 담 표</v>
          </cell>
        </row>
      </sheetData>
      <sheetData sheetId="285">
        <row r="1">
          <cell r="A1" t="str">
            <v>감 사 업 무 분 담 표</v>
          </cell>
        </row>
      </sheetData>
      <sheetData sheetId="286">
        <row r="1">
          <cell r="A1" t="str">
            <v>감 사 업 무 분 담 표</v>
          </cell>
        </row>
      </sheetData>
      <sheetData sheetId="287">
        <row r="1">
          <cell r="A1" t="str">
            <v>감 사 업 무 분 담 표</v>
          </cell>
        </row>
      </sheetData>
      <sheetData sheetId="288">
        <row r="1">
          <cell r="A1" t="str">
            <v>감 사 업 무 분 담 표</v>
          </cell>
        </row>
      </sheetData>
      <sheetData sheetId="289">
        <row r="1">
          <cell r="A1" t="str">
            <v>감 사 업 무 분 담 표</v>
          </cell>
        </row>
      </sheetData>
      <sheetData sheetId="290">
        <row r="1">
          <cell r="A1" t="str">
            <v>감 사 업 무 분 담 표</v>
          </cell>
        </row>
      </sheetData>
      <sheetData sheetId="291" refreshError="1"/>
      <sheetData sheetId="292">
        <row r="1">
          <cell r="A1" t="str">
            <v>감 사 업 무 분 담 표</v>
          </cell>
        </row>
      </sheetData>
      <sheetData sheetId="293">
        <row r="1">
          <cell r="A1" t="str">
            <v>감 사 업 무 분 담 표</v>
          </cell>
        </row>
      </sheetData>
      <sheetData sheetId="294">
        <row r="1">
          <cell r="A1" t="str">
            <v>감 사 업 무 분 담 표</v>
          </cell>
        </row>
      </sheetData>
      <sheetData sheetId="295">
        <row r="1">
          <cell r="A1" t="str">
            <v>감 사 업 무 분 담 표</v>
          </cell>
        </row>
      </sheetData>
      <sheetData sheetId="296">
        <row r="1">
          <cell r="A1" t="str">
            <v>감 사 업 무 분 담 표</v>
          </cell>
        </row>
      </sheetData>
      <sheetData sheetId="297">
        <row r="1">
          <cell r="A1" t="str">
            <v>감 사 업 무 분 담 표</v>
          </cell>
        </row>
      </sheetData>
      <sheetData sheetId="298">
        <row r="1">
          <cell r="A1" t="str">
            <v>감 사 업 무 분 담 표</v>
          </cell>
        </row>
      </sheetData>
      <sheetData sheetId="299">
        <row r="1">
          <cell r="A1" t="str">
            <v>감 사 업 무 분 담 표</v>
          </cell>
        </row>
      </sheetData>
      <sheetData sheetId="300">
        <row r="1">
          <cell r="A1" t="str">
            <v>감 사 업 무 분 담 표</v>
          </cell>
        </row>
      </sheetData>
      <sheetData sheetId="301">
        <row r="1">
          <cell r="A1" t="str">
            <v>감 사 업 무 분 담 표</v>
          </cell>
        </row>
      </sheetData>
      <sheetData sheetId="302">
        <row r="1">
          <cell r="A1" t="str">
            <v>감 사 업 무 분 담 표</v>
          </cell>
        </row>
      </sheetData>
      <sheetData sheetId="303">
        <row r="1">
          <cell r="A1" t="str">
            <v>감 사 업 무 분 담 표</v>
          </cell>
        </row>
      </sheetData>
      <sheetData sheetId="304">
        <row r="1">
          <cell r="A1" t="str">
            <v>감 사 업 무 분 담 표</v>
          </cell>
        </row>
      </sheetData>
      <sheetData sheetId="305">
        <row r="1">
          <cell r="A1" t="str">
            <v>감 사 업 무 분 담 표</v>
          </cell>
        </row>
      </sheetData>
      <sheetData sheetId="306">
        <row r="1">
          <cell r="A1" t="str">
            <v>감 사 업 무 분 담 표</v>
          </cell>
        </row>
      </sheetData>
      <sheetData sheetId="307">
        <row r="1">
          <cell r="A1" t="str">
            <v>감 사 업 무 분 담 표</v>
          </cell>
        </row>
      </sheetData>
      <sheetData sheetId="308">
        <row r="1">
          <cell r="A1" t="str">
            <v>감 사 업 무 분 담 표</v>
          </cell>
        </row>
      </sheetData>
      <sheetData sheetId="309">
        <row r="1">
          <cell r="A1" t="str">
            <v>감 사 업 무 분 담 표</v>
          </cell>
        </row>
      </sheetData>
      <sheetData sheetId="310">
        <row r="1">
          <cell r="A1" t="str">
            <v>감 사 업 무 분 담 표</v>
          </cell>
        </row>
      </sheetData>
      <sheetData sheetId="311">
        <row r="1">
          <cell r="A1" t="str">
            <v>감 사 업 무 분 담 표</v>
          </cell>
        </row>
      </sheetData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>
        <row r="1">
          <cell r="A1" t="str">
            <v>감 사 업 무 분 담 표</v>
          </cell>
        </row>
      </sheetData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>
        <row r="45">
          <cell r="F45" t="str">
            <v>V</v>
          </cell>
        </row>
      </sheetData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/>
      <sheetData sheetId="448">
        <row r="1">
          <cell r="A1" t="str">
            <v>감 사 업 무 분 담 표</v>
          </cell>
        </row>
      </sheetData>
      <sheetData sheetId="449">
        <row r="1">
          <cell r="A1" t="str">
            <v>감 사 업 무 분 담 표</v>
          </cell>
        </row>
      </sheetData>
      <sheetData sheetId="450">
        <row r="1">
          <cell r="A1" t="str">
            <v>감 사 업 무 분 담 표</v>
          </cell>
        </row>
      </sheetData>
      <sheetData sheetId="451">
        <row r="1">
          <cell r="A1" t="str">
            <v>감 사 업 무 분 담 표</v>
          </cell>
        </row>
      </sheetData>
      <sheetData sheetId="452">
        <row r="45">
          <cell r="F45" t="str">
            <v>V</v>
          </cell>
        </row>
      </sheetData>
      <sheetData sheetId="453"/>
      <sheetData sheetId="454">
        <row r="1">
          <cell r="A1" t="str">
            <v>감 사 업 무 분 담 표</v>
          </cell>
        </row>
      </sheetData>
      <sheetData sheetId="455">
        <row r="1">
          <cell r="A1" t="str">
            <v>감 사 업 무 분 담 표</v>
          </cell>
        </row>
      </sheetData>
      <sheetData sheetId="456">
        <row r="1">
          <cell r="A1" t="str">
            <v>감 사 업 무 분 담 표</v>
          </cell>
        </row>
      </sheetData>
      <sheetData sheetId="457">
        <row r="1">
          <cell r="A1" t="str">
            <v>감 사 업 무 분 담 표</v>
          </cell>
        </row>
      </sheetData>
      <sheetData sheetId="458">
        <row r="1">
          <cell r="A1" t="str">
            <v>감 사 업 무 분 담 표</v>
          </cell>
        </row>
      </sheetData>
      <sheetData sheetId="459">
        <row r="1">
          <cell r="A1" t="str">
            <v>감 사 업 무 분 담 표</v>
          </cell>
        </row>
      </sheetData>
      <sheetData sheetId="460">
        <row r="1">
          <cell r="A1" t="str">
            <v>감 사 업 무 분 담 표</v>
          </cell>
        </row>
      </sheetData>
      <sheetData sheetId="461">
        <row r="1">
          <cell r="A1" t="str">
            <v>감 사 업 무 분 담 표</v>
          </cell>
        </row>
      </sheetData>
      <sheetData sheetId="462">
        <row r="1">
          <cell r="A1" t="str">
            <v>감 사 업 무 분 담 표</v>
          </cell>
        </row>
      </sheetData>
      <sheetData sheetId="463">
        <row r="1">
          <cell r="A1" t="str">
            <v>감 사 업 무 분 담 표</v>
          </cell>
        </row>
      </sheetData>
      <sheetData sheetId="464">
        <row r="1">
          <cell r="A1" t="str">
            <v>감 사 업 무 분 담 표</v>
          </cell>
        </row>
      </sheetData>
      <sheetData sheetId="465">
        <row r="1">
          <cell r="A1" t="str">
            <v>감 사 업 무 분 담 표</v>
          </cell>
        </row>
      </sheetData>
      <sheetData sheetId="466">
        <row r="1">
          <cell r="A1" t="str">
            <v>감 사 업 무 분 담 표</v>
          </cell>
        </row>
      </sheetData>
      <sheetData sheetId="467">
        <row r="1">
          <cell r="A1" t="str">
            <v>감 사 업 무 분 담 표</v>
          </cell>
        </row>
      </sheetData>
      <sheetData sheetId="468">
        <row r="1">
          <cell r="A1" t="str">
            <v>감 사 업 무 분 담 표</v>
          </cell>
        </row>
      </sheetData>
      <sheetData sheetId="469">
        <row r="1">
          <cell r="A1" t="str">
            <v>감 사 업 무 분 담 표</v>
          </cell>
        </row>
      </sheetData>
      <sheetData sheetId="470" refreshError="1"/>
      <sheetData sheetId="471" refreshError="1"/>
      <sheetData sheetId="472">
        <row r="45">
          <cell r="F45" t="str">
            <v>V</v>
          </cell>
        </row>
      </sheetData>
      <sheetData sheetId="473">
        <row r="45">
          <cell r="F45" t="str">
            <v>V</v>
          </cell>
        </row>
      </sheetData>
      <sheetData sheetId="474">
        <row r="45">
          <cell r="F45" t="str">
            <v>V</v>
          </cell>
        </row>
      </sheetData>
      <sheetData sheetId="475">
        <row r="45">
          <cell r="F45" t="str">
            <v>V</v>
          </cell>
        </row>
      </sheetData>
      <sheetData sheetId="476">
        <row r="45">
          <cell r="F45" t="str">
            <v>V</v>
          </cell>
        </row>
      </sheetData>
      <sheetData sheetId="477">
        <row r="45">
          <cell r="F45" t="str">
            <v>V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>
        <row r="1">
          <cell r="A1" t="str">
            <v>감 사 업 무 분 담 표</v>
          </cell>
        </row>
      </sheetData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>
        <row r="1">
          <cell r="A1" t="str">
            <v>감 사 업 무 분 담 표</v>
          </cell>
        </row>
      </sheetData>
      <sheetData sheetId="498">
        <row r="1">
          <cell r="A1" t="str">
            <v>감 사 업 무 분 담 표</v>
          </cell>
        </row>
      </sheetData>
      <sheetData sheetId="499">
        <row r="1">
          <cell r="A1" t="str">
            <v>감 사 업 무 분 담 표</v>
          </cell>
        </row>
      </sheetData>
      <sheetData sheetId="500">
        <row r="1">
          <cell r="A1" t="str">
            <v>감 사 업 무 분 담 표</v>
          </cell>
        </row>
      </sheetData>
      <sheetData sheetId="501">
        <row r="1">
          <cell r="A1" t="str">
            <v>감 사 업 무 분 담 표</v>
          </cell>
        </row>
      </sheetData>
      <sheetData sheetId="502">
        <row r="1">
          <cell r="A1" t="str">
            <v>감 사 업 무 분 담 표</v>
          </cell>
        </row>
      </sheetData>
      <sheetData sheetId="503">
        <row r="1">
          <cell r="A1" t="str">
            <v>감 사 업 무 분 담 표</v>
          </cell>
        </row>
      </sheetData>
      <sheetData sheetId="504">
        <row r="1">
          <cell r="A1" t="str">
            <v>감 사 업 무 분 담 표</v>
          </cell>
        </row>
      </sheetData>
      <sheetData sheetId="505">
        <row r="1">
          <cell r="A1" t="str">
            <v>감 사 업 무 분 담 표</v>
          </cell>
        </row>
      </sheetData>
      <sheetData sheetId="506">
        <row r="1">
          <cell r="A1" t="str">
            <v>감 사 업 무 분 담 표</v>
          </cell>
        </row>
      </sheetData>
      <sheetData sheetId="507">
        <row r="1">
          <cell r="A1" t="str">
            <v>감 사 업 무 분 담 표</v>
          </cell>
        </row>
      </sheetData>
      <sheetData sheetId="508">
        <row r="1">
          <cell r="A1" t="str">
            <v>감 사 업 무 분 담 표</v>
          </cell>
        </row>
      </sheetData>
      <sheetData sheetId="509">
        <row r="1">
          <cell r="A1" t="str">
            <v>감 사 업 무 분 담 표</v>
          </cell>
        </row>
      </sheetData>
      <sheetData sheetId="510">
        <row r="1">
          <cell r="A1" t="str">
            <v>감 사 업 무 분 담 표</v>
          </cell>
        </row>
      </sheetData>
      <sheetData sheetId="511">
        <row r="1">
          <cell r="A1" t="str">
            <v>감 사 업 무 분 담 표</v>
          </cell>
        </row>
      </sheetData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>
        <row r="1">
          <cell r="A1" t="str">
            <v>감 사 업 무 분 담 표</v>
          </cell>
        </row>
      </sheetData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>
        <row r="1">
          <cell r="A1" t="str">
            <v>감 사 업 무 분 담 표</v>
          </cell>
        </row>
      </sheetData>
      <sheetData sheetId="550">
        <row r="45">
          <cell r="F45" t="str">
            <v>V</v>
          </cell>
        </row>
      </sheetData>
      <sheetData sheetId="551">
        <row r="45">
          <cell r="F45" t="str">
            <v>V</v>
          </cell>
        </row>
      </sheetData>
      <sheetData sheetId="552">
        <row r="1">
          <cell r="A1" t="str">
            <v>감 사 업 무 분 담 표</v>
          </cell>
        </row>
      </sheetData>
      <sheetData sheetId="553">
        <row r="45">
          <cell r="F45" t="str">
            <v>V</v>
          </cell>
        </row>
      </sheetData>
      <sheetData sheetId="554">
        <row r="45">
          <cell r="F45" t="str">
            <v>V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>
        <row r="1">
          <cell r="A1" t="str">
            <v>감 사 업 무 분 담 표</v>
          </cell>
        </row>
      </sheetData>
      <sheetData sheetId="563">
        <row r="45">
          <cell r="F45" t="str">
            <v>V</v>
          </cell>
        </row>
      </sheetData>
      <sheetData sheetId="564">
        <row r="45">
          <cell r="F45" t="str">
            <v>V</v>
          </cell>
        </row>
      </sheetData>
      <sheetData sheetId="565">
        <row r="45">
          <cell r="F45" t="str">
            <v>V</v>
          </cell>
        </row>
      </sheetData>
      <sheetData sheetId="566">
        <row r="45">
          <cell r="F45" t="str">
            <v>V</v>
          </cell>
        </row>
      </sheetData>
      <sheetData sheetId="567">
        <row r="45">
          <cell r="F45" t="str">
            <v>V</v>
          </cell>
        </row>
      </sheetData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 refreshError="1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>
        <row r="1">
          <cell r="A1" t="str">
            <v>감 사 업 무 분 담 표</v>
          </cell>
        </row>
      </sheetData>
      <sheetData sheetId="678">
        <row r="1">
          <cell r="A1" t="str">
            <v>감 사 업 무 분 담 표</v>
          </cell>
        </row>
      </sheetData>
      <sheetData sheetId="679">
        <row r="1">
          <cell r="A1" t="str">
            <v>감 사 업 무 분 담 표</v>
          </cell>
        </row>
      </sheetData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>
        <row r="1">
          <cell r="A1" t="str">
            <v>감 사 업 무 분 담 표</v>
          </cell>
        </row>
      </sheetData>
      <sheetData sheetId="727">
        <row r="45">
          <cell r="F45" t="str">
            <v>V</v>
          </cell>
        </row>
      </sheetData>
      <sheetData sheetId="728">
        <row r="1">
          <cell r="A1" t="str">
            <v>감 사 업 무 분 담 표</v>
          </cell>
        </row>
      </sheetData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/>
      <sheetData sheetId="794"/>
      <sheetData sheetId="795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/>
      <sheetData sheetId="1020" refreshError="1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/>
      <sheetData sheetId="1090"/>
      <sheetData sheetId="1091"/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골조"/>
      <sheetName val="PILE"/>
      <sheetName val="공통비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교동현장"/>
      <sheetName val="공사개요"/>
      <sheetName val="fax"/>
      <sheetName val="협조문"/>
      <sheetName val="협조전"/>
      <sheetName val="속초교동"/>
      <sheetName val="건축대비"/>
      <sheetName val="토목공사"/>
      <sheetName val="개략건축"/>
      <sheetName val="옵션물량분개"/>
      <sheetName val="목,창호공사"/>
      <sheetName val="목문틀단가"/>
      <sheetName val="미장대비"/>
      <sheetName val="시행대비"/>
      <sheetName val="시행대비 (2)"/>
      <sheetName val="도배공사(현장통보)"/>
      <sheetName val="유리분개"/>
      <sheetName val="#REF"/>
      <sheetName val="P.M 별"/>
      <sheetName val="내역서(기존내역-수정금지)"/>
      <sheetName val="VXXXXXXX"/>
      <sheetName val="대전(세창동)"/>
      <sheetName val="주요공사"/>
      <sheetName val="단가표"/>
      <sheetName val="소일위대가코드표"/>
      <sheetName val="유림골조"/>
      <sheetName val="집계표"/>
      <sheetName val="총요약서"/>
      <sheetName val="Sheet2"/>
      <sheetName val="주관사업"/>
      <sheetName val="상반기손익차2총괄"/>
      <sheetName val="영업소실적"/>
      <sheetName val="7. 현장관리비 "/>
      <sheetName val="6. 안전관리비"/>
      <sheetName val="변경내역"/>
      <sheetName val="내   역"/>
      <sheetName val="설직재-1"/>
      <sheetName val="마감사양"/>
      <sheetName val="공통비(전체)"/>
      <sheetName val="노무비"/>
      <sheetName val="N賃率-職"/>
      <sheetName val="내역서"/>
      <sheetName val="공통비총괄표"/>
      <sheetName val="마찰손실"/>
      <sheetName val="일반부표"/>
      <sheetName val="수주실적0709"/>
      <sheetName val="전체내역서"/>
      <sheetName val="Sheet1 (2)"/>
      <sheetName val="기계공사"/>
      <sheetName val="단면 (2)"/>
      <sheetName val="cp1"/>
      <sheetName val="마산월령동골조물량변경"/>
      <sheetName val="코드"/>
      <sheetName val="부대공Ⅱ"/>
      <sheetName val="단가기준"/>
      <sheetName val="국내총괄"/>
      <sheetName val="15100"/>
      <sheetName val="시중노임단가"/>
      <sheetName val="Sheet1"/>
      <sheetName val="반포2차"/>
      <sheetName val="2.대외공문"/>
      <sheetName val="분당임차변경"/>
      <sheetName val="10월실적마감"/>
      <sheetName val="7월실적마감"/>
      <sheetName val="8월실적마감"/>
      <sheetName val="9월실적마감"/>
      <sheetName val="금액결정"/>
      <sheetName val="TOWER 12TON"/>
      <sheetName val="TOWER 10TON"/>
      <sheetName val="갑지(추정)"/>
      <sheetName val="부산제일극장"/>
      <sheetName val="공급&amp;미분양"/>
      <sheetName val="일위대가"/>
      <sheetName val="금액내역서"/>
      <sheetName val="원가계산 (2)"/>
      <sheetName val="Sheet3"/>
      <sheetName val="정부노임단가"/>
      <sheetName val="매각(6)"/>
      <sheetName val="수목표준대가"/>
      <sheetName val="공통부대비"/>
      <sheetName val="공사비"/>
      <sheetName val="예산명세서"/>
      <sheetName val="설계명세서"/>
      <sheetName val="자료입력"/>
      <sheetName val="사업부배부A"/>
      <sheetName val="매입가격"/>
      <sheetName val="경산"/>
      <sheetName val="설비2차"/>
      <sheetName val="간접비총괄"/>
      <sheetName val="Sheet2 (2)"/>
      <sheetName val="일위대가표"/>
      <sheetName val="노임이"/>
      <sheetName val="냉천부속동"/>
      <sheetName val="시설물기초"/>
      <sheetName val="JUCKEYK"/>
      <sheetName val="견적서"/>
      <sheetName val="2공구산출내역"/>
      <sheetName val="CTEMCOST"/>
      <sheetName val="배수내역"/>
      <sheetName val="2000년1차"/>
      <sheetName val="6호기"/>
      <sheetName val="일위대가목차"/>
      <sheetName val="노임단가"/>
      <sheetName val="수목단가"/>
      <sheetName val="시설수량표"/>
      <sheetName val="식재수량표"/>
      <sheetName val="일위목록"/>
      <sheetName val="자재단가"/>
      <sheetName val="Total"/>
      <sheetName val="2.냉난방설비공사"/>
      <sheetName val="FRP PIPING 일위대가"/>
      <sheetName val="내역서2안"/>
      <sheetName val="2.1  노무비 평균단가산출"/>
      <sheetName val="내역"/>
      <sheetName val="데이타"/>
      <sheetName val="참조자료"/>
      <sheetName val="패널"/>
      <sheetName val="3단계"/>
      <sheetName val="2단계"/>
      <sheetName val="교통대책내역"/>
      <sheetName val="원가계산서(남측)"/>
      <sheetName val="공사손익"/>
      <sheetName val="고자현황"/>
      <sheetName val="COST"/>
      <sheetName val="단가조사"/>
      <sheetName val="대비"/>
      <sheetName val="9509"/>
      <sheetName val="입찰안"/>
      <sheetName val="ITEM"/>
      <sheetName val="기계"/>
      <sheetName val="미수금현황"/>
      <sheetName val="실행내역"/>
      <sheetName val="직노"/>
      <sheetName val="예가표"/>
      <sheetName val="유림총괄"/>
      <sheetName val="도급견적가"/>
      <sheetName val="COVER"/>
      <sheetName val="건물"/>
      <sheetName val="0_갑지"/>
      <sheetName val="8_현장관리비"/>
      <sheetName val="7_안전관리비"/>
      <sheetName val="건축내역"/>
      <sheetName val="돈암사업"/>
      <sheetName val="공사비예산서_토목분_"/>
      <sheetName val="01"/>
      <sheetName val="청산공사"/>
      <sheetName val="부속동"/>
      <sheetName val="개요"/>
      <sheetName val="날개벽수량표"/>
      <sheetName val="소요자재"/>
      <sheetName val="정보"/>
      <sheetName val="수정시산표"/>
      <sheetName val="산출내역서집계표"/>
      <sheetName val="국내조달(통합-1)"/>
      <sheetName val="계수시트"/>
      <sheetName val="수입"/>
      <sheetName val="15 문제점"/>
      <sheetName val="POL6차-PIPING"/>
      <sheetName val="물량"/>
      <sheetName val="WEIGHT LIST"/>
      <sheetName val="산#2-1 (2)"/>
      <sheetName val="산#3-1"/>
      <sheetName val="견적대비표"/>
      <sheetName val="관리,공감"/>
      <sheetName val="실행철강하도"/>
      <sheetName val="대여현황"/>
      <sheetName val="기초목"/>
      <sheetName val="계수원본(99.2.28)"/>
      <sheetName val="설계내역서"/>
      <sheetName val="내역서-수정본"/>
      <sheetName val="삼보지질"/>
      <sheetName val="공사비산출내역"/>
      <sheetName val="구의33고"/>
      <sheetName val="수지표"/>
      <sheetName val="020114"/>
      <sheetName val="0111월"/>
      <sheetName val="공동"/>
      <sheetName val="MAIN"/>
      <sheetName val="npv"/>
      <sheetName val="보고"/>
      <sheetName val="7.자동제어공사"/>
      <sheetName val="7수지"/>
      <sheetName val="04.01"/>
      <sheetName val="노임"/>
      <sheetName val="관급자재"/>
      <sheetName val="형틀공사"/>
      <sheetName val="1,2,3,4,5단위수량"/>
      <sheetName val="B1(반포1차)"/>
      <sheetName val="견적"/>
      <sheetName val="6맨홀H"/>
      <sheetName val="금융비용"/>
      <sheetName val="시행대비_(2)"/>
      <sheetName val="7__현장관리비_"/>
      <sheetName val="6__안전관리비"/>
      <sheetName val="내___역"/>
      <sheetName val="P_M_별"/>
      <sheetName val="Sheet1_(2)"/>
      <sheetName val="단면_(2)"/>
      <sheetName val="WEIGHT_LIST"/>
      <sheetName val="산#2-1_(2)"/>
      <sheetName val="2_대외공문"/>
      <sheetName val="TOWER_12TON"/>
      <sheetName val="TOWER_10TON"/>
      <sheetName val="원가계산_(2)"/>
      <sheetName val="Sheet2_(2)"/>
      <sheetName val="2_냉난방설비공사"/>
      <sheetName val="FRP_PIPING_일위대가"/>
      <sheetName val="2_1__노무비_평균단가산출"/>
      <sheetName val="계수원본(99_2_28)"/>
      <sheetName val="7_자동제어공사"/>
      <sheetName val="04_01"/>
      <sheetName val="15_문제점"/>
      <sheetName val="봉천제출"/>
      <sheetName val="비교1"/>
      <sheetName val="파일의이용"/>
      <sheetName val="본공사"/>
      <sheetName val="평형공사비"/>
      <sheetName val="단가"/>
      <sheetName val="수수료율표"/>
      <sheetName val="설계"/>
      <sheetName val="변경서식"/>
      <sheetName val="은행"/>
      <sheetName val="호실data"/>
      <sheetName val="상제품매출(원가)1~10월"/>
      <sheetName val="업무분장"/>
      <sheetName val="갑지"/>
      <sheetName val="적상기초자료"/>
      <sheetName val="DATA1"/>
      <sheetName val="단독"/>
      <sheetName val="시중노임"/>
      <sheetName val="입찰"/>
      <sheetName val="현경"/>
      <sheetName val="96까지"/>
      <sheetName val="97년"/>
      <sheetName val="98이후"/>
      <sheetName val="대비표(토공1안)"/>
      <sheetName val="금액,품셈"/>
      <sheetName val="pier(각형)"/>
      <sheetName val="수리결과"/>
      <sheetName val="투찰"/>
      <sheetName val="결과조달"/>
      <sheetName val="설계명세"/>
      <sheetName val="6PILE  (돌출)"/>
      <sheetName val="수량집계"/>
      <sheetName val="예산서"/>
      <sheetName val="물량내역서"/>
      <sheetName val="Sens&amp;Anal"/>
      <sheetName val="부표총괄"/>
      <sheetName val="국산화"/>
      <sheetName val="경비"/>
      <sheetName val="00노임기준"/>
      <sheetName val="교각별철근수량집계표"/>
      <sheetName val="구조물공"/>
      <sheetName val="부대공"/>
      <sheetName val="배수공"/>
      <sheetName val="토공"/>
      <sheetName val="포장공"/>
      <sheetName val="연결임시"/>
      <sheetName val="토공(우물통,기타) "/>
      <sheetName val="교량하부공"/>
      <sheetName val="내역서01"/>
      <sheetName val="단가 (2)"/>
      <sheetName val="골조시행"/>
      <sheetName val="급여관련자료"/>
      <sheetName val="평가데이터"/>
      <sheetName val="하수급견적대비"/>
      <sheetName val="청천내"/>
      <sheetName val="협력업체"/>
      <sheetName val="진주방향"/>
      <sheetName val="98지급계획"/>
      <sheetName val="변압기 및 발전기 용량"/>
      <sheetName val="작업년월"/>
      <sheetName val="세부내역"/>
      <sheetName val="시중노임(공사)"/>
      <sheetName val="납부내역"/>
      <sheetName val="빈"/>
      <sheetName val="현장현황"/>
      <sheetName val="터파기및재료"/>
      <sheetName val="을-ATYPE"/>
      <sheetName val="DATA"/>
      <sheetName val="단가산출"/>
      <sheetName val="산출근거"/>
      <sheetName val="소화실적"/>
      <sheetName val="내역서(당초변경)"/>
      <sheetName val="공량산출서"/>
      <sheetName val="공사비집계"/>
      <sheetName val="추가예산"/>
      <sheetName val="토목"/>
      <sheetName val="익산"/>
      <sheetName val="명세서"/>
      <sheetName val="중기 부표"/>
      <sheetName val="대비표"/>
      <sheetName val="건축2"/>
      <sheetName val="운영비산정가정"/>
      <sheetName val="7.수지"/>
      <sheetName val="목록"/>
      <sheetName val="국내"/>
      <sheetName val="금융"/>
      <sheetName val="을지"/>
      <sheetName val="가설개략"/>
      <sheetName val="인사자료총집계"/>
      <sheetName val="견적내역"/>
      <sheetName val="misc"/>
      <sheetName val="총물량"/>
      <sheetName val="1월"/>
      <sheetName val="간접비"/>
      <sheetName val="9GNG운반"/>
      <sheetName val="UG COM-8"/>
      <sheetName val="UG COM-11"/>
      <sheetName val="UG COM-7"/>
      <sheetName val="UG COM-6"/>
      <sheetName val="UG COM-5"/>
      <sheetName val="UG COM-4"/>
      <sheetName val="UG COM-3"/>
      <sheetName val="UG COM-2"/>
      <sheetName val="UG COM-1"/>
      <sheetName val="UG COM-12"/>
      <sheetName val="조명시설"/>
      <sheetName val="물량내역"/>
      <sheetName val="ABUT수량-A1"/>
      <sheetName val="소방기계"/>
      <sheetName val="차액보증"/>
      <sheetName val="개산공사비"/>
      <sheetName val="스케즐"/>
      <sheetName val="기초일위"/>
      <sheetName val="구조부재산출서"/>
      <sheetName val="단위수량"/>
      <sheetName val="회사정보"/>
      <sheetName val="연돌일위집계"/>
      <sheetName val="횡배수관집현황(2공구)"/>
      <sheetName val="세금자료"/>
      <sheetName val="요율"/>
      <sheetName val="식재가격"/>
      <sheetName val="식재총괄"/>
      <sheetName val="AJ005"/>
      <sheetName val="공통가설공사"/>
      <sheetName val="도기류"/>
      <sheetName val="0000"/>
      <sheetName val="판가반영"/>
      <sheetName val="손익차9월2"/>
      <sheetName val="DATE"/>
      <sheetName val="목차"/>
      <sheetName val="형틀물량집계"/>
      <sheetName val="포설물량(8회분)"/>
      <sheetName val="집수정(600-700)"/>
      <sheetName val="TRE TABLE"/>
      <sheetName val="결재판(삭제하지말아주세요)"/>
      <sheetName val="O＆P"/>
      <sheetName val="자  재"/>
      <sheetName val="건축외주"/>
      <sheetName val="인상효1"/>
      <sheetName val="설계명세서(전송장비분)"/>
      <sheetName val="EQT-ESTN"/>
      <sheetName val="AL공사(원)"/>
      <sheetName val="단"/>
      <sheetName val="1차 내역서"/>
      <sheetName val="3.건축(현장안)"/>
      <sheetName val="일위_파일"/>
      <sheetName val="현장관리비"/>
      <sheetName val="현장경비"/>
      <sheetName val="공문"/>
      <sheetName val="10ADIT05"/>
      <sheetName val="하치장수불부"/>
      <sheetName val="외주"/>
      <sheetName val="코드표"/>
      <sheetName val="STAND98"/>
      <sheetName val="STAND20"/>
      <sheetName val="BEND LOSS"/>
      <sheetName val="cal"/>
      <sheetName val="인천제철"/>
      <sheetName val="자료"/>
      <sheetName val="6공구(당초)"/>
      <sheetName val="증감대비"/>
      <sheetName val="토목주소"/>
      <sheetName val="프랜트면허"/>
      <sheetName val="가시설"/>
      <sheetName val="토사(PE)"/>
      <sheetName val="품셈"/>
      <sheetName val="부대"/>
      <sheetName val="부안일위"/>
      <sheetName val="품셈TABLE"/>
      <sheetName val="식재인부"/>
      <sheetName val="공사진행"/>
      <sheetName val="부하계산"/>
      <sheetName val="MACRO(전선관)"/>
      <sheetName val="투자비"/>
      <sheetName val="각사별공사비분개 "/>
      <sheetName val="일위대가(가설)"/>
      <sheetName val="1차설계변경내역"/>
      <sheetName val="건축공사실행"/>
      <sheetName val="건축원가"/>
      <sheetName val="예약현황"/>
      <sheetName val="소개"/>
      <sheetName val="갑지1"/>
      <sheetName val="자재(원원+원대)"/>
      <sheetName val="안양1공구_건축"/>
      <sheetName val="항목(1)"/>
      <sheetName val="BOOK4"/>
      <sheetName val="전문품의"/>
      <sheetName val="을"/>
      <sheetName val="wall"/>
      <sheetName val="ⴭⴭⴭⴭⴭ"/>
      <sheetName val="이토변실(A3-LINE)"/>
      <sheetName val="집계"/>
      <sheetName val="안전장치"/>
      <sheetName val="BLOCK(1)"/>
      <sheetName val="수량산출서"/>
      <sheetName val="실행"/>
      <sheetName val="금광1터널"/>
      <sheetName val="가격조사서"/>
      <sheetName val="납부서"/>
      <sheetName val="공비대비"/>
      <sheetName val="장기미처리(업체)"/>
      <sheetName val="장기미처리(센터)"/>
      <sheetName val="사업비총괄표"/>
      <sheetName val="총내역"/>
      <sheetName val="분류표"/>
      <sheetName val="MEED"/>
      <sheetName val="70%"/>
      <sheetName val="인건비"/>
      <sheetName val="물가시세표"/>
      <sheetName val="A조"/>
      <sheetName val="A갑지"/>
      <sheetName val="개인DATA"/>
      <sheetName val="기준단가"/>
      <sheetName val="공사비 내역 (가)"/>
      <sheetName val="계약동호배치도"/>
      <sheetName val="피벗테이블데이터분석"/>
      <sheetName val="평균높이산출근거"/>
      <sheetName val="횡배수관위치조서"/>
      <sheetName val="데리네이타현황"/>
      <sheetName val="입찰내역서"/>
      <sheetName val="수공기"/>
      <sheetName val="중기"/>
      <sheetName val="EUPDAT2"/>
      <sheetName val="공사내역"/>
      <sheetName val="시설물일위"/>
      <sheetName val="잡비산출"/>
      <sheetName val="시장성초안camera"/>
      <sheetName val="원가계산서"/>
      <sheetName val="A-1"/>
      <sheetName val="입력부분"/>
      <sheetName val="색인구역"/>
      <sheetName val="건설노임"/>
      <sheetName val="기본사항"/>
      <sheetName val="실행간접비"/>
      <sheetName val="사통"/>
      <sheetName val="마스터원본"/>
      <sheetName val="1.기성청구공문양식"/>
      <sheetName val="2.기성청구갑지"/>
      <sheetName val="경비원 "/>
      <sheetName val="토공(우물통,기타)_"/>
      <sheetName val="단가_(2)"/>
      <sheetName val="6PILE__(돌출)"/>
      <sheetName val="변압기_및_발전기_용량"/>
      <sheetName val="현장관리비데이타"/>
      <sheetName val="XXXXXXXX"/>
      <sheetName val="환산"/>
      <sheetName val="단위단가"/>
      <sheetName val="인원자료"/>
      <sheetName val="정산내역"/>
      <sheetName val="시행대비_(2)1"/>
      <sheetName val="7__현장관리비_1"/>
      <sheetName val="6__안전관리비1"/>
      <sheetName val="내___역1"/>
      <sheetName val="P_M_별1"/>
      <sheetName val="Sheet1_(2)1"/>
      <sheetName val="단면_(2)1"/>
      <sheetName val="WEIGHT_LIST1"/>
      <sheetName val="산#2-1_(2)1"/>
      <sheetName val="계수원본(99_2_28)1"/>
      <sheetName val="2_냉난방설비공사1"/>
      <sheetName val="7_자동제어공사1"/>
      <sheetName val="04_011"/>
      <sheetName val="2_대외공문1"/>
      <sheetName val="TOWER_12TON1"/>
      <sheetName val="TOWER_10TON1"/>
      <sheetName val="원가계산_(2)1"/>
      <sheetName val="Sheet2_(2)1"/>
      <sheetName val="FRP_PIPING_일위대가1"/>
      <sheetName val="2_1__노무비_평균단가산출1"/>
      <sheetName val="15_문제점1"/>
      <sheetName val="7_수지"/>
      <sheetName val="중기_부표"/>
      <sheetName val="SG"/>
      <sheetName val="총괄"/>
      <sheetName val="첨부#2.Cash Flow(현장작성)"/>
      <sheetName val="유림콘도"/>
      <sheetName val="4-1. 매출원가 손익계획 집계표"/>
      <sheetName val="4.2유효폭의 계산"/>
      <sheetName val="입적표"/>
      <sheetName val="수량산출서 갑지"/>
      <sheetName val="UG_COM-8"/>
      <sheetName val="UG_COM-11"/>
      <sheetName val="UG_COM-7"/>
      <sheetName val="UG_COM-6"/>
      <sheetName val="UG_COM-5"/>
      <sheetName val="UG_COM-4"/>
      <sheetName val="UG_COM-3"/>
      <sheetName val="UG_COM-2"/>
      <sheetName val="UG_COM-1"/>
      <sheetName val="UG_COM-12"/>
      <sheetName val="TRE_TABLE"/>
      <sheetName val="자__재"/>
      <sheetName val="1차_내역서"/>
      <sheetName val="3_건축(현장안)"/>
      <sheetName val="BEND_LOSS"/>
      <sheetName val="각사별공사비분개_"/>
      <sheetName val="공사비_내역_(가)"/>
      <sheetName val="총괄갑 "/>
      <sheetName val="NOTE"/>
      <sheetName val="부관수량집계"/>
      <sheetName val="96정변2"/>
      <sheetName val="EE-PROP"/>
      <sheetName val="PAD TR보호대기초"/>
      <sheetName val="가로등기초"/>
      <sheetName val="HANDHOLE(2)"/>
      <sheetName val="첨"/>
      <sheetName val="배수내역 (2)"/>
      <sheetName val="1.설계조건"/>
      <sheetName val="MOTOR"/>
      <sheetName val="대운산출"/>
      <sheetName val="부대내역"/>
      <sheetName val="#2_일위대가목록"/>
      <sheetName val="C.배수관공"/>
      <sheetName val="백호우계수"/>
      <sheetName val="적심사표"/>
      <sheetName val="전기"/>
      <sheetName val="유효폭의 계산"/>
      <sheetName val="1062-X방향 "/>
      <sheetName val="계정과목 등"/>
      <sheetName val="XL4Poppy"/>
      <sheetName val="표지 (2)"/>
      <sheetName val="I一般比"/>
      <sheetName val="환경관리"/>
      <sheetName val="간접비계산"/>
      <sheetName val="전체"/>
      <sheetName val="시설일위"/>
      <sheetName val="조명일위"/>
      <sheetName val="실행원가내역"/>
      <sheetName val="TIE-IN"/>
      <sheetName val="공통가설"/>
      <sheetName val="새공통(96임금인상기준)"/>
      <sheetName val="화전내"/>
      <sheetName val="#검토내역(상세)"/>
      <sheetName val="오산갈곳"/>
      <sheetName val="GAEYO"/>
      <sheetName val="수량산출"/>
      <sheetName val="시멘트"/>
      <sheetName val="건축-물가변동"/>
      <sheetName val="5사남"/>
      <sheetName val="교대시점"/>
      <sheetName val="도근좌표"/>
      <sheetName val="수정계획3"/>
      <sheetName val="수로단위수량"/>
      <sheetName val="설비단가표"/>
      <sheetName val="기본일위"/>
      <sheetName val="B"/>
      <sheetName val="NP-총정리"/>
      <sheetName val="tggwan(mac)"/>
      <sheetName val="일용노임단가"/>
      <sheetName val="gyun"/>
      <sheetName val="IW-LIST"/>
      <sheetName val="Cash2"/>
      <sheetName val="Z"/>
      <sheetName val="원형1호맨홀토공수량"/>
      <sheetName val="1-11조직표"/>
      <sheetName val="FAB별"/>
      <sheetName val="98NS-N"/>
      <sheetName val="가설공사비"/>
      <sheetName val="0"/>
      <sheetName val="음료실행"/>
      <sheetName val="시점교대"/>
      <sheetName val="CONCRETE"/>
      <sheetName val="도급원가"/>
      <sheetName val="BOJUNGGM"/>
      <sheetName val="단위중량"/>
      <sheetName val="L_RPTB10_01"/>
      <sheetName val="시행대비_(2)2"/>
      <sheetName val="7__현장관리비_2"/>
      <sheetName val="6__안전관리비2"/>
      <sheetName val="내___역2"/>
      <sheetName val="P_M_별2"/>
      <sheetName val="Sheet1_(2)2"/>
      <sheetName val="단면_(2)2"/>
      <sheetName val="WEIGHT_LIST2"/>
      <sheetName val="산#2-1_(2)2"/>
      <sheetName val="계수원본(99_2_28)2"/>
      <sheetName val="2_냉난방설비공사2"/>
      <sheetName val="7_자동제어공사2"/>
      <sheetName val="04_012"/>
      <sheetName val="2_대외공문2"/>
      <sheetName val="TOWER_12TON2"/>
      <sheetName val="TOWER_10TON2"/>
      <sheetName val="원가계산_(2)2"/>
      <sheetName val="Sheet2_(2)2"/>
      <sheetName val="FRP_PIPING_일위대가2"/>
      <sheetName val="2_1__노무비_평균단가산출2"/>
      <sheetName val="15_문제점2"/>
      <sheetName val="6PILE__(돌출)1"/>
      <sheetName val="토공(우물통,기타)_1"/>
      <sheetName val="단가_(2)1"/>
      <sheetName val="변압기_및_발전기_용량1"/>
      <sheetName val="중기_부표1"/>
      <sheetName val="7_수지1"/>
      <sheetName val="UG_COM-81"/>
      <sheetName val="UG_COM-111"/>
      <sheetName val="UG_COM-71"/>
      <sheetName val="UG_COM-61"/>
      <sheetName val="UG_COM-51"/>
      <sheetName val="UG_COM-41"/>
      <sheetName val="UG_COM-31"/>
      <sheetName val="UG_COM-21"/>
      <sheetName val="UG_COM-13"/>
      <sheetName val="UG_COM-121"/>
      <sheetName val="TRE_TABLE1"/>
      <sheetName val="자__재1"/>
      <sheetName val="1차_내역서1"/>
      <sheetName val="3_건축(현장안)1"/>
      <sheetName val="BEND_LOSS1"/>
      <sheetName val="각사별공사비분개_1"/>
      <sheetName val="공사비_내역_(가)1"/>
      <sheetName val="1_기성청구공문양식"/>
      <sheetName val="2_기성청구갑지"/>
      <sheetName val="경비원_"/>
      <sheetName val="수량산출서_갑지"/>
      <sheetName val="4-1__매출원가_손익계획_집계표"/>
      <sheetName val="4_2유효폭의_계산"/>
      <sheetName val="첨부#2_Cash_Flow(현장작성)"/>
      <sheetName val="표지_(2)"/>
      <sheetName val="총괄갑_"/>
      <sheetName val="1_설계조건"/>
      <sheetName val="유효폭의_계산"/>
      <sheetName val="PAD_TR보호대기초"/>
      <sheetName val="C_배수관공"/>
      <sheetName val="배수내역_(2)"/>
      <sheetName val="1062-X방향_"/>
      <sheetName val="실수량산출"/>
      <sheetName val="수량산_x0000_"/>
      <sheetName val="입력시트"/>
      <sheetName val="서식지정"/>
      <sheetName val="CALCULATION"/>
      <sheetName val="Com. - 첨부 #4 현장관리비"/>
      <sheetName val="배수통관(좌)"/>
      <sheetName val="표지"/>
      <sheetName val="삭제금지단가"/>
      <sheetName val="신청서"/>
      <sheetName val="1N"/>
      <sheetName val="99입장목표"/>
      <sheetName val="J直材4"/>
      <sheetName val="ENE-CAL"/>
      <sheetName val="분전함신설"/>
      <sheetName val="접지1종"/>
      <sheetName val="유첨3.적용기준"/>
      <sheetName val="물량산출근거"/>
      <sheetName val="Rate"/>
      <sheetName val="부서별공수"/>
      <sheetName val="ld-극동"/>
      <sheetName val="투입공수"/>
      <sheetName val="생산"/>
      <sheetName val="자재재고"/>
      <sheetName val="재공재고"/>
      <sheetName val="품질현황-보류"/>
      <sheetName val="품의플로"/>
      <sheetName val="기초별표"/>
      <sheetName val="목표세부명세"/>
      <sheetName val="이자율"/>
      <sheetName val="95TOTREV"/>
      <sheetName val="CAL1"/>
      <sheetName val="지급자재"/>
      <sheetName val="STEEL BOX 단면설계(SEC.8)"/>
      <sheetName val="간접"/>
      <sheetName val="가로등내역서"/>
      <sheetName val="공정"/>
      <sheetName val="현장"/>
      <sheetName val="캔개발배경"/>
      <sheetName val="시장"/>
      <sheetName val="일정표"/>
      <sheetName val="물량표"/>
      <sheetName val="웅진교-S2"/>
      <sheetName val="환경기계공정표 (3)"/>
      <sheetName val="형틀"/>
      <sheetName val="망미동"/>
      <sheetName val="하부철근수량"/>
      <sheetName val="Mc1"/>
      <sheetName val="골조공사"/>
      <sheetName val="인건비 "/>
      <sheetName val="철콘공사"/>
      <sheetName val="파이프류"/>
      <sheetName val="Data Sheet"/>
      <sheetName val="일위대가서식"/>
      <sheetName val="datasheet"/>
      <sheetName val="계정과목_등"/>
      <sheetName val="배명(단가)"/>
      <sheetName val="공사투입계획(변경결의)19.9"/>
      <sheetName val="노무비 월별지급현황19.9"/>
      <sheetName val="갑지(외주기성)19.9"/>
      <sheetName val="시행대비_(2)3"/>
      <sheetName val="7__현장관리비_3"/>
      <sheetName val="6__안전관리비3"/>
      <sheetName val="내___역3"/>
      <sheetName val="P_M_별3"/>
      <sheetName val="Sheet1_(2)3"/>
      <sheetName val="단면_(2)3"/>
      <sheetName val="계수원본(99_2_28)3"/>
      <sheetName val="WEIGHT_LIST3"/>
      <sheetName val="산#2-1_(2)3"/>
      <sheetName val="2_냉난방설비공사3"/>
      <sheetName val="7_자동제어공사3"/>
      <sheetName val="04_013"/>
      <sheetName val="2_대외공문3"/>
      <sheetName val="TOWER_12TON3"/>
      <sheetName val="TOWER_10TON3"/>
      <sheetName val="원가계산_(2)3"/>
      <sheetName val="Sheet2_(2)3"/>
      <sheetName val="FRP_PIPING_일위대가3"/>
      <sheetName val="2_1__노무비_평균단가산출3"/>
      <sheetName val="15_문제점3"/>
      <sheetName val="7_수지2"/>
      <sheetName val="UG_COM-82"/>
      <sheetName val="UG_COM-112"/>
      <sheetName val="UG_COM-72"/>
      <sheetName val="UG_COM-62"/>
      <sheetName val="UG_COM-52"/>
      <sheetName val="UG_COM-42"/>
      <sheetName val="UG_COM-32"/>
      <sheetName val="UG_COM-22"/>
      <sheetName val="UG_COM-14"/>
      <sheetName val="UG_COM-122"/>
      <sheetName val="6PILE__(돌출)2"/>
      <sheetName val="토공(우물통,기타)_2"/>
      <sheetName val="단가_(2)2"/>
      <sheetName val="변압기_및_발전기_용량2"/>
      <sheetName val="중기_부표2"/>
      <sheetName val="각사별공사비분개_2"/>
      <sheetName val="TRE_TABLE2"/>
      <sheetName val="자__재2"/>
      <sheetName val="1차_내역서2"/>
      <sheetName val="3_건축(현장안)2"/>
      <sheetName val="BEND_LOSS2"/>
      <sheetName val="공사비_내역_(가)2"/>
      <sheetName val="1_기성청구공문양식1"/>
      <sheetName val="2_기성청구갑지1"/>
      <sheetName val="경비원_1"/>
      <sheetName val="첨부#2_Cash_Flow(현장작성)1"/>
      <sheetName val="수량산출서_갑지1"/>
      <sheetName val="4-1__매출원가_손익계획_집계표1"/>
      <sheetName val="4_2유효폭의_계산1"/>
      <sheetName val="총괄갑_1"/>
      <sheetName val="1_설계조건1"/>
      <sheetName val="PAD_TR보호대기초1"/>
      <sheetName val="C_배수관공1"/>
      <sheetName val="유효폭의_계산1"/>
      <sheetName val="배수내역_(2)1"/>
      <sheetName val="1062-X방향_1"/>
      <sheetName val="표지_(2)1"/>
      <sheetName val="Com__-_첨부_#4_현장관리비"/>
      <sheetName val="전기설계변경"/>
      <sheetName val="장비명"/>
      <sheetName val="F4-F7"/>
      <sheetName val="schedule"/>
      <sheetName val="A"/>
      <sheetName val="woo(mac)"/>
      <sheetName val="보할공정"/>
      <sheetName val="산근"/>
      <sheetName val="Eq. Mobilization"/>
      <sheetName val="관리비현황"/>
      <sheetName val="식재일위"/>
      <sheetName val="제경비율"/>
      <sheetName val="단가동향_건축"/>
      <sheetName val="본실행경비"/>
      <sheetName val="Cashflow Analysis"/>
      <sheetName val="동원인원"/>
      <sheetName val="RESOURCE"/>
      <sheetName val="담보평가"/>
      <sheetName val="수량산Ö"/>
      <sheetName val="石炭性状"/>
      <sheetName val="퇴직공제부금산출근거"/>
      <sheetName val="원가계산"/>
      <sheetName val="장기차입금"/>
      <sheetName val="電源計画"/>
      <sheetName val="진행 DATA (2)"/>
      <sheetName val="시설장비"/>
      <sheetName val="전도금_(정산내역)"/>
      <sheetName val="업무처리전"/>
      <sheetName val="실행(표지,갑,을)"/>
      <sheetName val="참조"/>
      <sheetName val="ELECTRIC"/>
      <sheetName val="형틀물량집계(부재별)"/>
      <sheetName val="형틀물량집계(내역별)"/>
      <sheetName val="입찰내역 발주처 양식"/>
      <sheetName val="단면치수"/>
      <sheetName val="일위"/>
      <sheetName val="견"/>
      <sheetName val="소총괄표1"/>
      <sheetName val="8.PILE  (돌출)"/>
      <sheetName val="중기비"/>
      <sheetName val="산#3-2"/>
      <sheetName val="산#3-2-2"/>
      <sheetName val="Open"/>
      <sheetName val="预算"/>
      <sheetName val="당진1,2호기전선관설치및접지4차공사내역서-을지"/>
      <sheetName val="구리토평1전기"/>
      <sheetName val="수지예산"/>
      <sheetName val="1.취수장"/>
      <sheetName val="20관리비율"/>
      <sheetName val="총괄내역서"/>
      <sheetName val="건축공사 집계표"/>
      <sheetName val="단면가정"/>
      <sheetName val="덕전리"/>
      <sheetName val="마산방향"/>
      <sheetName val="부대tu"/>
      <sheetName val="내역표지"/>
      <sheetName val="BID"/>
      <sheetName val="3.공통공사대비"/>
      <sheetName val="기준"/>
      <sheetName val="개소별수량산출"/>
      <sheetName val="전선 및 전선관"/>
      <sheetName val="DHEQSUPT"/>
      <sheetName val="내역서form"/>
      <sheetName val="별표 "/>
      <sheetName val="9811"/>
      <sheetName val="토목내역서 (도급단가)"/>
      <sheetName val="(실사조정)총괄"/>
      <sheetName val="기호"/>
      <sheetName val="본사공가현황"/>
      <sheetName val="공조기"/>
      <sheetName val="96노임기준"/>
      <sheetName val="요약&amp;결과"/>
      <sheetName val="입주현황"/>
      <sheetName val="Income Statement"/>
      <sheetName val="준검 내역서"/>
      <sheetName val="97 사업추정(WEKI)"/>
      <sheetName val="동호수배치도"/>
      <sheetName val="보유과세"/>
      <sheetName val="아파트"/>
      <sheetName val="R&amp;D"/>
      <sheetName val="전기변내역"/>
      <sheetName val="정렬"/>
      <sheetName val="스포회원매출"/>
      <sheetName val="RCF CLAIMED"/>
      <sheetName val="BSD (2)"/>
      <sheetName val="남평내역"/>
      <sheetName val="형틀물량집계표"/>
      <sheetName val="단중표"/>
      <sheetName val="재집"/>
      <sheetName val="직재"/>
      <sheetName val="업무계획1"/>
      <sheetName val="작업금지"/>
      <sheetName val="신심사"/>
      <sheetName val="본지사합"/>
      <sheetName val="Data Pembukaan_1.1"/>
      <sheetName val="Hardware"/>
      <sheetName val="첨부1-1"/>
      <sheetName val="예총"/>
      <sheetName val="const."/>
      <sheetName val="내역서(기계)"/>
      <sheetName val="전체항목"/>
      <sheetName val="간접비 총괄표"/>
      <sheetName val="수목데이타 "/>
      <sheetName val="남양주부대"/>
      <sheetName val="별표_"/>
      <sheetName val="일위대가 집계표"/>
      <sheetName val="공사원가계산서"/>
      <sheetName val="용산1(해보)"/>
      <sheetName val="기계경비(시간당)"/>
      <sheetName val="램머"/>
      <sheetName val="실행(ALT1)"/>
      <sheetName val="남대문빌딩"/>
      <sheetName val="저"/>
      <sheetName val="정산서 "/>
      <sheetName val="자동차폐수처리장"/>
      <sheetName val="STAFFSCHED "/>
      <sheetName val=" FURNACE현설"/>
      <sheetName val="EQUIP"/>
      <sheetName val="목포방향"/>
      <sheetName val="손실 노무비 단가 산출 근거"/>
      <sheetName val="연부97-1"/>
      <sheetName val="빗물받이(910-510-410)"/>
      <sheetName val="2-1Are別総括表"/>
      <sheetName val="初期値設定"/>
      <sheetName val="纏め表"/>
      <sheetName val="諸経費"/>
      <sheetName val="清水計算営業税率関連"/>
      <sheetName val="별제권_정리담보권"/>
      <sheetName val="TEL"/>
      <sheetName val="99년하반기"/>
      <sheetName val="산출서_견출(외벽)"/>
      <sheetName val="본관내역서"/>
      <sheetName val="252K444"/>
      <sheetName val="공사비증감"/>
      <sheetName val="콘크리트타설집계표"/>
      <sheetName val="카메라"/>
      <sheetName val="비율-종합"/>
      <sheetName val="본부별매출"/>
      <sheetName val="설계예시"/>
      <sheetName val="설계내역2"/>
      <sheetName val="토적표"/>
      <sheetName val="손익"/>
      <sheetName val="24분기"/>
      <sheetName val="수지(320%) (2)"/>
      <sheetName val="104동"/>
      <sheetName val="대목"/>
      <sheetName val="1. 작업일보"/>
      <sheetName val="계정과목_등1"/>
      <sheetName val="유첨3_적용기준"/>
      <sheetName val="STEEL_BOX_단면설계(SEC_8)"/>
      <sheetName val="환경기계공정표_(3)"/>
      <sheetName val="인건비_"/>
      <sheetName val="공사투입계획(변경결의)19_9"/>
      <sheetName val="노무비_월별지급현황19_9"/>
      <sheetName val="갑지(외주기성)19_9"/>
      <sheetName val="Data_Sheet"/>
      <sheetName val="Eq__Mobilization"/>
      <sheetName val="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/>
      <sheetData sheetId="466"/>
      <sheetData sheetId="467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 refreshError="1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1월"/>
      <sheetName val="2월"/>
      <sheetName val="3월"/>
      <sheetName val="합계"/>
      <sheetName val="1월분양"/>
      <sheetName val="2월분양"/>
      <sheetName val="3월분양"/>
      <sheetName val="부가세현황"/>
      <sheetName val="Module1"/>
      <sheetName val="Module3"/>
      <sheetName val="Module2"/>
      <sheetName val="Module5"/>
      <sheetName val="부가세집계"/>
      <sheetName val="1월취하집계(민간II)"/>
      <sheetName val="7월총괄"/>
      <sheetName val="10월총괄"/>
      <sheetName val="글"/>
      <sheetName val="Sheet1"/>
      <sheetName val="#REF"/>
      <sheetName val="마산월령동골조물량변경"/>
      <sheetName val="설계서"/>
      <sheetName val="결재란"/>
      <sheetName val="본사업"/>
      <sheetName val="상반기손익차2총괄"/>
      <sheetName val="공통비(전체)"/>
      <sheetName val="97 사업추정(WEKI)"/>
      <sheetName val="1.설계조건"/>
      <sheetName val="빗물받이(910-510-410)"/>
      <sheetName val="토목공사"/>
      <sheetName val="경비2내역"/>
      <sheetName val="수정시산표"/>
      <sheetName val="주관사업"/>
      <sheetName val="단가표"/>
      <sheetName val="영업소실적"/>
      <sheetName val="VXXXXXXX"/>
      <sheetName val="HDECGTY"/>
      <sheetName val="Sheet4"/>
      <sheetName val="내역서"/>
      <sheetName val="삭제금지단가"/>
      <sheetName val="일반부표"/>
      <sheetName val="P.M 별"/>
      <sheetName val="청산공사"/>
      <sheetName val="일위대가"/>
      <sheetName val="분양율"/>
      <sheetName val="일일수금"/>
      <sheetName val="코드"/>
      <sheetName val="Sheet6"/>
      <sheetName val="001"/>
      <sheetName val="회사정보"/>
      <sheetName val="인원계획-미화"/>
      <sheetName val="변수"/>
      <sheetName val="노무비"/>
      <sheetName val="신봉개별지장물조사서양식"/>
      <sheetName val="지장물사진"/>
      <sheetName val="본부별매출"/>
      <sheetName val="분양설계데이타"/>
      <sheetName val="토지조서"/>
      <sheetName val="입찰"/>
      <sheetName val="현경"/>
      <sheetName val="입찰안"/>
      <sheetName val="건축내역"/>
      <sheetName val="I一般比"/>
      <sheetName val="설비단가표"/>
      <sheetName val="설계조건"/>
      <sheetName val="토공계산서(부체도로)"/>
      <sheetName val="분전함신설"/>
      <sheetName val="접지1종"/>
      <sheetName val="적상기초자료"/>
      <sheetName val="정보"/>
      <sheetName val="공동"/>
      <sheetName val="단독"/>
      <sheetName val="담보평가"/>
      <sheetName val="Sheet1 (2)"/>
      <sheetName val="분당임차변경"/>
      <sheetName val="현금"/>
      <sheetName val="투입실적"/>
      <sheetName val="기초일위"/>
      <sheetName val="유림골조"/>
      <sheetName val="노임단가"/>
      <sheetName val="실행(표지,갑,을)"/>
      <sheetName val="대비"/>
      <sheetName val="BRICK"/>
      <sheetName val="형틀공사"/>
      <sheetName val="사리부설"/>
      <sheetName val="내역"/>
      <sheetName val="수목표준대가"/>
      <sheetName val="MH_생산"/>
      <sheetName val="단가"/>
      <sheetName val="남양시작동010313100%"/>
      <sheetName val="수입"/>
      <sheetName val="2단계"/>
      <sheetName val="투찰"/>
      <sheetName val="자재(원원+원대)"/>
      <sheetName val="수주실적0709"/>
      <sheetName val="Breakdown 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상품입고집계"/>
      <sheetName val="업무분장 "/>
      <sheetName val="공통"/>
      <sheetName val="B"/>
      <sheetName val="산업은행 경영지표"/>
      <sheetName val="잉여금"/>
      <sheetName val="108.수선비"/>
      <sheetName val="현금"/>
      <sheetName val="당초"/>
      <sheetName val="집계표"/>
      <sheetName val="JOB Assign"/>
      <sheetName val="현금및현금등가물"/>
      <sheetName val="부재료입고집계"/>
      <sheetName val="2010년"/>
      <sheetName val="주beam"/>
      <sheetName val="관리1"/>
      <sheetName val="95WBS"/>
      <sheetName val="9월누계해외"/>
      <sheetName val="조회서"/>
      <sheetName val="주소"/>
      <sheetName val="건물"/>
      <sheetName val="수정시산표"/>
      <sheetName val="년말집계"/>
      <sheetName val="9-1차이내역"/>
      <sheetName val="정산표"/>
      <sheetName val="RAW9701"/>
      <sheetName val="Sheet1"/>
      <sheetName val="공정코드"/>
      <sheetName val="업무연락"/>
      <sheetName val="월별매출"/>
      <sheetName val="회사정보"/>
      <sheetName val="CC"/>
      <sheetName val="경영비율 "/>
      <sheetName val="첨1.2"/>
      <sheetName val="공통부대비"/>
      <sheetName val="#REF"/>
      <sheetName val="STAND20"/>
      <sheetName val="시험연구비상각"/>
      <sheetName val="내역"/>
      <sheetName val="1995년 섹터별 매출"/>
      <sheetName val="현금흐름표"/>
      <sheetName val="Krw"/>
      <sheetName val="2.예금"/>
      <sheetName val="95년12월말"/>
      <sheetName val="상품매출"/>
      <sheetName val="재고 "/>
      <sheetName val="유림골조"/>
      <sheetName val="실행철강하도"/>
      <sheetName val="3공장_Lot_Card"/>
      <sheetName val="LIST"/>
      <sheetName val="3.판관비명세서"/>
      <sheetName val="7.3 DY팀"/>
      <sheetName val="기타코드"/>
      <sheetName val="수입수불"/>
      <sheetName val="급여표"/>
      <sheetName val="공제"/>
      <sheetName val="24.보증금(전신전화가입권)"/>
      <sheetName val="기계기구"/>
      <sheetName val="보고"/>
      <sheetName val="TEMP2"/>
      <sheetName val="TEMP1"/>
      <sheetName val="기본"/>
      <sheetName val="XREF"/>
      <sheetName val="유효성검사"/>
      <sheetName val="세율"/>
      <sheetName val="붙임2-1  지급조서명세서(2001년분)"/>
      <sheetName val="홍원식"/>
      <sheetName val="99급여표"/>
      <sheetName val="9609Aß"/>
      <sheetName val="출입자명단"/>
      <sheetName val="1안98Billing"/>
      <sheetName val="3_판관비명세서"/>
      <sheetName val="산업은행_경영지표"/>
      <sheetName val="108_수선비"/>
      <sheetName val="JOB_Assign"/>
      <sheetName val="재고_"/>
      <sheetName val="24_보증금(전신전화가입권)"/>
      <sheetName val="교통대책내역"/>
      <sheetName val="IDONG"/>
      <sheetName val="보험금"/>
      <sheetName val="YOEMAGUM"/>
      <sheetName val="표준대차대조표(1)"/>
      <sheetName val="매출"/>
      <sheetName val="1997"/>
      <sheetName val="송전기본"/>
      <sheetName val="#3-1 保有 有價證券 評價 及び 評價(X-23)"/>
      <sheetName val="Config"/>
      <sheetName val="work"/>
      <sheetName val="경비공통"/>
      <sheetName val="10월판관"/>
      <sheetName val="기성이력현황"/>
      <sheetName val="F3"/>
      <sheetName val="F12"/>
      <sheetName val="손익계산서"/>
      <sheetName val="지급이자"/>
      <sheetName val="외상매출금현황-수정분 A2"/>
      <sheetName val="금액집계(리포트)"/>
      <sheetName val="부서실적"/>
      <sheetName val="Eq. Mobilization"/>
      <sheetName val="98지급계획"/>
      <sheetName val="자료입력"/>
      <sheetName val="건축"/>
      <sheetName val="포장공사"/>
      <sheetName val="대차대조표-공시형"/>
      <sheetName val="채널별"/>
      <sheetName val="재무가정"/>
      <sheetName val="상가매매0115"/>
      <sheetName val="상가임대0115"/>
      <sheetName val="인원계획-미화"/>
      <sheetName val="노무비"/>
      <sheetName val="외화"/>
      <sheetName val="공사내역"/>
      <sheetName val="의왕F사"/>
      <sheetName val="가공사"/>
      <sheetName val="표지"/>
      <sheetName val="토목"/>
      <sheetName val="유형고정"/>
      <sheetName val="감가상각"/>
      <sheetName val="major"/>
      <sheetName val="환율"/>
      <sheetName val="CAUDIT"/>
      <sheetName val="p2-1"/>
      <sheetName val="Reckitt"/>
      <sheetName val="CJE집계"/>
      <sheetName val="항목"/>
      <sheetName val="수입비용1021"/>
      <sheetName val="현장코드"/>
      <sheetName val="대환취급"/>
      <sheetName val="108_수선비1"/>
      <sheetName val="산업은행_경영지표1"/>
      <sheetName val="JOB_Assign1"/>
      <sheetName val="재고_1"/>
      <sheetName val="붙임2-1__지급조서명세서(2001년분)"/>
      <sheetName val="경영비율_"/>
      <sheetName val="#3-1_保有_有價證券_評價_及び_評價(X-23)"/>
      <sheetName val="1995년_섹터별_매출"/>
      <sheetName val="첨1_2"/>
      <sheetName val="2_예금"/>
      <sheetName val="7_3_DY팀"/>
      <sheetName val="Eq__Mobilization"/>
      <sheetName val="Major Shareholder"/>
      <sheetName val="시산표"/>
      <sheetName val="분개장·원장"/>
      <sheetName val="#2 BSPL"/>
      <sheetName val="CHECK"/>
      <sheetName val="10한빛"/>
      <sheetName val="직무급테이블"/>
      <sheetName val="발생집계"/>
      <sheetName val="공사별5 "/>
      <sheetName val="입금액"/>
      <sheetName val="기초코드"/>
      <sheetName val="49평형15층이하"/>
      <sheetName val="실적분석"/>
      <sheetName val="총내용"/>
      <sheetName val="설계내역서"/>
      <sheetName val="코드"/>
      <sheetName val="보험계리보고서"/>
      <sheetName val="PIPE(UG)내역"/>
      <sheetName val="대차"/>
      <sheetName val="진천"/>
      <sheetName val="매출채권"/>
      <sheetName val="레포트"/>
      <sheetName val="당기추가완료"/>
      <sheetName val="24_보증금(전신전화가입권)1"/>
      <sheetName val="3_판관비명세서1"/>
      <sheetName val="외상매출금현황-수정분_A2"/>
      <sheetName val="공사별5_"/>
      <sheetName val="Sheet2"/>
      <sheetName val="tsuga"/>
      <sheetName val="FOOD&amp;BEVERAGE"/>
      <sheetName val="A1"/>
      <sheetName val="장기차입금"/>
      <sheetName val="A"/>
      <sheetName val="data"/>
      <sheetName val="생산매출 (3)"/>
      <sheetName val="생산현황"/>
      <sheetName val="부서자료"/>
      <sheetName val="업무분장_"/>
      <sheetName val="간접비 총괄표"/>
      <sheetName val="Summary"/>
      <sheetName val="지급자재"/>
      <sheetName val="부문별재고 (상품)"/>
      <sheetName val="2.대외공문"/>
      <sheetName val="Sheet4"/>
      <sheetName val="조명시설"/>
      <sheetName val="공통(20-91)"/>
      <sheetName val="요약BS"/>
      <sheetName val="#2_BSPL"/>
      <sheetName val="Major_Shareholder"/>
      <sheetName val="삭제하지마세요!!"/>
      <sheetName val="지사인원사무실"/>
      <sheetName val="일위대가목차"/>
      <sheetName val="최종전사PL"/>
      <sheetName val="수탁현황"/>
      <sheetName val="참조"/>
      <sheetName val="HWGSI"/>
      <sheetName val="추정손익"/>
      <sheetName val="투자총괄"/>
      <sheetName val="Mar"/>
      <sheetName val="분양가"/>
      <sheetName val="퇴직금"/>
      <sheetName val="토공사"/>
      <sheetName val="간접비_총괄표"/>
      <sheetName val="부문별재고_(상품)"/>
      <sheetName val="2_대외공문"/>
      <sheetName val="산업은행_경영지표2"/>
      <sheetName val="108_수선비2"/>
      <sheetName val="JOB_Assign2"/>
      <sheetName val="재고_2"/>
      <sheetName val="첨1_21"/>
      <sheetName val="경영비율_1"/>
      <sheetName val="2_예금1"/>
      <sheetName val="Eq__Mobilization1"/>
      <sheetName val="붙임2-1__지급조서명세서(2001년분)1"/>
      <sheetName val="간접비_총괄표1"/>
      <sheetName val="1995년_섹터별_매출1"/>
      <sheetName val="부문별재고_(상품)1"/>
      <sheetName val="2_대외공문1"/>
      <sheetName val="24_보증금(전신전화가입권)2"/>
      <sheetName val="#3-1_保有_有價證券_評價_及び_評價(X-23)1"/>
      <sheetName val="7_3_DY팀1"/>
      <sheetName val="3_판관비명세서2"/>
      <sheetName val="업무분장_1"/>
      <sheetName val="외상매출금현황-수정분_A21"/>
      <sheetName val="Major_Shareholder1"/>
      <sheetName val="#2_BSPL1"/>
      <sheetName val="공사별5_1"/>
      <sheetName val="00'미수"/>
      <sheetName val="민감도"/>
      <sheetName val="출금실적"/>
      <sheetName val="내역서"/>
      <sheetName val="일반물자(한국통신)"/>
      <sheetName val="⑤항목별1"/>
      <sheetName val="리스(CIF)산출"/>
      <sheetName val="***********************00"/>
      <sheetName val="과거실적"/>
      <sheetName val="빌딩코드"/>
      <sheetName val="$bhp"/>
      <sheetName val="생산직"/>
      <sheetName val="9.1 Lease Type"/>
      <sheetName val="선비명세2"/>
      <sheetName val="받을어음"/>
      <sheetName val="98CKL"/>
      <sheetName val="용접집계"/>
      <sheetName val="정상 출하집계"/>
      <sheetName val="도기류"/>
      <sheetName val="수정용피벗"/>
      <sheetName val="A2"/>
      <sheetName val="안전보호구98"/>
      <sheetName val="업무용유지비실적"/>
      <sheetName val="賃料等一覧"/>
      <sheetName val="설-원가"/>
      <sheetName val="설치자재"/>
      <sheetName val="단중"/>
      <sheetName val="공사별5"/>
      <sheetName val="_______________________00"/>
      <sheetName val="SI100600"/>
      <sheetName val="투자효율분석"/>
      <sheetName val="설계명세서"/>
      <sheetName val="정상_출하집계"/>
      <sheetName val="가. 2006년 사업계획서"/>
      <sheetName val="예총"/>
      <sheetName val="미정산비용(원유)"/>
      <sheetName val="미정산비용(수입상품)"/>
      <sheetName val="원유입고집계"/>
      <sheetName val="Core CPI"/>
      <sheetName val="5- 2"/>
      <sheetName val="제조98"/>
      <sheetName val="열받는소급분"/>
      <sheetName val="현장"/>
      <sheetName val="대구파크쿨링타워"/>
      <sheetName val="수리결과"/>
      <sheetName val="99년하반기"/>
      <sheetName val="입찰보고"/>
      <sheetName val="FAB별"/>
      <sheetName val="단기차입금(200006)"/>
      <sheetName val="갑지(추정)"/>
      <sheetName val="목동세대 산출근거"/>
      <sheetName val="금형비"/>
      <sheetName val="신구계정대사표"/>
      <sheetName val="주재원연락처"/>
      <sheetName val="입찰"/>
      <sheetName val="현경"/>
      <sheetName val="계열사현황종합"/>
      <sheetName val="주주명부&lt;끝&gt;"/>
      <sheetName val="BLGR"/>
      <sheetName val="영업점별목표산출"/>
      <sheetName val="특수채 2"/>
      <sheetName val="A230 수정사항집계표"/>
      <sheetName val="갑지"/>
      <sheetName val="CASH"/>
      <sheetName val="기본자료"/>
      <sheetName val="CF(M)"/>
      <sheetName val="108_수선비3"/>
      <sheetName val="산업은행_경영지표3"/>
      <sheetName val="JOB_Assign3"/>
      <sheetName val="재고_3"/>
      <sheetName val="1995년_섹터별_매출2"/>
      <sheetName val="붙임2-1__지급조서명세서(2001년분)2"/>
      <sheetName val="24_보증금(전신전화가입권)3"/>
      <sheetName val="#3-1_保有_有價證券_評價_及び_評價(X-23)2"/>
      <sheetName val="경영비율_2"/>
      <sheetName val="첨1_22"/>
      <sheetName val="2_예금2"/>
      <sheetName val="7_3_DY팀2"/>
      <sheetName val="3_판관비명세서3"/>
      <sheetName val="Eq__Mobilization2"/>
      <sheetName val="업무분장_2"/>
      <sheetName val="외상매출금현황-수정분_A22"/>
      <sheetName val="#2_BSPL2"/>
      <sheetName val="Major_Shareholder2"/>
      <sheetName val="공사별5_2"/>
      <sheetName val="간접비_총괄표2"/>
      <sheetName val="부문별재고_(상품)2"/>
      <sheetName val="2_대외공문2"/>
      <sheetName val="상불"/>
      <sheetName val="신부서코드"/>
      <sheetName val="2.호선별예상실적"/>
      <sheetName val="Cover"/>
      <sheetName val="T&amp;E-2019FCST2"/>
      <sheetName val="T&amp;E-2020ABP"/>
      <sheetName val="Other Expenses"/>
      <sheetName val="2019FCST"/>
      <sheetName val="2020ABP"/>
      <sheetName val="J"/>
      <sheetName val="차입금상환표"/>
      <sheetName val="Lead"/>
      <sheetName val="수익분배율"/>
      <sheetName val="순매출액"/>
      <sheetName val="서류합격_기본사항"/>
      <sheetName val="科目名称表"/>
      <sheetName val="fwd"/>
      <sheetName val="실적"/>
      <sheetName val="총요약"/>
      <sheetName val="下조건"/>
      <sheetName val="기준"/>
      <sheetName val="1월"/>
      <sheetName val="프로젝트관리대장"/>
      <sheetName val="생산매출_(3)"/>
      <sheetName val="조정내역"/>
      <sheetName val="미지급비용"/>
      <sheetName val="isbg"/>
      <sheetName val="수정안"/>
      <sheetName val="CHECK LIST"/>
      <sheetName val="15100"/>
      <sheetName val="여의도점"/>
      <sheetName val="범한여행"/>
      <sheetName val="주요재무비율"/>
      <sheetName val="2C1"/>
      <sheetName val="산전수불집계표"/>
      <sheetName val="CODE"/>
      <sheetName val="リスト"/>
      <sheetName val="京王井の頭線"/>
      <sheetName val="王子一覧"/>
      <sheetName val="SH_work"/>
      <sheetName val="(Monthly)"/>
      <sheetName val="A-General"/>
      <sheetName val="4. Leverage - out"/>
      <sheetName val="抽出／ビル実績データ"/>
      <sheetName val="入力準備"/>
      <sheetName val="7月入出金（西洞院）"/>
      <sheetName val="②現行契約・潜在総収益"/>
      <sheetName val="选择报表"/>
      <sheetName val="개인법인구분"/>
      <sheetName val="償却資産税"/>
      <sheetName val="土地ﾃﾞｰﾀ"/>
      <sheetName val="収支"/>
      <sheetName val="WORKER"/>
      <sheetName val="보험"/>
      <sheetName val="3-4현"/>
      <sheetName val="3-3현"/>
      <sheetName val="전체지분도"/>
      <sheetName val="2007년"/>
      <sheetName val="TA10"/>
      <sheetName val="backdata"/>
      <sheetName val="일반사항"/>
      <sheetName val="정상_출하집계1"/>
      <sheetName val="9_1_Lease_Type"/>
      <sheetName val="가__2006년_사업계획서"/>
      <sheetName val="Core_CPI"/>
      <sheetName val="5-_2"/>
      <sheetName val="A230_수정사항집계표"/>
      <sheetName val="목동세대_산출근거"/>
      <sheetName val="Main"/>
      <sheetName val="09.적용환율"/>
      <sheetName val="예산총괄"/>
      <sheetName val="220 (2)"/>
      <sheetName val="실행(1)"/>
      <sheetName val="누TB"/>
      <sheetName val="화폐별"/>
      <sheetName val="총괄표"/>
      <sheetName val="23.보증금(전신전화가입권)"/>
      <sheetName val="SCFP94"/>
      <sheetName val="당좌차월"/>
      <sheetName val="대차대조표"/>
      <sheetName val="TEMP"/>
      <sheetName val="재고"/>
      <sheetName val="2.개발부서별"/>
      <sheetName val="95-96매출액등"/>
      <sheetName val="XLUTIL"/>
      <sheetName val="借積IQ"/>
      <sheetName val="2014현금수납"/>
      <sheetName val="사업실적"/>
      <sheetName val="세무서코드"/>
      <sheetName val="XL4Poppy"/>
      <sheetName val="투자자산명세서"/>
      <sheetName val="삼양사"/>
      <sheetName val="사장단"/>
      <sheetName val="경비96(장항)"/>
      <sheetName val="111"/>
      <sheetName val="Sum"/>
      <sheetName val="수수료"/>
      <sheetName val="지수"/>
      <sheetName val="4__Leverage_-_out"/>
      <sheetName val="Other_Expenses"/>
      <sheetName val="특수채_2"/>
      <sheetName val="Rent Roll"/>
      <sheetName val="新規"/>
      <sheetName val="지점장"/>
      <sheetName val="미착품"/>
      <sheetName val="유형고정자산 명세"/>
      <sheetName val="SSPB(입력)"/>
      <sheetName val="数量金额总账"/>
      <sheetName val="표지 (2)"/>
      <sheetName val="종합"/>
      <sheetName val="종합(상세현황)수정"/>
      <sheetName val="종합(상세현황)수정 (2)"/>
      <sheetName val="종합(상세현황)"/>
      <sheetName val="2월 사업계획 미달내용"/>
      <sheetName val="2월 월계획 미달내용"/>
      <sheetName val="주행"/>
      <sheetName val="외주현황.wq1"/>
      <sheetName val="3.일반사상"/>
      <sheetName val="PC%계산"/>
      <sheetName val="건설중인자산(기타)"/>
      <sheetName val="위스키3"/>
      <sheetName val="주류전체2"/>
      <sheetName val="BS"/>
      <sheetName val="월별수입"/>
      <sheetName val="2001생산"/>
      <sheetName val="ORIGN"/>
      <sheetName val="S&amp;R"/>
      <sheetName val="입찰안"/>
      <sheetName val="자바라1"/>
      <sheetName val="생지_재료비"/>
      <sheetName val="케익_재료비"/>
      <sheetName val="재공품(3)"/>
      <sheetName val="표준원가표(2)"/>
      <sheetName val="학교"/>
      <sheetName val="#REF!"/>
      <sheetName val="detail"/>
      <sheetName val="일위대가표"/>
      <sheetName val="단가산출"/>
      <sheetName val="보증금(전신전화가입권)"/>
      <sheetName val="source"/>
      <sheetName val="108_수선비4"/>
      <sheetName val="산업은행_경영지표4"/>
      <sheetName val="JOB_Assign4"/>
      <sheetName val="재고_4"/>
      <sheetName val="붙임2-1__지급조서명세서(2001년분)3"/>
      <sheetName val="24_보증금(전신전화가입권)4"/>
      <sheetName val="경영비율_3"/>
      <sheetName val="첨1_23"/>
      <sheetName val="2_예금3"/>
      <sheetName val="3_판관비명세서4"/>
      <sheetName val="외상매출금현황-수정분_A23"/>
      <sheetName val="1995년_섹터별_매출3"/>
      <sheetName val="#2_BSPL3"/>
      <sheetName val="7_3_DY팀3"/>
      <sheetName val="#3-1_保有_有價證券_評價_及び_評價(X-23)3"/>
      <sheetName val="Eq__Mobilization3"/>
      <sheetName val="Major_Shareholder3"/>
      <sheetName val="업무분장_3"/>
      <sheetName val="간접비_총괄표3"/>
      <sheetName val="부문별재고_(상품)3"/>
      <sheetName val="2_대외공문3"/>
      <sheetName val="공사별5_3"/>
      <sheetName val="생산매출_(3)1"/>
      <sheetName val="2_호선별예상실적"/>
      <sheetName val="23_보증금(전신전화가입권)"/>
      <sheetName val="2_개발부서별"/>
      <sheetName val="재고보고"/>
      <sheetName val="정상_출하집계2"/>
      <sheetName val="Core_CPI1"/>
      <sheetName val="5-_21"/>
      <sheetName val="가__2006년_사업계획서1"/>
      <sheetName val="9_1_Lease_Type1"/>
      <sheetName val="A230_수정사항집계표1"/>
      <sheetName val="목동세대_산출근거1"/>
      <sheetName val="품의양"/>
      <sheetName val="추이도"/>
      <sheetName val="LG-Fuso"/>
      <sheetName val="효율계획(당월)"/>
      <sheetName val="은행"/>
      <sheetName val="Revised PEGS98"/>
      <sheetName val="抽出_ビル実績データ"/>
      <sheetName val="영업소 자재별 계획"/>
      <sheetName val="기준품셈"/>
      <sheetName val="총괄-1"/>
      <sheetName val="내구품질향상1"/>
      <sheetName val="구미2월"/>
      <sheetName val="안양2월"/>
      <sheetName val="04고객별 담당자"/>
      <sheetName val="피엘"/>
      <sheetName val="하이스캔(내수용)"/>
      <sheetName val="상품+제품+원재(수출)"/>
      <sheetName val="요약"/>
      <sheetName val="프로젝트목록"/>
      <sheetName val="소속순"/>
      <sheetName val="사원명부"/>
      <sheetName val="매출이익011h"/>
      <sheetName val="외화가수금"/>
      <sheetName val="MIJIBI"/>
      <sheetName val="laroux"/>
      <sheetName val="Rejects PPM"/>
      <sheetName val="RoadMap"/>
      <sheetName val="Action Items"/>
      <sheetName val="QOS RPPM"/>
      <sheetName val="Service Parts Rejects (RPPM)"/>
      <sheetName val="Freight Issues"/>
      <sheetName val="Rejects_PPM"/>
      <sheetName val="Action_Items"/>
      <sheetName val="Service_Parts_Rejects_(RPPM)"/>
      <sheetName val="Area Support"/>
      <sheetName val="ppmchar"/>
      <sheetName val="CONTROL"/>
      <sheetName val="Adaytum2"/>
      <sheetName val="excel-to-adaytum"/>
      <sheetName val="excel-to-excel"/>
      <sheetName val="M1A"/>
      <sheetName val="M1B"/>
      <sheetName val="M2A"/>
      <sheetName val="M2A (CON)"/>
      <sheetName val="M2S"/>
      <sheetName val="M2O"/>
      <sheetName val="M2P"/>
      <sheetName val="M2C"/>
      <sheetName val="M4A"/>
      <sheetName val="M4B"/>
      <sheetName val="M6A(LC)"/>
      <sheetName val="M6A(USD)"/>
      <sheetName val="M6A(USD) cons"/>
      <sheetName val="M6A(LC) GAIT"/>
      <sheetName val="M6A(USD) GAIT"/>
      <sheetName val="M6B"/>
      <sheetName val="M8A"/>
      <sheetName val="M8A (2)"/>
      <sheetName val="M8B"/>
      <sheetName val="M10A"/>
      <sheetName val="M10B"/>
      <sheetName val="M11A"/>
      <sheetName val="M11B"/>
      <sheetName val="M12"/>
      <sheetName val="M14A"/>
      <sheetName val="M14B"/>
      <sheetName val="M14D"/>
      <sheetName val="M14 EF"/>
      <sheetName val="M15T"/>
      <sheetName val="M16A"/>
      <sheetName val="M16F"/>
      <sheetName val="M16F(2)"/>
      <sheetName val="M16F(3)"/>
      <sheetName val="M16F(4)"/>
      <sheetName val="M17"/>
      <sheetName val="M18"/>
      <sheetName val="P09A"/>
      <sheetName val="P09A USD"/>
      <sheetName val="D1"/>
      <sheetName val="D2"/>
      <sheetName val="품목별 매출액"/>
      <sheetName val="품목별 매출원가"/>
      <sheetName val="수정사항"/>
      <sheetName val="계산정보"/>
      <sheetName val="원재료"/>
      <sheetName val="0901_0929"/>
      <sheetName val="1.매출추정"/>
      <sheetName val="2.급여추정"/>
      <sheetName val="SPEC"/>
      <sheetName val="98계획(기초)"/>
      <sheetName val="전기"/>
      <sheetName val="산업은행_경영지표5"/>
      <sheetName val="108_수선비5"/>
      <sheetName val="JOB_Assign5"/>
      <sheetName val="업무분장_4"/>
      <sheetName val="재고_5"/>
      <sheetName val="붙임2-1__지급조서명세서(2001년분)4"/>
      <sheetName val="경영비율_4"/>
      <sheetName val="24_보증금(전신전화가입권)5"/>
      <sheetName val="#3-1_保有_有價證券_評價_及び_評價(X-23)4"/>
      <sheetName val="첨1_24"/>
      <sheetName val="2_예금4"/>
      <sheetName val="1995년_섹터별_매출4"/>
      <sheetName val="3_판관비명세서5"/>
      <sheetName val="외상매출금현황-수정분_A24"/>
      <sheetName val="7_3_DY팀4"/>
      <sheetName val="Eq__Mobilization4"/>
      <sheetName val="간접비_총괄표4"/>
      <sheetName val="부문별재고_(상품)4"/>
      <sheetName val="2_대외공문4"/>
      <sheetName val="Major_Shareholder4"/>
      <sheetName val="#2_BSPL4"/>
      <sheetName val="공사별5_4"/>
      <sheetName val="생산매출_(3)2"/>
      <sheetName val="4__Leverage_-_out1"/>
      <sheetName val="특수채_21"/>
      <sheetName val="2_호선별예상실적1"/>
      <sheetName val="Other_Expenses1"/>
      <sheetName val="선급법인세"/>
      <sheetName val="영업보증금"/>
      <sheetName val="유림콘도"/>
      <sheetName val="수주추정"/>
      <sheetName val="PROCURE"/>
      <sheetName val="하조서"/>
      <sheetName val="입력자료"/>
      <sheetName val="200104수불"/>
      <sheetName val="P&amp;L"/>
      <sheetName val="피혁 TYI"/>
      <sheetName val="JOB_Assign6"/>
      <sheetName val="산업은행_경영지표6"/>
      <sheetName val="108_수선비6"/>
      <sheetName val="경영비율_5"/>
      <sheetName val="붙임2-1__지급조서명세서(2001년분)5"/>
      <sheetName val="재고_6"/>
      <sheetName val="첨1_25"/>
      <sheetName val="2_예금5"/>
      <sheetName val="1995년_섹터별_매출5"/>
      <sheetName val="공사별5_5"/>
      <sheetName val="3_판관비명세서6"/>
      <sheetName val="7_3_DY팀5"/>
      <sheetName val="24_보증금(전신전화가입권)6"/>
      <sheetName val="업무분장_5"/>
      <sheetName val="#3-1_保有_有價證券_評價_及び_評價(X-23)5"/>
      <sheetName val="외상매출금현황-수정분_A25"/>
      <sheetName val="Eq__Mobilization5"/>
      <sheetName val="#2_BSPL5"/>
      <sheetName val="Major_Shareholder5"/>
      <sheetName val="간접비_총괄표5"/>
      <sheetName val="부문별재고_(상품)5"/>
      <sheetName val="2_대외공문5"/>
      <sheetName val="생산매출_(3)3"/>
      <sheetName val="정상_출하집계3"/>
      <sheetName val="가__2006년_사업계획서2"/>
      <sheetName val="Core_CPI2"/>
      <sheetName val="5-_22"/>
      <sheetName val="9_1_Lease_Type2"/>
      <sheetName val="A230_수정사항집계표2"/>
      <sheetName val="목동세대_산출근거2"/>
      <sheetName val="특수채_22"/>
      <sheetName val="Other_Expenses2"/>
      <sheetName val="2_호선별예상실적2"/>
      <sheetName val="4__Leverage_-_out2"/>
      <sheetName val="23_보증금(전신전화가입권)2"/>
      <sheetName val="2_개발부서별2"/>
      <sheetName val="표지_(2)1"/>
      <sheetName val="종합(상세현황)수정_(2)1"/>
      <sheetName val="2월_사업계획_미달내용1"/>
      <sheetName val="2월_월계획_미달내용1"/>
      <sheetName val="외주현황_wq11"/>
      <sheetName val="3_일반사상1"/>
      <sheetName val="09_적용환율1"/>
      <sheetName val="220_(2)1"/>
      <sheetName val="유형고정자산_명세1"/>
      <sheetName val="CHECK_LIST1"/>
      <sheetName val="23_보증금(전신전화가입권)1"/>
      <sheetName val="2_개발부서별1"/>
      <sheetName val="표지_(2)"/>
      <sheetName val="종합(상세현황)수정_(2)"/>
      <sheetName val="2월_사업계획_미달내용"/>
      <sheetName val="2월_월계획_미달내용"/>
      <sheetName val="외주현황_wq1"/>
      <sheetName val="3_일반사상"/>
      <sheetName val="09_적용환율"/>
      <sheetName val="220_(2)"/>
      <sheetName val="유형고정자산_명세"/>
      <sheetName val="CHECK_LIST"/>
      <sheetName val="영업소_자재별_계획"/>
      <sheetName val="보조재료비"/>
      <sheetName val="재료비"/>
      <sheetName val="2005원가집계표(합계)"/>
      <sheetName val="원가집계표(월별)"/>
      <sheetName val="입력란"/>
      <sheetName val="출력1부"/>
      <sheetName val="출력2부"/>
      <sheetName val="노임단가"/>
      <sheetName val="Cost Reduction"/>
      <sheetName val="WA行"/>
      <sheetName val="소방사항"/>
      <sheetName val="아이콘"/>
      <sheetName val="Revised_PEGS98"/>
      <sheetName val="04고객별_담당자"/>
      <sheetName val="품목별_매출액"/>
      <sheetName val="품목별_매출원가"/>
      <sheetName val="1_매출추정"/>
      <sheetName val="2_급여추정"/>
      <sheetName val="Rent_Roll"/>
      <sheetName val="Rejects_PPM1"/>
      <sheetName val="Action_Items1"/>
      <sheetName val="QOS_RPPM"/>
      <sheetName val="Service_Parts_Rejects_(RPPM)1"/>
      <sheetName val="Freight_Issues"/>
      <sheetName val="Area_Support"/>
      <sheetName val="M2A_(CON)"/>
      <sheetName val="M6A(USD)_cons"/>
      <sheetName val="M6A(LC)_GAIT"/>
      <sheetName val="M6A(USD)_GAIT"/>
      <sheetName val="M8A_(2)"/>
      <sheetName val="M14_EF"/>
      <sheetName val="P09A_USD"/>
      <sheetName val="3"/>
      <sheetName val="4"/>
      <sheetName val="지급어음(일별)"/>
      <sheetName val="Toolbox"/>
      <sheetName val="科目及期初余额设定"/>
      <sheetName val="評価書"/>
      <sheetName val="Fund IV- Yieldwide Ltd"/>
      <sheetName val="Buyside P&amp;L"/>
      <sheetName val="이름표"/>
      <sheetName val="Disclosure"/>
      <sheetName val="Int-Invst"/>
      <sheetName val="지역개발"/>
      <sheetName val="손익계산서(SJ)"/>
      <sheetName val="95감가상각"/>
      <sheetName val="사업계획(완)"/>
      <sheetName val="MC산출근거"/>
      <sheetName val="GC산출"/>
      <sheetName val="상선가"/>
      <sheetName val="BIDV"/>
      <sheetName val=" annual balance "/>
      <sheetName val="Res"/>
      <sheetName val="업무분장_6"/>
      <sheetName val="108_수선비7"/>
      <sheetName val="산업은행_경영지표7"/>
      <sheetName val="JOB_Assign7"/>
      <sheetName val="재고_7"/>
      <sheetName val="붙임2-1__지급조서명세서(2001년분)6"/>
      <sheetName val="24_보증금(전신전화가입권)7"/>
      <sheetName val="#3-1_保有_有價證券_評價_及び_評價(X-23)6"/>
      <sheetName val="경영비율_6"/>
      <sheetName val="1995년_섹터별_매출6"/>
      <sheetName val="첨1_26"/>
      <sheetName val="2_예금6"/>
      <sheetName val="7_3_DY팀6"/>
      <sheetName val="3_판관비명세서7"/>
      <sheetName val="Eq__Mobilization6"/>
      <sheetName val="공사별5_6"/>
      <sheetName val="외상매출금현황-수정분_A26"/>
      <sheetName val="생산매출_(3)4"/>
      <sheetName val="Major_Shareholder6"/>
      <sheetName val="#2_BSPL6"/>
      <sheetName val="간접비_총괄표6"/>
      <sheetName val="부문별재고_(상품)6"/>
      <sheetName val="2_대외공문6"/>
      <sheetName val="9_1_Lease_Type3"/>
      <sheetName val="정상_출하집계4"/>
      <sheetName val="가__2006년_사업계획서3"/>
      <sheetName val="Core_CPI3"/>
      <sheetName val="5-_23"/>
      <sheetName val="A230_수정사항집계표3"/>
      <sheetName val="목동세대_산출근거3"/>
      <sheetName val="특수채_23"/>
      <sheetName val="2_호선별예상실적3"/>
      <sheetName val="Other_Expenses3"/>
      <sheetName val="4__Leverage_-_out3"/>
      <sheetName val="CHECK_LIST2"/>
      <sheetName val="23_보증금(전신전화가입권)3"/>
      <sheetName val="2_개발부서별3"/>
      <sheetName val="09_적용환율2"/>
      <sheetName val="220_(2)2"/>
      <sheetName val="표지_(2)2"/>
      <sheetName val="종합(상세현황)수정_(2)2"/>
      <sheetName val="2월_사업계획_미달내용2"/>
      <sheetName val="2월_월계획_미달내용2"/>
      <sheetName val="외주현황_wq12"/>
      <sheetName val="3_일반사상2"/>
      <sheetName val="유형고정자산_명세2"/>
      <sheetName val="Rent_Roll1"/>
      <sheetName val="품목별_매출액1"/>
      <sheetName val="품목별_매출원가1"/>
      <sheetName val="영업소_자재별_계획1"/>
      <sheetName val="Revised_PEGS981"/>
      <sheetName val="04고객별_담당자1"/>
      <sheetName val="Fund_IV-_Yieldwide_Ltd"/>
      <sheetName val="Buyside_P&amp;L"/>
      <sheetName val="1_매출추정1"/>
      <sheetName val="2_급여추정1"/>
      <sheetName val="Rejects_PPM2"/>
      <sheetName val="Action_Items2"/>
      <sheetName val="QOS_RPPM1"/>
      <sheetName val="Service_Parts_Rejects_(RPPM)2"/>
      <sheetName val="Freight_Issues1"/>
      <sheetName val="Area_Support1"/>
      <sheetName val="M2A_(CON)1"/>
      <sheetName val="M6A(USD)_cons1"/>
      <sheetName val="M6A(LC)_GAIT1"/>
      <sheetName val="M6A(USD)_GAIT1"/>
      <sheetName val="M8A_(2)1"/>
      <sheetName val="M14_EF1"/>
      <sheetName val="P09A_USD1"/>
      <sheetName val="피혁_TYI"/>
      <sheetName val="Cost_Reduction"/>
      <sheetName val="A３新収益"/>
      <sheetName val="10월시간수당"/>
      <sheetName val="11월시간수당"/>
      <sheetName val="12월시간수당"/>
      <sheetName val="주민번호"/>
      <sheetName val="12월급여"/>
      <sheetName val="기본정보"/>
      <sheetName val="E_B_L"/>
      <sheetName val="Budget"/>
      <sheetName val="10.10.2003"/>
      <sheetName val="예산작성기준(전기)"/>
      <sheetName val="마산월령동골조물량변경"/>
      <sheetName val="수자재단위당"/>
      <sheetName val="2004"/>
      <sheetName val="형틀"/>
      <sheetName val="덕전리"/>
      <sheetName val="IS"/>
      <sheetName val="▶ 분류"/>
      <sheetName val="연말정산결과"/>
      <sheetName val="MAIN MONITOR"/>
      <sheetName val="Section 1.3"/>
      <sheetName val="법인구분"/>
      <sheetName val="3综合不良处理方案"/>
      <sheetName val="ChoiceValues"/>
      <sheetName val="T&amp;D"/>
      <sheetName val="Sheet3"/>
      <sheetName val="OS"/>
      <sheetName val="(C)원내역"/>
      <sheetName val="세금계산서DB"/>
      <sheetName val="CC Down load 0716"/>
      <sheetName val="사전보고"/>
      <sheetName val="1. Assumptions"/>
      <sheetName val="==과목코드=="/>
      <sheetName val="합천내역"/>
      <sheetName val="_annual_balance_"/>
      <sheetName val="배부금액"/>
      <sheetName val="입력자료(노무비)"/>
      <sheetName val="단가표"/>
      <sheetName val="손익계산서2020"/>
      <sheetName val="손익계산서2021"/>
      <sheetName val="N賃率-職"/>
      <sheetName val="11월상여"/>
      <sheetName val="new emp budgt"/>
      <sheetName val="Data Sheet"/>
      <sheetName val="DATE"/>
      <sheetName val="지수적용공사비내역서"/>
      <sheetName val="부산제일극장"/>
      <sheetName val="building"/>
      <sheetName val="10월개당손익"/>
      <sheetName val="주요재료비"/>
      <sheetName val="PPS2"/>
      <sheetName val="M-5A"/>
      <sheetName val="企业表一"/>
      <sheetName val="M-5C"/>
      <sheetName val="마감장"/>
      <sheetName val="손익정산(최종판)"/>
      <sheetName val="보험료"/>
      <sheetName val="일반관리비(선급보험료)-총무"/>
      <sheetName val="리드14"/>
      <sheetName val="Macro1"/>
      <sheetName val="97사업"/>
      <sheetName val="98실적"/>
      <sheetName val="Bảng CĐKT (BS)"/>
      <sheetName val="상표권"/>
      <sheetName val="확약서"/>
      <sheetName val="손익계산서(세부)"/>
      <sheetName val="Income statement"/>
      <sheetName val="BS Liability"/>
      <sheetName val="Bank"/>
      <sheetName val="합계잔액시산표"/>
      <sheetName val="Donn?s Flux"/>
      <sheetName val="건설가"/>
      <sheetName val="수입LIST"/>
      <sheetName val="주요재료비(원본)"/>
      <sheetName val="건재양식"/>
      <sheetName val="목록"/>
      <sheetName val="중기"/>
      <sheetName val="TLCF"/>
      <sheetName val="시공집계"/>
      <sheetName val="공통지표"/>
      <sheetName val="수량산근(출력X)"/>
      <sheetName val="표준화수량집계표(출력X)"/>
      <sheetName val="품셈총괄(출력X)"/>
      <sheetName val="Inventory Count Sheet "/>
      <sheetName val="All Cash Dil"/>
      <sheetName val="계정잔액"/>
      <sheetName val="범례표"/>
      <sheetName val="3월"/>
      <sheetName val="REV-ENG(book)"/>
      <sheetName val="1Month+Sheet2!"/>
      <sheetName val="잡철물"/>
      <sheetName val="Sheet2 (2)"/>
      <sheetName val="표준건축비"/>
      <sheetName val="임대견적서"/>
      <sheetName val="108_수선비8"/>
      <sheetName val="산업은행_경영지표8"/>
      <sheetName val="JOB_Assign8"/>
      <sheetName val="24_보증금(전신전화가입권)8"/>
      <sheetName val="재고_8"/>
      <sheetName val="붙임2-1__지급조서명세서(2001년분)7"/>
      <sheetName val="1995년_섹터별_매출7"/>
      <sheetName val="첨1_27"/>
      <sheetName val="경영비율_7"/>
      <sheetName val="2_예금7"/>
      <sheetName val="7_3_DY팀7"/>
      <sheetName val="3_판관비명세서8"/>
      <sheetName val="#3-1_保有_有價證券_評價_及び_評價(X-23)7"/>
      <sheetName val="외상매출금현황-수정분_A27"/>
      <sheetName val="Eq__Mobilization7"/>
      <sheetName val="Major_Shareholder7"/>
      <sheetName val="#2_BSPL7"/>
      <sheetName val="업무분장_7"/>
      <sheetName val="간접비_총괄표7"/>
      <sheetName val="부문별재고_(상품)7"/>
      <sheetName val="2_대외공문7"/>
      <sheetName val="공사별5_7"/>
      <sheetName val="생산매출_(3)5"/>
      <sheetName val="정상_출하집계5"/>
      <sheetName val="가__2006년_사업계획서4"/>
      <sheetName val="9_1_Lease_Type4"/>
      <sheetName val="2_호선별예상실적4"/>
      <sheetName val="Core_CPI4"/>
      <sheetName val="5-_24"/>
      <sheetName val="목동세대_산출근거4"/>
      <sheetName val="A230_수정사항집계표4"/>
      <sheetName val="Other_Expenses4"/>
      <sheetName val="특수채_24"/>
      <sheetName val="4__Leverage_-_out4"/>
      <sheetName val="23_보증금(전신전화가입권)4"/>
      <sheetName val="2_개발부서별4"/>
      <sheetName val="유형고정자산_명세3"/>
      <sheetName val="09_적용환율3"/>
      <sheetName val="표지_(2)3"/>
      <sheetName val="종합(상세현황)수정_(2)3"/>
      <sheetName val="2월_사업계획_미달내용3"/>
      <sheetName val="2월_월계획_미달내용3"/>
      <sheetName val="외주현황_wq13"/>
      <sheetName val="3_일반사상3"/>
      <sheetName val="CHECK_LIST3"/>
      <sheetName val="220_(2)3"/>
      <sheetName val="품목별_매출액2"/>
      <sheetName val="품목별_매출원가2"/>
      <sheetName val="영업소_자재별_계획2"/>
      <sheetName val="Revised_PEGS982"/>
      <sheetName val="1_매출추정2"/>
      <sheetName val="2_급여추정2"/>
      <sheetName val="04고객별_담당자2"/>
      <sheetName val="Rejects_PPM3"/>
      <sheetName val="Action_Items3"/>
      <sheetName val="QOS_RPPM2"/>
      <sheetName val="Service_Parts_Rejects_(RPPM)3"/>
      <sheetName val="Freight_Issues2"/>
      <sheetName val="Area_Support2"/>
      <sheetName val="M2A_(CON)2"/>
      <sheetName val="M6A(USD)_cons2"/>
      <sheetName val="M6A(LC)_GAIT2"/>
      <sheetName val="M6A(USD)_GAIT2"/>
      <sheetName val="M8A_(2)2"/>
      <sheetName val="M14_EF2"/>
      <sheetName val="P09A_USD2"/>
      <sheetName val="Rent_Roll2"/>
      <sheetName val="피혁_TYI1"/>
      <sheetName val="Cost_Reduction1"/>
      <sheetName val="_annual_balance_1"/>
      <sheetName val="Fund_IV-_Yieldwide_Ltd1"/>
      <sheetName val="Buyside_P&amp;L1"/>
      <sheetName val="10_10_2003"/>
      <sheetName val="1__Assumptions"/>
      <sheetName val="Section_1_3"/>
      <sheetName val="new_emp_budgt"/>
      <sheetName val="▶_분류"/>
      <sheetName val="MAIN_MONITOR"/>
      <sheetName val="CC_Down_load_07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>
        <row r="1">
          <cell r="B1">
            <v>0</v>
          </cell>
        </row>
      </sheetData>
      <sheetData sheetId="825"/>
      <sheetData sheetId="826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공통"/>
      <sheetName val="업무분장 "/>
      <sheetName val="B-90"/>
      <sheetName val="기말요약"/>
      <sheetName val="중요성기준"/>
      <sheetName val="A9-1~5 "/>
      <sheetName val="A9-3"/>
      <sheetName val="경영분석"/>
      <sheetName val="98경영"/>
      <sheetName val="A9-부2 "/>
      <sheetName val="A9"/>
      <sheetName val="A9-2(구)"/>
      <sheetName val="주석자료A7"/>
      <sheetName val="주총요약"/>
      <sheetName val="지급보증"/>
      <sheetName val="(법인,토지)등기부등본요약"/>
      <sheetName val="보험가입"/>
      <sheetName val="계속기업검토표"/>
      <sheetName val="A7"/>
      <sheetName val="등본요약"/>
      <sheetName val="계속기업"/>
      <sheetName val="A1"/>
      <sheetName val="A2"/>
      <sheetName val="to do"/>
      <sheetName val="재고"/>
      <sheetName val="AR"/>
      <sheetName val="단가검증"/>
      <sheetName val="재고분석"/>
      <sheetName val="가공비배부"/>
      <sheetName val="제,원"/>
      <sheetName val="투자"/>
      <sheetName val="평가"/>
      <sheetName val="무형"/>
      <sheetName val="M"/>
      <sheetName val="M1-anl"/>
      <sheetName val="퇴충"/>
      <sheetName val="분석적검토"/>
      <sheetName val="자본"/>
      <sheetName val="스탁옵션"/>
      <sheetName val="원가"/>
      <sheetName val="제조원가"/>
      <sheetName val="월별제조"/>
      <sheetName val="영업외"/>
      <sheetName val="우발"/>
      <sheetName val="법인"/>
      <sheetName val="미지급법인세"/>
      <sheetName val="이연법인세"/>
      <sheetName val="BS일이후"/>
      <sheetName val="매입"/>
      <sheetName val="원재료평가"/>
      <sheetName val="제품평가"/>
      <sheetName val="cc"/>
      <sheetName val="조회"/>
      <sheetName val="총괄"/>
      <sheetName val="미수"/>
      <sheetName val="인원계획-미화"/>
      <sheetName val="상품입고집계"/>
      <sheetName val="업무분장_"/>
      <sheetName val="A9-1~5_"/>
      <sheetName val="A9-부2_"/>
      <sheetName val="to_do"/>
      <sheetName val="TEMP2"/>
      <sheetName val="TEMP"/>
      <sheetName val="JA"/>
      <sheetName val="99판매상세"/>
      <sheetName val="95WBS"/>
      <sheetName val="전문직"/>
      <sheetName val="인턴사원"/>
      <sheetName val="요율"/>
      <sheetName val="M&amp;G Outstanding Data"/>
      <sheetName val="영업외손익등"/>
      <sheetName val="산업은행 경영지표"/>
      <sheetName val="매입수불자재"/>
      <sheetName val="현금흐름표"/>
      <sheetName val="BS"/>
      <sheetName val="금융"/>
      <sheetName val="은행"/>
      <sheetName val="리스"/>
      <sheetName val="보험"/>
      <sheetName val="입력항목"/>
      <sheetName val="TB"/>
      <sheetName val="감가상각"/>
      <sheetName val="ttt"/>
      <sheetName val="미수이자"/>
      <sheetName val="Area"/>
      <sheetName val="Initial Input Variable"/>
      <sheetName val="노무비"/>
      <sheetName val="SpQ"/>
      <sheetName val="Income Statement"/>
      <sheetName val="Shareholders' Equity"/>
      <sheetName val="pre-anal손익계산서"/>
      <sheetName val="pre-anal대차대조표"/>
      <sheetName val="Rent roll"/>
      <sheetName val="CostData"/>
      <sheetName val="IncomeData"/>
      <sheetName val="Summary"/>
      <sheetName val="PropertyData"/>
      <sheetName val="AKL"/>
      <sheetName val="상가매매0115"/>
      <sheetName val="상가임대0115"/>
      <sheetName val="상품매출"/>
      <sheetName val="재고 "/>
      <sheetName val="A조서-한서"/>
      <sheetName val="회사정보"/>
      <sheetName val="8월"/>
      <sheetName val="S&amp;R"/>
      <sheetName val="조회총괄"/>
      <sheetName val="4. Leverage - out"/>
      <sheetName val="表紙"/>
      <sheetName val="YOEMAGUM"/>
      <sheetName val="받을어음"/>
      <sheetName val="안산기계장치"/>
      <sheetName val="인건비"/>
      <sheetName val="수정시산표"/>
      <sheetName val="CT "/>
      <sheetName val="DB"/>
      <sheetName val="대차대조표"/>
      <sheetName val="산수(hd-0)"/>
      <sheetName val="산수(hd-1)"/>
      <sheetName val="anaysis_sheet"/>
      <sheetName val="Cost2"/>
      <sheetName val="시화점실행"/>
      <sheetName val="식음료"/>
      <sheetName val="현금"/>
      <sheetName val="유림골조"/>
      <sheetName val="과"/>
      <sheetName val="리스(CIF)산출"/>
      <sheetName val="10월 (2)"/>
      <sheetName val="종합-임현"/>
      <sheetName val="단기차입금(200006)"/>
      <sheetName val="Variables"/>
      <sheetName val="매출"/>
      <sheetName val="목차"/>
      <sheetName val="maccp04"/>
      <sheetName val="기초해지2"/>
      <sheetName val="검산금액"/>
      <sheetName val="선수보증금"/>
      <sheetName val="Sheet5"/>
      <sheetName val="연체일수"/>
      <sheetName val="기초해지"/>
      <sheetName val="잔가합계"/>
      <sheetName val="Sheet6"/>
      <sheetName val="중도해지진행업체"/>
      <sheetName val="지우기"/>
      <sheetName val="동양제과11월"/>
      <sheetName val="동양제과 12월"/>
      <sheetName val="크라운제과11월"/>
      <sheetName val="크라운제과 12월"/>
      <sheetName val="해태제과11월"/>
      <sheetName val="入力表"/>
      <sheetName val="Ⅰ-3"/>
      <sheetName val="Sheet1"/>
      <sheetName val="収益率計算"/>
      <sheetName val="土地建物"/>
      <sheetName val="減少什器"/>
      <sheetName val="検針表"/>
      <sheetName val="재무가정"/>
      <sheetName val="データ"/>
      <sheetName val="Import_FX"/>
      <sheetName val="DQE-MEN-EXT"/>
      <sheetName val="지급어음(일별)"/>
      <sheetName val="매출.물동명세"/>
      <sheetName val="중기"/>
      <sheetName val="확인서"/>
      <sheetName val="リスト"/>
      <sheetName val="京王井の頭線"/>
      <sheetName val="SH_work"/>
      <sheetName val="Front Cover"/>
      <sheetName val="王子一覧"/>
      <sheetName val="담보명세"/>
      <sheetName val="賃料等一覧"/>
      <sheetName val="업무분장_1"/>
      <sheetName val="A9-1~5_1"/>
      <sheetName val="A9-부2_1"/>
      <sheetName val="to_do1"/>
      <sheetName val="M&amp;G_Outstanding_Data"/>
      <sheetName val="산업은행_경영지표"/>
      <sheetName val="Initial_Input_Variable"/>
      <sheetName val="Income_Statement"/>
      <sheetName val="Shareholders'_Equity"/>
      <sheetName val="Rent_roll"/>
      <sheetName val="재고_"/>
      <sheetName val="4__Leverage_-_out"/>
      <sheetName val="抽出／ビル実績データ"/>
      <sheetName val="업무분장_2"/>
      <sheetName val="A9-1~5_2"/>
      <sheetName val="A9-부2_2"/>
      <sheetName val="to_do2"/>
      <sheetName val="M&amp;G_Outstanding_Data1"/>
      <sheetName val="산업은행_경영지표1"/>
      <sheetName val="Initial_Input_Variable1"/>
      <sheetName val="Income_Statement1"/>
      <sheetName val="Shareholders'_Equity1"/>
      <sheetName val="Rent_roll1"/>
      <sheetName val="재고_1"/>
      <sheetName val="4__Leverage_-_out1"/>
      <sheetName val="CT_"/>
      <sheetName val="10월_(2)"/>
      <sheetName val="동양제과_12월"/>
      <sheetName val="크라운제과_12월"/>
      <sheetName val="Front_Cover"/>
      <sheetName val="매출_물동명세"/>
      <sheetName val="단가산출"/>
      <sheetName val="LIST"/>
      <sheetName val="#REF"/>
      <sheetName val="9609Aß"/>
      <sheetName val="(Monthly)"/>
      <sheetName val="データベース"/>
      <sheetName val="データ(新宿区,徒,0,0)"/>
      <sheetName val="6A CA"/>
      <sheetName val="7月入出金（西洞院）"/>
      <sheetName val="CostApp."/>
      <sheetName val="Announced_Deals"/>
      <sheetName val="商品一覧"/>
      <sheetName val="CashFlow(중간집계)"/>
      <sheetName val="1.1 Project Data"/>
      <sheetName val="収支"/>
      <sheetName val="FF-6"/>
      <sheetName val="NAV"/>
      <sheetName val="売掛99･9_確定_クエリー"/>
      <sheetName val="CR"/>
      <sheetName val="3"/>
      <sheetName val="00'미수"/>
      <sheetName val="합손"/>
      <sheetName val="入力用(家賃)"/>
      <sheetName val="入力用(駐車)"/>
      <sheetName val="시산표"/>
      <sheetName val="주주명부&lt;끝&gt;"/>
      <sheetName val="(법인,토지)등기_x0002__x0000_鉘K_x000a_"/>
      <sheetName val=""/>
      <sheetName val="(법인,토지)등기_x0002__x0000_銨7_x000a_"/>
      <sheetName val="(법인,토지)등기_x0002__x0000_鑀0."/>
      <sheetName val="(법인,토지)등기부등본요_x0002_"/>
      <sheetName val="(법인,토지)등기_x0002__x0000_釘6."/>
      <sheetName val="(법인,토지)등기_x0002__x0000_鈰_x000f_."/>
      <sheetName val="(법인,토지)등기_x0002__x0000_鈰 ."/>
      <sheetName val="sch_list (2)"/>
      <sheetName val="(법인,토지)등기_x0002_?鉘K_x000a_"/>
      <sheetName val="(법인,토지)등기_x0002_?銨7_x000a_"/>
      <sheetName val="(법인,토지)등기_x0002_?鑀0."/>
      <sheetName val="(법인,토지)등기_x0002_?釘6."/>
      <sheetName val="MISforgeforging"/>
      <sheetName val="CVBUH2MONTHLY"/>
      <sheetName val="보조부문비배부"/>
      <sheetName val="재고선1"/>
      <sheetName val="222"/>
      <sheetName val="부서코드표"/>
      <sheetName val="spares timing"/>
      <sheetName val="PROC CHARGE"/>
      <sheetName val="After Apr 05 List rso dom"/>
      <sheetName val="(법인,토지)등기_x0002_"/>
      <sheetName val="oth exp final"/>
      <sheetName val="w.o.exp final (2)"/>
      <sheetName val="P111-115"/>
      <sheetName val="P248"/>
      <sheetName val="W-현원가"/>
      <sheetName val="피벗"/>
      <sheetName val="10한빛"/>
      <sheetName val="Sheet11"/>
      <sheetName val="(법인,토지)등기_x0002_?鈰_x000f_."/>
      <sheetName val="(법인,토지)등기_x0002_?鈰 ."/>
      <sheetName val="(법인,토지)등기_x0002__鉘K_"/>
      <sheetName val="(법인,토지)등기_x0002__銨7_"/>
      <sheetName val="(법인,토지)등기_x0002__鑀0."/>
      <sheetName val="(법인,토지)등기_x0002__釘6."/>
      <sheetName val="제조부문배부"/>
      <sheetName val="Master"/>
      <sheetName val="WELDING"/>
      <sheetName val="PL"/>
      <sheetName val="TEMP1"/>
      <sheetName val="_x0000_ "/>
      <sheetName val="Reference"/>
      <sheetName val="BND"/>
      <sheetName val="PRDMAR96"/>
      <sheetName val="FDY_PWR"/>
      <sheetName val="Dforgings"/>
      <sheetName val="IND9899"/>
      <sheetName val="1st"/>
      <sheetName val="Tdep(old)"/>
      <sheetName val="finalised"/>
      <sheetName val="Transportation"/>
      <sheetName val="change fdy"/>
      <sheetName val="501frgmar"/>
      <sheetName val="? "/>
      <sheetName val="5"/>
      <sheetName val="LDP 50"/>
      <sheetName val="B0_111350"/>
      <sheetName val="9910"/>
      <sheetName val="외상매출금현황-수정분 A2"/>
      <sheetName val="XREF"/>
      <sheetName val="SALE"/>
      <sheetName val="목표대비(변경전)"/>
      <sheetName val="COND"/>
      <sheetName val="Tax FY 09-10"/>
      <sheetName val="정비손익"/>
      <sheetName val="Sch 7-13"/>
      <sheetName val="_"/>
      <sheetName val="LDP_50"/>
      <sheetName val="MAR A"/>
      <sheetName val="현장"/>
      <sheetName val="크라운"/>
      <sheetName val="대손설정"/>
      <sheetName val="수정분개"/>
      <sheetName val="96수표어음"/>
      <sheetName val="業者の口座名・番号"/>
      <sheetName val="CT_1"/>
      <sheetName val="동양제과_12월1"/>
      <sheetName val="크라운제과_12월1"/>
      <sheetName val="10월_(2)1"/>
      <sheetName val="6A_CA"/>
      <sheetName val="CostApp_"/>
      <sheetName val="1_1_Project_Data"/>
      <sheetName val="리츠"/>
      <sheetName val="일위"/>
      <sheetName val="10월판관"/>
      <sheetName val="승용"/>
      <sheetName val="원_VL"/>
      <sheetName val="118.세금과공과"/>
      <sheetName val="108.수선비"/>
      <sheetName val="물량"/>
      <sheetName val="__Krkrdab103____work______A___2"/>
      <sheetName val="조회서"/>
      <sheetName val="주소"/>
      <sheetName val="건설가계정"/>
      <sheetName val="Front_Cover1"/>
      <sheetName val="현금및현금등가물1"/>
      <sheetName val="현금흐름(SPC)"/>
      <sheetName val="총괄원장"/>
      <sheetName val="매출명세 1월부터"/>
      <sheetName val="9.1"/>
      <sheetName val="償却資産税"/>
      <sheetName val="피엘"/>
      <sheetName val="dso-WS"/>
      <sheetName val="Control Sheet"/>
      <sheetName val="건물"/>
      <sheetName val="CODE"/>
      <sheetName val="Input"/>
      <sheetName val="Sheet3"/>
      <sheetName val="명세"/>
      <sheetName val="Menu_Link"/>
      <sheetName val="계정code"/>
      <sheetName val="SM1-09"/>
      <sheetName val="SM2-09"/>
      <sheetName val="아이콘"/>
      <sheetName val="SO416"/>
      <sheetName val="투입&amp;생산"/>
      <sheetName val="상품입력"/>
      <sheetName val="원재료입력"/>
      <sheetName val="범한여행"/>
      <sheetName val="1.MDF1공장"/>
      <sheetName val="받을어음할인및 융통어음"/>
      <sheetName val="支払手形"/>
      <sheetName val="가상"/>
      <sheetName val="정상"/>
      <sheetName val="매출채권"/>
      <sheetName val="조정전"/>
      <sheetName val="차수"/>
      <sheetName val="시험연구비상각"/>
      <sheetName val="우편번호"/>
      <sheetName val="Feuil3"/>
      <sheetName val="상불"/>
      <sheetName val="업무분장_3"/>
      <sheetName val="A9-1~5_3"/>
      <sheetName val="A9-부2_3"/>
      <sheetName val="to_do3"/>
      <sheetName val="M&amp;G_Outstanding_Data2"/>
      <sheetName val="산업은행_경영지표2"/>
      <sheetName val="Initial_Input_Variable2"/>
      <sheetName val="Income_Statement2"/>
      <sheetName val="Shareholders'_Equity2"/>
      <sheetName val="Rent_roll2"/>
      <sheetName val="재고_2"/>
      <sheetName val="4__Leverage_-_out2"/>
      <sheetName val="CT_2"/>
      <sheetName val="10월_(2)2"/>
      <sheetName val="동양제과_12월2"/>
      <sheetName val="크라운제과_12월2"/>
      <sheetName val="매출_물동명세1"/>
      <sheetName val="6A_CA1"/>
      <sheetName val="CostApp_1"/>
      <sheetName val="1_1_Project_Data1"/>
      <sheetName val="(법인,토지)등기鉘K_x000a_"/>
      <sheetName val="(법인,토지)등기銨7_x000a_"/>
      <sheetName val="(법인,토지)등기鑀0_"/>
      <sheetName val="(법인,토지)등기부등본요"/>
      <sheetName val="(법인,토지)등기釘6_"/>
      <sheetName val="(법인,토지)등기鈰_"/>
      <sheetName val="(법인,토지)등기鈰__"/>
      <sheetName val="sch_list_(2)"/>
      <sheetName val="(법인,토지)등기?鉘K_x000a_"/>
      <sheetName val="(법인,토지)등기?銨7_x000a_"/>
      <sheetName val="(법인,토지)등기?鑀0_"/>
      <sheetName val="(법인,토지)등기?釘6_"/>
      <sheetName val="spares_timing"/>
      <sheetName val="PROC_CHARGE"/>
      <sheetName val="After_Apr_05_List_rso_dom"/>
      <sheetName val="(법인,토지)등기"/>
      <sheetName val="oth_exp_final"/>
      <sheetName val="w_o_exp_final_(2)"/>
      <sheetName val="(법인,토지)등기?鈰_"/>
      <sheetName val="(법인,토지)등기?鈰__"/>
      <sheetName val="(법인,토지)등기_鉘K_"/>
      <sheetName val="(법인,토지)등기_銨7_"/>
      <sheetName val="(법인,토지)등기_鑀0_"/>
      <sheetName val="(법인,토지)등기_釘6_"/>
      <sheetName val="change_fdy"/>
      <sheetName val="?_"/>
      <sheetName val="LDP_501"/>
      <sheetName val="외상매출금현황-수정분_A2"/>
      <sheetName val="Tax_FY_09-10"/>
      <sheetName val="Sch_7-13"/>
      <sheetName val="MAR_A"/>
      <sheetName val="업무분장_4"/>
      <sheetName val="A9-1~5_4"/>
      <sheetName val="A9-부2_4"/>
      <sheetName val="to_do4"/>
      <sheetName val="M&amp;G_Outstanding_Data3"/>
      <sheetName val="산업은행_경영지표3"/>
      <sheetName val="Initial_Input_Variable3"/>
      <sheetName val="Income_Statement3"/>
      <sheetName val="Shareholders'_Equity3"/>
      <sheetName val="Rent_roll3"/>
      <sheetName val="재고_3"/>
      <sheetName val="4__Leverage_-_out3"/>
      <sheetName val="업무분장_5"/>
      <sheetName val="A9-1~5_5"/>
      <sheetName val="A9-부2_5"/>
      <sheetName val="to_do5"/>
      <sheetName val="M&amp;G_Outstanding_Data4"/>
      <sheetName val="산업은행_경영지표4"/>
      <sheetName val="Initial_Input_Variable4"/>
      <sheetName val="Income_Statement4"/>
      <sheetName val="Shareholders'_Equity4"/>
      <sheetName val="Rent_roll4"/>
      <sheetName val="재고_4"/>
      <sheetName val="4__Leverage_-_out4"/>
      <sheetName val="CT_3"/>
      <sheetName val="10월_(2)3"/>
      <sheetName val="동양제과_12월3"/>
      <sheetName val="크라운제과_12월3"/>
      <sheetName val="Front_Cover2"/>
      <sheetName val="매출_물동명세2"/>
      <sheetName val="6A_CA2"/>
      <sheetName val="CostApp_2"/>
      <sheetName val="1_1_Project_Data2"/>
      <sheetName val="sch_list_(2)1"/>
      <sheetName val="spares_timing1"/>
      <sheetName val="PROC_CHARGE1"/>
      <sheetName val="After_Apr_05_List_rso_dom1"/>
      <sheetName val="oth_exp_final1"/>
      <sheetName val="w_o_exp_final_(2)1"/>
      <sheetName val="change_fdy1"/>
      <sheetName val="?_1"/>
      <sheetName val="LDP_502"/>
      <sheetName val="외상매출금현황-수정분_A21"/>
      <sheetName val="Tax_FY_09-101"/>
      <sheetName val="Sch_7-131"/>
      <sheetName val="MAR_A1"/>
      <sheetName val="CT_4"/>
      <sheetName val="10월_(2)4"/>
      <sheetName val="동양제과_12월4"/>
      <sheetName val="크라운제과_12월4"/>
      <sheetName val="Front_Cover3"/>
      <sheetName val="매출_물동명세3"/>
      <sheetName val="6A_CA3"/>
      <sheetName val="CostApp_3"/>
      <sheetName val="1_1_Project_Data3"/>
      <sheetName val="sch_list_(2)2"/>
      <sheetName val="spares_timing2"/>
      <sheetName val="PROC_CHARGE2"/>
      <sheetName val="After_Apr_05_List_rso_dom2"/>
      <sheetName val="oth_exp_final2"/>
      <sheetName val="w_o_exp_final_(2)2"/>
      <sheetName val="change_fdy2"/>
      <sheetName val="?_2"/>
      <sheetName val="LDP_503"/>
      <sheetName val="외상매출금현황-수정분_A22"/>
      <sheetName val="Tax_FY_09-102"/>
      <sheetName val="Sch_7-132"/>
      <sheetName val="MAR_A2"/>
      <sheetName val="PLarp"/>
      <sheetName val="Macro1"/>
      <sheetName val="업무분장_6"/>
      <sheetName val="A9-1~5_6"/>
      <sheetName val="A9-부2_6"/>
      <sheetName val="to_do6"/>
      <sheetName val="M&amp;G_Outstanding_Data5"/>
      <sheetName val="산업은행_경영지표5"/>
      <sheetName val="Initial_Input_Variable5"/>
      <sheetName val="Income_Statement5"/>
      <sheetName val="Shareholders'_Equity5"/>
      <sheetName val="Rent_roll5"/>
      <sheetName val="재고_5"/>
      <sheetName val="4__Leverage_-_out5"/>
      <sheetName val="CT_5"/>
      <sheetName val="10월_(2)5"/>
      <sheetName val="동양제과_12월5"/>
      <sheetName val="크라운제과_12월5"/>
      <sheetName val="Front_Cover4"/>
      <sheetName val="매출_물동명세4"/>
      <sheetName val="6A_CA4"/>
      <sheetName val="CostApp_4"/>
      <sheetName val="1_1_Project_Data4"/>
      <sheetName val="sch_list_(2)3"/>
      <sheetName val="spares_timing3"/>
      <sheetName val="PROC_CHARGE3"/>
      <sheetName val="After_Apr_05_List_rso_dom3"/>
      <sheetName val="oth_exp_final3"/>
      <sheetName val="w_o_exp_final_(2)3"/>
      <sheetName val="change_fdy3"/>
      <sheetName val="?_3"/>
      <sheetName val="LDP_504"/>
      <sheetName val="외상매출금현황-수정분_A23"/>
      <sheetName val="Tax_FY_09-103"/>
      <sheetName val="Sch_7-133"/>
      <sheetName val="MAR_A3"/>
      <sheetName val="부산제일극장"/>
      <sheetName val="설계내역서"/>
      <sheetName val="CY0 Actual"/>
      <sheetName val="资产负债表明细-PRC"/>
      <sheetName val="__________x005f_x0002__x005f_x0000__K_x00_2"/>
      <sheetName val="__________x005f_x0002__x005f_x0000__7_x00_2"/>
      <sheetName val="(법인,토지)등기_x005f_x0002__x005f_x0000_鑀0."/>
      <sheetName val="(법인,토지)등기부등본요_x005f_x0002_"/>
      <sheetName val="(법인,토지)등기_x005f_x0002__x005f_x0000_釘6."/>
      <sheetName val="__________x005f_x0002__x005f_x0000___x000_2"/>
      <sheetName val="(법인,토지)등기_x005f_x0002__x005f_x0000_鈰 ."/>
      <sheetName val="(법인,토지)등기_x005f_x0002_?鉘K_x005f_x000a_"/>
      <sheetName val="(법인,토지)등기_x005f_x0002_?銨7_x005f_x000a_"/>
      <sheetName val="(법인,토지)등기_x005f_x0002_?鑀0."/>
      <sheetName val="(법인,토지)등기_x005f_x0002_?釘6."/>
      <sheetName val="(법인,토지)등기_x005f_x0002_"/>
      <sheetName val="(법인,토지)등기_x005f_x0002_?鈰_x005f_x000f_."/>
      <sheetName val="(법인,토지)등기_x005f_x0002_?鈰 ."/>
      <sheetName val="(법인,토지)등기_x005f_x0002__鉘K_"/>
      <sheetName val="(법인,토지)등기_x005f_x0002__銨7_"/>
      <sheetName val="(법인,토지)등기_x005f_x0002__鑀0."/>
      <sheetName val="(법인,토지)등기_x005f_x0002__釘6."/>
      <sheetName val="_x005f_x0000_ "/>
      <sheetName val="(법인,토지)등기鉘K_x005f_x000a_"/>
      <sheetName val="(법인,토지)등기銨7_x005f_x000a_"/>
      <sheetName val="(법인,토지)등기?鉘K_x005f_x000a_"/>
      <sheetName val="(법인,토지)등기?銨7_x005f_x000a_"/>
      <sheetName val="DATA"/>
      <sheetName val="Ratios"/>
      <sheetName val="Data validation"/>
      <sheetName val="WEIGHT"/>
      <sheetName val="Data_validation"/>
      <sheetName val="total"/>
      <sheetName val="96시장예측"/>
      <sheetName val="_x0000_P"/>
      <sheetName val="sch_list_(2)4"/>
      <sheetName val="spares_timing4"/>
      <sheetName val="PROC_CHARGE4"/>
      <sheetName val="After_Apr_05_List_rso_dom4"/>
      <sheetName val="(법인,토지)등기_x005f_x0002__x005f_x0000_鉘K_"/>
      <sheetName val="(법인,토지)등기_x005f_x0002__x005f_x0000_銨7_"/>
      <sheetName val="(법인,토지)등기_x005f_x0002__x005f_x0000_鉘K_x000a"/>
      <sheetName val="(법인,토지)등기_x005f_x0002__x005f_x0000_銨7_x000a"/>
      <sheetName val="(법인,토지)등기_x005f_x005f_x005f_x0002__x005f_x005f_x0"/>
      <sheetName val="(법인,토지)등기부등본요_x005f_x005f_x005f_x0002_"/>
      <sheetName val="(법인,토지)등기_x005f_x0002__x005f_x0000_鈰_x005f_x000f_"/>
      <sheetName val="(법인,토지)등기_x005f_x0002__鉘K_x005f_x000a_"/>
      <sheetName val="(법인,토지)등기_x005f_x0002__銨7_x005f_x000a_"/>
      <sheetName val="(법인,토지)등기_鉘K_x005f_x000a_"/>
      <sheetName val="(법인,토지)등기_銨7_x005f_x000a_"/>
      <sheetName val="(법인,토지)등기_x005f_x0002__鈰_x005f_x000f_."/>
      <sheetName val="(법인,토지)등기_x005f_x0002__鈰 ."/>
      <sheetName val="Data_validation1"/>
      <sheetName val="부재료입고집계"/>
      <sheetName val="MIJIBI"/>
      <sheetName val="LinerWt"/>
      <sheetName val="108_수선비"/>
      <sheetName val="6월수불"/>
      <sheetName val="재료비집계표"/>
      <sheetName val="24.보증금(전신전화가입권)"/>
      <sheetName val="금액집계(리포트)"/>
      <sheetName val="배서어음명세서"/>
      <sheetName val="작업일지"/>
      <sheetName val="CAUDIT"/>
      <sheetName val="24_보증금(전신전화가입권)"/>
      <sheetName val="5-4.생산필요공수및인원"/>
      <sheetName val="검기갑지"/>
      <sheetName val="M1master"/>
      <sheetName val="97 사업추정(WEKI)"/>
      <sheetName val="Ctrl"/>
      <sheetName val="compare2"/>
      <sheetName val="기준정보"/>
      <sheetName val="표준 Table_2004년"/>
      <sheetName val="당좌차월"/>
      <sheetName val="Krw"/>
      <sheetName val="US$ I (SEG.)"/>
      <sheetName val="원97"/>
      <sheetName val="EE118C"/>
      <sheetName val="EE118"/>
      <sheetName val="수금 "/>
      <sheetName val="12월정산수금현황"/>
      <sheetName val="경영비율 "/>
      <sheetName val="DY092"/>
      <sheetName val="과장"/>
      <sheetName val="f_BS"/>
      <sheetName val="시산표12월(수정후)"/>
      <sheetName val="JOB Assign"/>
      <sheetName val="AP"/>
      <sheetName val="MKI TB"/>
      <sheetName val="Ⅱ1-0타"/>
      <sheetName val="서식시트"/>
      <sheetName val="매입유형"/>
      <sheetName val="매입처등록"/>
      <sheetName val="전체지분도"/>
      <sheetName val="12월원재료매입"/>
      <sheetName val="금월실적"/>
      <sheetName val="98상품수불(기초)"/>
      <sheetName val="제품수불 (기초)"/>
      <sheetName val="98제품수불부"/>
      <sheetName val="별첨1"/>
      <sheetName val="별첨2"/>
      <sheetName val="7상품수"/>
      <sheetName val="99선급비용"/>
      <sheetName val="2001Org"/>
      <sheetName val="외주현황.wq1"/>
      <sheetName val="Hoja de datos"/>
      <sheetName val="Metrics"/>
      <sheetName val="(법인,토지)등기_x0002__x0000_鉘K "/>
      <sheetName val="(법인,토지)등기_x0002__x0000_銨7 "/>
      <sheetName val="(법인,토지)등기_x0002_?鉘K "/>
      <sheetName val="(법인,토지)등기_x0002_?銨7 "/>
      <sheetName val="支払明細"/>
      <sheetName val="解約"/>
      <sheetName val="118_세금과공과"/>
      <sheetName val="Calendar"/>
      <sheetName val="기본사항"/>
      <sheetName val="근무내역"/>
      <sheetName val="장차입"/>
      <sheetName val="FS"/>
      <sheetName val="MUS Calculations- Figure 5410.1"/>
      <sheetName val="선급금"/>
      <sheetName val="미지급이자"/>
      <sheetName val="1"/>
      <sheetName val="7.수탁수수료현황"/>
      <sheetName val="06"/>
      <sheetName val="1.현금예금"/>
      <sheetName val="Y-WORK"/>
      <sheetName val="A2109"/>
      <sheetName val="Munka1"/>
      <sheetName val="'94자산"/>
      <sheetName val="ST"/>
      <sheetName val="주메뉴"/>
      <sheetName val="⑧미수이자"/>
      <sheetName val="첨부2"/>
      <sheetName val="Pricing"/>
      <sheetName val="Debt Service Schedule"/>
      <sheetName val="본사현황"/>
      <sheetName val="월별손익"/>
      <sheetName val="Taxas"/>
      <sheetName val="매  출"/>
      <sheetName val="미지급이자1"/>
      <sheetName val="5사남"/>
      <sheetName val="시흥면세"/>
      <sheetName val="별제권_정리담보권1"/>
      <sheetName val="97부과내역 "/>
      <sheetName val="Fruit Pending Order"/>
      <sheetName val="PI"/>
      <sheetName val="2.대외공문"/>
      <sheetName val="HP1AMLIST"/>
      <sheetName val="RD제품개발투자비(매가)"/>
      <sheetName val="등록"/>
      <sheetName val="특판제외"/>
      <sheetName val="1공장 재공품생산현황"/>
      <sheetName val="1-6(반품내역)"/>
      <sheetName val="실행철강하도"/>
      <sheetName val="97지급이자"/>
      <sheetName val="U3.1"/>
      <sheetName val="주식배당"/>
      <sheetName val="주요비율-낙관"/>
      <sheetName val="Ⅰ-1"/>
      <sheetName val="전신전화가입권"/>
      <sheetName val="투자자산명세서"/>
      <sheetName val="3-4현"/>
      <sheetName val="3-3현"/>
      <sheetName val="6660"/>
      <sheetName val="Lead"/>
      <sheetName val="투찰가"/>
      <sheetName val="결산분계"/>
      <sheetName val="03년3Q누계급여"/>
      <sheetName val="96월별PL"/>
      <sheetName val="대환취급"/>
      <sheetName val="WPL"/>
      <sheetName val="BS-Arp"/>
      <sheetName val="WBS"/>
      <sheetName val="지급보증금74"/>
      <sheetName val="이자율"/>
      <sheetName val="본사"/>
      <sheetName val="출입자명단"/>
      <sheetName val="IDONG"/>
      <sheetName val="Balance"/>
      <sheetName val="(법인,토지)등기_x005f_x0002__x005f_x0000_鉘K "/>
      <sheetName val="(법인,토지)등기_x005f_x0002__x005f_x0000_銨7 "/>
      <sheetName val="(법인,토지)등기_x005f_x0002_?鉘K "/>
      <sheetName val="(법인,토지)등기_x005f_x0002_?銨7 "/>
      <sheetName val="_x005f_x0000_P"/>
      <sheetName val="Budget"/>
      <sheetName val="評価書"/>
      <sheetName val="大楼分录"/>
      <sheetName val="수지예산"/>
      <sheetName val="신1"/>
      <sheetName val="2월"/>
      <sheetName val="마카소요량&amp;재단"/>
      <sheetName val="추이도"/>
      <sheetName val="기준환율"/>
      <sheetName val="A-100전제"/>
      <sheetName val="R&amp;D"/>
      <sheetName val="주요품목수불(반기)"/>
      <sheetName val="관리1"/>
      <sheetName val="Quantity"/>
      <sheetName val="수불부"/>
      <sheetName val="1_MDF1공장"/>
      <sheetName val="Other creditors"/>
      <sheetName val="Amt due to Related companies"/>
      <sheetName val="Indirect tax payable"/>
      <sheetName val="Accrued expenses"/>
      <sheetName val="Control_Sheet"/>
      <sheetName val="받을어음할인및_융통어음"/>
      <sheetName val="Hoja_de_datos"/>
      <sheetName val="(법인,토지)등기鉘K_"/>
      <sheetName val="(법인,토지)등기銨7_"/>
      <sheetName val="(법인,토지)등기?鉘K_"/>
      <sheetName val="(법인,토지)등기?銨7_"/>
      <sheetName val="분양가"/>
      <sheetName val="DFA"/>
      <sheetName val="Print"/>
      <sheetName val="N賃率-職"/>
      <sheetName val="Work"/>
      <sheetName val="CY0_Actual"/>
      <sheetName val="Settlements"/>
      <sheetName val="hotcomps"/>
      <sheetName val="长期借款汇总表"/>
      <sheetName val="RM목표&amp;실적"/>
      <sheetName val="IJABUNRI"/>
      <sheetName val="직노"/>
      <sheetName val="손익"/>
      <sheetName val="일위대가"/>
      <sheetName val="2공구산출내역"/>
      <sheetName val="공통비"/>
      <sheetName val="12월급여"/>
      <sheetName val="11월급여"/>
      <sheetName val="조명시설"/>
      <sheetName val="MANAGER"/>
      <sheetName val="정산표"/>
      <sheetName val="기초데이타"/>
      <sheetName val="Comp Sheet"/>
      <sheetName val="cash flow_stress"/>
      <sheetName val="table"/>
      <sheetName val="시설이용권명세서"/>
      <sheetName val="Comp_Sheet"/>
      <sheetName val="cash_flow_stress"/>
      <sheetName val="97_사업추정(WEKI)"/>
      <sheetName val="표준_Table_2004년"/>
      <sheetName val="US$_I_(SEG_)"/>
      <sheetName val="MKI_TB"/>
      <sheetName val="수금_"/>
      <sheetName val="경영비율_"/>
      <sheetName val="매__출"/>
      <sheetName val="otherkpi"/>
      <sheetName val="TaxCalc"/>
      <sheetName val="연체대출"/>
      <sheetName val="Property"/>
      <sheetName val="미지급비용"/>
      <sheetName val="SG"/>
      <sheetName val="payroll"/>
      <sheetName val="갑지1"/>
      <sheetName val="의왕"/>
      <sheetName val="m200110"/>
      <sheetName val="m200109"/>
      <sheetName val="대동"/>
      <sheetName val="INTERCO LOAN"/>
      <sheetName val="1부생산계획"/>
      <sheetName val="GA"/>
      <sheetName val="ITS Assumptions"/>
      <sheetName val="Proj. Fin."/>
      <sheetName val="주간남10대순위1"/>
      <sheetName val="주간여30대순위1"/>
      <sheetName val="공사별5 "/>
      <sheetName val="이자"/>
      <sheetName val="변제"/>
      <sheetName val="상환대상"/>
      <sheetName val="데이타"/>
      <sheetName val="Asset9809CAK"/>
      <sheetName val="외화"/>
      <sheetName val="을지"/>
      <sheetName val="내역서"/>
      <sheetName val="Geo iTMS"/>
      <sheetName val="지급이자"/>
      <sheetName val="실적분석"/>
      <sheetName val="사업자등록증"/>
      <sheetName val="FAB"/>
      <sheetName val="Sales"/>
      <sheetName val="업체손실공수.xls"/>
      <sheetName val="97부과내역_"/>
      <sheetName val="U3_1"/>
      <sheetName val="24_보증금(전신전화가입권)1"/>
      <sheetName val="5-4_생산필요공수및인원"/>
      <sheetName val="JOB_Assign"/>
      <sheetName val="Fruit_Pending_Order"/>
      <sheetName val="제품수불_(기초)"/>
      <sheetName val="엘지엠알오"/>
      <sheetName val="tsuga"/>
      <sheetName val="95D"/>
      <sheetName val="94D"/>
      <sheetName val="회사제시"/>
      <sheetName val="000000"/>
      <sheetName val="Signups"/>
      <sheetName val="Nvision Data"/>
      <sheetName val="San Luis"/>
      <sheetName val="MOTLIST"/>
      <sheetName val="_ "/>
      <sheetName val="__"/>
      <sheetName val="_x005f_x005f_x005f_x0000_ "/>
      <sheetName val="(법인,토지)등기_x005f_x005f_x005f_x0002_?鉘K_x005f"/>
      <sheetName val="(법인,토지)등기_x005f_x005f_x005f_x0002_?銨7_x005f"/>
      <sheetName val="(법인,토지)등기_x005f_x005f_x005f_x0002_?鑀0."/>
      <sheetName val="(법인,토지)등기_x005f_x005f_x005f_x0002_?釘6."/>
      <sheetName val="_x005f_x005f_x005f_x005f_x005f_x005f_x005f_x0000_ "/>
      <sheetName val="COUNT STATUS"/>
      <sheetName val="차체"/>
      <sheetName val="BRAKE"/>
      <sheetName val="TOTAL LIST"/>
      <sheetName val="MBLB"/>
      <sheetName val="YM"/>
      <sheetName val="MB51"/>
      <sheetName val="Vendor"/>
      <sheetName val="Daten"/>
      <sheetName val="Drop-Down Lists"/>
      <sheetName val="Wkz_PBD"/>
      <sheetName val="Notes"/>
      <sheetName val="Clause 9"/>
      <sheetName val="Eq. Mobilization"/>
      <sheetName val="Cash flow details"/>
      <sheetName val="Assumptions Teesta"/>
      <sheetName val="Equity Requirement Analysis"/>
      <sheetName val="Jindal"/>
      <sheetName val="DCF_MREPL"/>
      <sheetName val="(법인,토지)등기_x005f_x0002__x005f_x0000_鑀0_"/>
      <sheetName val="(법인,토지)등기_x005f_x0002__x005f_x0000_釘6_"/>
      <sheetName val="(법인,토지)등기_x005f_x0002__鑀0_"/>
      <sheetName val="(법인,토지)등기_x005f_x0002__釘6_"/>
      <sheetName val="손익계산서"/>
      <sheetName val="손익합산"/>
      <sheetName val="ISP경우_회선"/>
      <sheetName val="SMXEXPS"/>
      <sheetName val="전체현황(확정)"/>
      <sheetName val="출자한도1031"/>
      <sheetName val="집계표"/>
      <sheetName val="예산내역서(총괄)"/>
      <sheetName val="예산내역서"/>
      <sheetName val="공제대산출"/>
      <sheetName val="운반공사,공구손료"/>
      <sheetName val="Sheet2"/>
      <sheetName val="97년"/>
      <sheetName val="완성차 미수금"/>
      <sheetName val="Assumpt"/>
      <sheetName val="INPUT(1)"/>
      <sheetName val="96기지국"/>
      <sheetName val="97기지국"/>
      <sheetName val="정의"/>
      <sheetName val="가정"/>
      <sheetName val="270"/>
      <sheetName val="손익분석"/>
      <sheetName val="고정자산원본"/>
      <sheetName val="인건비예산(정규직)"/>
      <sheetName val="본사출하"/>
      <sheetName val="현지요약"/>
      <sheetName val="업무계획1"/>
      <sheetName val="MatchCode"/>
      <sheetName val="현금과예금"/>
      <sheetName val="JT3.0견적-구1"/>
      <sheetName val="기본입력사항"/>
      <sheetName val="과6"/>
      <sheetName val="품종별월계"/>
      <sheetName val="대차대조표-공시형"/>
      <sheetName val="출금실적"/>
      <sheetName val="실적"/>
      <sheetName val="업무분장_7"/>
      <sheetName val="A9-1~5_7"/>
      <sheetName val="A9-부2_7"/>
      <sheetName val="to_do7"/>
      <sheetName val="M&amp;G_Outstanding_Data6"/>
      <sheetName val="산업은행_경영지표6"/>
      <sheetName val="Initial_Input_Variable6"/>
      <sheetName val="Income_Statement6"/>
      <sheetName val="Shareholders'_Equity6"/>
      <sheetName val="Rent_roll6"/>
      <sheetName val="재고_6"/>
      <sheetName val="4__Leverage_-_out6"/>
      <sheetName val="CT_6"/>
      <sheetName val="10월_(2)6"/>
      <sheetName val="동양제과_12월6"/>
      <sheetName val="크라운제과_12월6"/>
      <sheetName val="Front_Cover5"/>
      <sheetName val="매출_물동명세5"/>
      <sheetName val="6A_CA5"/>
      <sheetName val="CostApp_5"/>
      <sheetName val="1_1_Project_Data5"/>
      <sheetName val="sch_list_(2)5"/>
      <sheetName val="spares_timing5"/>
      <sheetName val="PROC_CHARGE5"/>
      <sheetName val="After_Apr_05_List_rso_dom5"/>
      <sheetName val="oth_exp_final4"/>
      <sheetName val="w_o_exp_final_(2)4"/>
      <sheetName val="change_fdy4"/>
      <sheetName val="?_4"/>
      <sheetName val="LDP_505"/>
      <sheetName val="외상매출금현황-수정분_A24"/>
      <sheetName val="Tax_FY_09-104"/>
      <sheetName val="Sch_7-134"/>
      <sheetName val="MAR_A4"/>
      <sheetName val="118_세금과공과1"/>
      <sheetName val="108_수선비1"/>
      <sheetName val="1_MDF1공장1"/>
      <sheetName val="CY0_Actual1"/>
      <sheetName val="MUS_Calculations-_Figure_5410_1"/>
      <sheetName val="7_수탁수수료현황"/>
      <sheetName val="1_현금예금"/>
      <sheetName val="Debt_Service_Schedule"/>
      <sheetName val="Data_validation2"/>
      <sheetName val="2_대외공문"/>
      <sheetName val="1공장_재공품생산현황"/>
      <sheetName val="외주현황_wq1"/>
      <sheetName val="(법인,토지)등기_x005f_x0002__x005f_x0000_鈰__"/>
      <sheetName val="(법인,토지)등기_x005f_x0002_?鑀0_"/>
      <sheetName val="(법인,토지)등기_x005f_x0002_?釘6_"/>
      <sheetName val="(법인,토지)등기_x005f_x0002_?鈰_x005f_x000f__"/>
      <sheetName val="(법인,토지)등기_x005f_x0002_?鈰__"/>
      <sheetName val="_x005f_x0000__"/>
      <sheetName val="_1"/>
      <sheetName val="(법인,토지)등기_x005f_x0002__鈰_x005f_x000f__"/>
      <sheetName val="(법인,토지)등기_x005f_x0002__鈰__"/>
      <sheetName val="Other_creditors"/>
      <sheetName val="Amt_due_to_Related_companies"/>
      <sheetName val="Indirect_tax_payable"/>
      <sheetName val="Accrued_expenses"/>
    </sheetNames>
    <sheetDataSet>
      <sheetData sheetId="0" refreshError="1">
        <row r="45">
          <cell r="F45" t="str">
            <v>V</v>
          </cell>
        </row>
      </sheetData>
      <sheetData sheetId="1" refreshError="1"/>
      <sheetData sheetId="2"/>
      <sheetData sheetId="3">
        <row r="45">
          <cell r="F45" t="str">
            <v>V</v>
          </cell>
        </row>
      </sheetData>
      <sheetData sheetId="4">
        <row r="45">
          <cell r="F45" t="str">
            <v>V</v>
          </cell>
        </row>
      </sheetData>
      <sheetData sheetId="5">
        <row r="4">
          <cell r="A4" t="str">
            <v>감사기준일 : 1999.12.31</v>
          </cell>
        </row>
      </sheetData>
      <sheetData sheetId="6">
        <row r="1">
          <cell r="A1" t="str">
            <v>감 사 업 무 분 담 표</v>
          </cell>
        </row>
      </sheetData>
      <sheetData sheetId="7">
        <row r="45">
          <cell r="F45" t="str">
            <v>V</v>
          </cell>
        </row>
      </sheetData>
      <sheetData sheetId="8">
        <row r="4">
          <cell r="A4" t="str">
            <v>감사기준일 : 1999.12.31</v>
          </cell>
        </row>
      </sheetData>
      <sheetData sheetId="9">
        <row r="1">
          <cell r="A1" t="str">
            <v>감 사 업 무 분 담 표</v>
          </cell>
        </row>
      </sheetData>
      <sheetData sheetId="10">
        <row r="45">
          <cell r="F45" t="str">
            <v>V</v>
          </cell>
        </row>
      </sheetData>
      <sheetData sheetId="11">
        <row r="45">
          <cell r="F45" t="str">
            <v>V</v>
          </cell>
        </row>
      </sheetData>
      <sheetData sheetId="12">
        <row r="1">
          <cell r="A1" t="str">
            <v>감 사 업 무 분 담 표</v>
          </cell>
        </row>
      </sheetData>
      <sheetData sheetId="13">
        <row r="4">
          <cell r="A4" t="str">
            <v>감사기준일 : 1999.12.31</v>
          </cell>
        </row>
      </sheetData>
      <sheetData sheetId="14">
        <row r="1">
          <cell r="A1" t="str">
            <v>감 사 업 무 분 담 표</v>
          </cell>
        </row>
      </sheetData>
      <sheetData sheetId="15">
        <row r="45">
          <cell r="F45" t="str">
            <v>V</v>
          </cell>
        </row>
      </sheetData>
      <sheetData sheetId="16">
        <row r="45">
          <cell r="F45" t="str">
            <v>V</v>
          </cell>
        </row>
      </sheetData>
      <sheetData sheetId="17"/>
      <sheetData sheetId="18" refreshError="1"/>
      <sheetData sheetId="19" refreshError="1"/>
      <sheetData sheetId="20" refreshError="1"/>
      <sheetData sheetId="21">
        <row r="4">
          <cell r="A4" t="str">
            <v>감사기준일 : 1999.12.31</v>
          </cell>
        </row>
      </sheetData>
      <sheetData sheetId="22">
        <row r="1">
          <cell r="A1" t="str">
            <v>감 사 업 무 분 담 표</v>
          </cell>
        </row>
      </sheetData>
      <sheetData sheetId="23"/>
      <sheetData sheetId="24">
        <row r="45">
          <cell r="F45" t="str">
            <v>V</v>
          </cell>
        </row>
      </sheetData>
      <sheetData sheetId="25">
        <row r="45">
          <cell r="F45" t="str">
            <v>V</v>
          </cell>
        </row>
      </sheetData>
      <sheetData sheetId="26">
        <row r="4">
          <cell r="A4" t="str">
            <v>감사기준일 : 1999.12.31</v>
          </cell>
        </row>
      </sheetData>
      <sheetData sheetId="27">
        <row r="1">
          <cell r="A1" t="str">
            <v>감 사 업 무 분 담 표</v>
          </cell>
        </row>
      </sheetData>
      <sheetData sheetId="28">
        <row r="45">
          <cell r="F45" t="str">
            <v>V</v>
          </cell>
        </row>
      </sheetData>
      <sheetData sheetId="29">
        <row r="4">
          <cell r="A4" t="str">
            <v>감사기준일 : 1999.12.31</v>
          </cell>
        </row>
      </sheetData>
      <sheetData sheetId="30">
        <row r="1">
          <cell r="A1" t="str">
            <v>감 사 업 무 분 담 표</v>
          </cell>
        </row>
      </sheetData>
      <sheetData sheetId="31">
        <row r="45">
          <cell r="F45" t="str">
            <v>V</v>
          </cell>
        </row>
      </sheetData>
      <sheetData sheetId="32">
        <row r="45">
          <cell r="F45" t="str">
            <v>V</v>
          </cell>
        </row>
      </sheetData>
      <sheetData sheetId="33">
        <row r="1">
          <cell r="A1" t="str">
            <v>감 사 업 무 분 담 표</v>
          </cell>
        </row>
      </sheetData>
      <sheetData sheetId="34">
        <row r="4">
          <cell r="A4" t="str">
            <v>감사기준일 : 1999.12.31</v>
          </cell>
        </row>
      </sheetData>
      <sheetData sheetId="35">
        <row r="1">
          <cell r="A1" t="str">
            <v>감 사 업 무 분 담 표</v>
          </cell>
        </row>
      </sheetData>
      <sheetData sheetId="36">
        <row r="45">
          <cell r="F45" t="str">
            <v>V</v>
          </cell>
        </row>
      </sheetData>
      <sheetData sheetId="37">
        <row r="45">
          <cell r="F45" t="str">
            <v>V</v>
          </cell>
        </row>
      </sheetData>
      <sheetData sheetId="38"/>
      <sheetData sheetId="39">
        <row r="4">
          <cell r="A4" t="str">
            <v>감사기준일 : 1999.12.31</v>
          </cell>
        </row>
      </sheetData>
      <sheetData sheetId="40">
        <row r="1">
          <cell r="A1" t="str">
            <v>감 사 업 무 분 담 표</v>
          </cell>
        </row>
      </sheetData>
      <sheetData sheetId="41">
        <row r="45">
          <cell r="F45" t="str">
            <v>V</v>
          </cell>
        </row>
      </sheetData>
      <sheetData sheetId="42">
        <row r="4">
          <cell r="A4" t="str">
            <v>감사기준일 : 1999.12.31</v>
          </cell>
        </row>
      </sheetData>
      <sheetData sheetId="43">
        <row r="1">
          <cell r="A1" t="str">
            <v>감 사 업 무 분 담 표</v>
          </cell>
        </row>
      </sheetData>
      <sheetData sheetId="44">
        <row r="45">
          <cell r="F45" t="str">
            <v>V</v>
          </cell>
        </row>
      </sheetData>
      <sheetData sheetId="45">
        <row r="45">
          <cell r="F45" t="str">
            <v>V</v>
          </cell>
        </row>
      </sheetData>
      <sheetData sheetId="46">
        <row r="45">
          <cell r="F45" t="str">
            <v>V</v>
          </cell>
        </row>
      </sheetData>
      <sheetData sheetId="47">
        <row r="4">
          <cell r="A4" t="str">
            <v>감사기준일 : 1999.12.31</v>
          </cell>
        </row>
      </sheetData>
      <sheetData sheetId="48">
        <row r="1">
          <cell r="A1" t="str">
            <v>감 사 업 무 분 담 표</v>
          </cell>
        </row>
      </sheetData>
      <sheetData sheetId="49">
        <row r="45">
          <cell r="F45" t="str">
            <v>V</v>
          </cell>
        </row>
      </sheetData>
      <sheetData sheetId="50">
        <row r="4">
          <cell r="A4" t="str">
            <v>감사기준일 : 1999.12.31</v>
          </cell>
        </row>
      </sheetData>
      <sheetData sheetId="51"/>
      <sheetData sheetId="52">
        <row r="45">
          <cell r="F45" t="str">
            <v>V</v>
          </cell>
        </row>
      </sheetData>
      <sheetData sheetId="53"/>
      <sheetData sheetId="54">
        <row r="1">
          <cell r="A1" t="str">
            <v>감 사 업 무 분 담 표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>
        <row r="1">
          <cell r="A1" t="str">
            <v>감 사 업 무 분 담 표</v>
          </cell>
        </row>
      </sheetData>
      <sheetData sheetId="172">
        <row r="1">
          <cell r="A1" t="str">
            <v>감 사 업 무 분 담 표</v>
          </cell>
        </row>
      </sheetData>
      <sheetData sheetId="173">
        <row r="1">
          <cell r="A1" t="str">
            <v>감 사 업 무 분 담 표</v>
          </cell>
        </row>
      </sheetData>
      <sheetData sheetId="174">
        <row r="1">
          <cell r="A1" t="str">
            <v>감 사 업 무 분 담 표</v>
          </cell>
        </row>
      </sheetData>
      <sheetData sheetId="175">
        <row r="1">
          <cell r="A1" t="str">
            <v>감 사 업 무 분 담 표</v>
          </cell>
        </row>
      </sheetData>
      <sheetData sheetId="176">
        <row r="1">
          <cell r="A1" t="str">
            <v>감 사 업 무 분 담 표</v>
          </cell>
        </row>
      </sheetData>
      <sheetData sheetId="177">
        <row r="1">
          <cell r="A1" t="str">
            <v>감 사 업 무 분 담 표</v>
          </cell>
        </row>
      </sheetData>
      <sheetData sheetId="178">
        <row r="1">
          <cell r="A1" t="str">
            <v>감 사 업 무 분 담 표</v>
          </cell>
        </row>
      </sheetData>
      <sheetData sheetId="179">
        <row r="1">
          <cell r="A1" t="str">
            <v>감 사 업 무 분 담 표</v>
          </cell>
        </row>
      </sheetData>
      <sheetData sheetId="180">
        <row r="1">
          <cell r="A1" t="str">
            <v>감 사 업 무 분 담 표</v>
          </cell>
        </row>
      </sheetData>
      <sheetData sheetId="181">
        <row r="1">
          <cell r="A1" t="str">
            <v>감 사 업 무 분 담 표</v>
          </cell>
        </row>
      </sheetData>
      <sheetData sheetId="182">
        <row r="1">
          <cell r="A1" t="str">
            <v>감 사 업 무 분 담 표</v>
          </cell>
        </row>
      </sheetData>
      <sheetData sheetId="183" refreshError="1"/>
      <sheetData sheetId="184">
        <row r="1">
          <cell r="A1" t="str">
            <v>감 사 업 무 분 담 표</v>
          </cell>
        </row>
      </sheetData>
      <sheetData sheetId="185">
        <row r="1">
          <cell r="A1" t="str">
            <v>감 사 업 무 분 담 표</v>
          </cell>
        </row>
      </sheetData>
      <sheetData sheetId="186">
        <row r="1">
          <cell r="A1" t="str">
            <v>감 사 업 무 분 담 표</v>
          </cell>
        </row>
      </sheetData>
      <sheetData sheetId="187">
        <row r="1">
          <cell r="A1" t="str">
            <v>감 사 업 무 분 담 표</v>
          </cell>
        </row>
      </sheetData>
      <sheetData sheetId="188">
        <row r="1">
          <cell r="A1" t="str">
            <v>감 사 업 무 분 담 표</v>
          </cell>
        </row>
      </sheetData>
      <sheetData sheetId="189">
        <row r="1">
          <cell r="A1" t="str">
            <v>감 사 업 무 분 담 표</v>
          </cell>
        </row>
      </sheetData>
      <sheetData sheetId="190">
        <row r="1">
          <cell r="A1" t="str">
            <v>감 사 업 무 분 담 표</v>
          </cell>
        </row>
      </sheetData>
      <sheetData sheetId="191">
        <row r="1">
          <cell r="A1" t="str">
            <v>감 사 업 무 분 담 표</v>
          </cell>
        </row>
      </sheetData>
      <sheetData sheetId="192">
        <row r="1">
          <cell r="A1" t="str">
            <v>감 사 업 무 분 담 표</v>
          </cell>
        </row>
      </sheetData>
      <sheetData sheetId="193">
        <row r="1">
          <cell r="A1" t="str">
            <v>감 사 업 무 분 담 표</v>
          </cell>
        </row>
      </sheetData>
      <sheetData sheetId="194">
        <row r="1">
          <cell r="A1" t="str">
            <v>감 사 업 무 분 담 표</v>
          </cell>
        </row>
      </sheetData>
      <sheetData sheetId="195">
        <row r="1">
          <cell r="A1" t="str">
            <v>감 사 업 무 분 담 표</v>
          </cell>
        </row>
      </sheetData>
      <sheetData sheetId="196">
        <row r="1">
          <cell r="A1" t="str">
            <v>감 사 업 무 분 담 표</v>
          </cell>
        </row>
      </sheetData>
      <sheetData sheetId="197">
        <row r="1">
          <cell r="A1" t="str">
            <v>감 사 업 무 분 담 표</v>
          </cell>
        </row>
      </sheetData>
      <sheetData sheetId="198">
        <row r="1">
          <cell r="A1" t="str">
            <v>감 사 업 무 분 담 표</v>
          </cell>
        </row>
      </sheetData>
      <sheetData sheetId="199">
        <row r="1">
          <cell r="A1" t="str">
            <v>감 사 업 무 분 담 표</v>
          </cell>
        </row>
      </sheetData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>
        <row r="1">
          <cell r="A1" t="str">
            <v>감 사 업 무 분 담 표</v>
          </cell>
        </row>
      </sheetData>
      <sheetData sheetId="296">
        <row r="45">
          <cell r="F45" t="str">
            <v>V</v>
          </cell>
        </row>
      </sheetData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>
        <row r="1">
          <cell r="A1" t="str">
            <v>감 사 업 무 분 담 표</v>
          </cell>
        </row>
      </sheetData>
      <sheetData sheetId="306">
        <row r="45">
          <cell r="F45" t="str">
            <v>V</v>
          </cell>
        </row>
      </sheetData>
      <sheetData sheetId="307">
        <row r="1">
          <cell r="A1" t="str">
            <v>감 사 업 무 분 담 표</v>
          </cell>
        </row>
      </sheetData>
      <sheetData sheetId="308">
        <row r="1">
          <cell r="A1" t="str">
            <v>감 사 업 무 분 담 표</v>
          </cell>
        </row>
      </sheetData>
      <sheetData sheetId="309"/>
      <sheetData sheetId="310">
        <row r="45">
          <cell r="F45" t="str">
            <v>V</v>
          </cell>
        </row>
      </sheetData>
      <sheetData sheetId="311">
        <row r="1">
          <cell r="A1" t="str">
            <v>감 사 업 무 분 담 표</v>
          </cell>
        </row>
      </sheetData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>
        <row r="1">
          <cell r="A1" t="str">
            <v>감 사 업 무 분 담 표</v>
          </cell>
        </row>
      </sheetData>
      <sheetData sheetId="362">
        <row r="45">
          <cell r="F45" t="str">
            <v>V</v>
          </cell>
        </row>
      </sheetData>
      <sheetData sheetId="363">
        <row r="45">
          <cell r="F45" t="str">
            <v>V</v>
          </cell>
        </row>
      </sheetData>
      <sheetData sheetId="364">
        <row r="45">
          <cell r="F45" t="str">
            <v>V</v>
          </cell>
        </row>
      </sheetData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>
        <row r="1">
          <cell r="A1" t="str">
            <v>감 사 업 무 분 담 표</v>
          </cell>
        </row>
      </sheetData>
      <sheetData sheetId="413">
        <row r="45">
          <cell r="F45" t="str">
            <v>V</v>
          </cell>
        </row>
      </sheetData>
      <sheetData sheetId="414">
        <row r="45">
          <cell r="F45" t="str">
            <v>V</v>
          </cell>
        </row>
      </sheetData>
      <sheetData sheetId="415">
        <row r="45">
          <cell r="F45" t="str">
            <v>V</v>
          </cell>
        </row>
      </sheetData>
      <sheetData sheetId="416"/>
      <sheetData sheetId="417"/>
      <sheetData sheetId="418"/>
      <sheetData sheetId="419"/>
      <sheetData sheetId="420">
        <row r="1">
          <cell r="A1" t="str">
            <v>감 사 업 무 분 담 표</v>
          </cell>
        </row>
      </sheetData>
      <sheetData sheetId="421">
        <row r="45">
          <cell r="F45" t="str">
            <v>V</v>
          </cell>
        </row>
      </sheetData>
      <sheetData sheetId="422">
        <row r="45">
          <cell r="F45" t="str">
            <v>V</v>
          </cell>
        </row>
      </sheetData>
      <sheetData sheetId="423"/>
      <sheetData sheetId="424">
        <row r="45">
          <cell r="F45" t="str">
            <v>V</v>
          </cell>
        </row>
      </sheetData>
      <sheetData sheetId="425">
        <row r="45">
          <cell r="F45" t="str">
            <v>V</v>
          </cell>
        </row>
      </sheetData>
      <sheetData sheetId="426">
        <row r="45">
          <cell r="F45" t="str">
            <v>V</v>
          </cell>
        </row>
      </sheetData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>
        <row r="1">
          <cell r="A1" t="str">
            <v>감 사 업 무 분 담 표</v>
          </cell>
        </row>
      </sheetData>
      <sheetData sheetId="443">
        <row r="45">
          <cell r="F45" t="str">
            <v>V</v>
          </cell>
        </row>
      </sheetData>
      <sheetData sheetId="444">
        <row r="45">
          <cell r="F45" t="str">
            <v>V</v>
          </cell>
        </row>
      </sheetData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>
        <row r="1">
          <cell r="A1" t="str">
            <v>감 사 업 무 분 담 표</v>
          </cell>
        </row>
      </sheetData>
      <sheetData sheetId="483">
        <row r="45">
          <cell r="F45" t="str">
            <v>V</v>
          </cell>
        </row>
      </sheetData>
      <sheetData sheetId="484">
        <row r="1">
          <cell r="A1" t="str">
            <v>감 사 업 무 분 담 표</v>
          </cell>
        </row>
      </sheetData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>
        <row r="1">
          <cell r="A1" t="str">
            <v>감 사 업 무 분 담 표</v>
          </cell>
        </row>
      </sheetData>
      <sheetData sheetId="573" refreshError="1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지급어음(일별)"/>
      <sheetName val="손익분기점 데이터"/>
      <sheetName val="인원계획-미화"/>
      <sheetName val="한일자야(감액손실) (2)"/>
      <sheetName val="익월작업계힉"/>
      <sheetName val="Journal"/>
      <sheetName val="회사정보"/>
      <sheetName val="노무비"/>
      <sheetName val="지분법(AK) (2)"/>
      <sheetName val="동원인원"/>
      <sheetName val="CHECK LIST"/>
      <sheetName val="入力用(家賃)"/>
      <sheetName val="入力用(駐車)"/>
      <sheetName val="Template"/>
      <sheetName val="הגדרה"/>
      <sheetName val="일위대가"/>
      <sheetName val="지수산출"/>
      <sheetName val="(Monthly)"/>
      <sheetName val="I. Assumptions"/>
      <sheetName val="Budget"/>
      <sheetName val="감가상각"/>
      <sheetName val="INPUT"/>
      <sheetName val="지분법(지분수정전)"/>
      <sheetName val="Sheet1"/>
      <sheetName val="賃料等一覧"/>
      <sheetName val="1Month+Sheet2!"/>
      <sheetName val="conclusion"/>
      <sheetName val="결정단가"/>
      <sheetName val="comparables"/>
      <sheetName val="Deduction"/>
      <sheetName val="other"/>
      <sheetName val="지급어음"/>
      <sheetName val="Data(인원)"/>
      <sheetName val="Summary"/>
      <sheetName val="투자자산종합"/>
      <sheetName val="issued"/>
      <sheetName val="계정분류"/>
      <sheetName val="데이타"/>
      <sheetName val="C図面拾い"/>
      <sheetName val="건축개요"/>
      <sheetName val="재무가정"/>
      <sheetName val="상가매매0115"/>
      <sheetName val="상가임대0115"/>
      <sheetName val="목록"/>
      <sheetName val="중기"/>
      <sheetName val="빌딩코드"/>
      <sheetName val="データ"/>
      <sheetName val="직재"/>
      <sheetName val="재집"/>
      <sheetName val="구분"/>
      <sheetName val="MOTOR"/>
      <sheetName val="설계조건"/>
      <sheetName val="準備ｼｰﾄ"/>
      <sheetName val="식음료"/>
      <sheetName val="단가"/>
      <sheetName val="공통"/>
      <sheetName val="drivers"/>
      <sheetName val="고가수조"/>
      <sheetName val="24.보증금(전신전화가입권)"/>
      <sheetName val="현금흐름표"/>
      <sheetName val="추가예산"/>
      <sheetName val="OPREV(대한)"/>
      <sheetName val="util"/>
      <sheetName val="이자수익수정사항"/>
      <sheetName val="식재인부"/>
      <sheetName val="가격비"/>
      <sheetName val="Initial Input Variable"/>
      <sheetName val="ベース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총괄표"/>
      <sheetName val="작성"/>
      <sheetName val="物件概要"/>
      <sheetName val="Collateral"/>
      <sheetName val="土地建物"/>
      <sheetName val="Tax"/>
      <sheetName val="청천내"/>
      <sheetName val="첨"/>
      <sheetName val="BID"/>
      <sheetName val="TOEIC기준점수"/>
      <sheetName val="Assumptions"/>
      <sheetName val="총무팀"/>
      <sheetName val="마포-임현"/>
      <sheetName val="수지차(년)"/>
      <sheetName val="관계회사거래내역및 채권채무잔액 99"/>
      <sheetName val="외동,공시지가"/>
      <sheetName val="대구은행"/>
      <sheetName val="대동은행"/>
      <sheetName val="하나은행"/>
      <sheetName val="단가산출"/>
      <sheetName val="Tables"/>
      <sheetName val="민감도"/>
      <sheetName val="XREF"/>
      <sheetName val="조명시설"/>
      <sheetName val="건물대사"/>
      <sheetName val="직접경비"/>
      <sheetName val="직접인건비"/>
      <sheetName val="차액보증"/>
      <sheetName val="시장"/>
      <sheetName val="캔개발배경"/>
      <sheetName val="일정표"/>
      <sheetName val="실행철강하도"/>
      <sheetName val="Macro1"/>
      <sheetName val="연차1"/>
      <sheetName val="2.대외공문"/>
      <sheetName val="수정시산표"/>
      <sheetName val="단가산출(T)"/>
      <sheetName val="산출내역서"/>
      <sheetName val="양식"/>
      <sheetName val="손익"/>
      <sheetName val="예수금"/>
      <sheetName val="연구인원내역"/>
      <sheetName val="기본"/>
      <sheetName val="요약"/>
      <sheetName val="일반(본사)"/>
      <sheetName val="일반(의성)"/>
      <sheetName val="미수금(공동공사비)"/>
      <sheetName val="3ND 64M"/>
      <sheetName val="9703"/>
      <sheetName val="기계"/>
      <sheetName val="비품"/>
      <sheetName val="영업외손"/>
      <sheetName val="일반관리"/>
      <sheetName val="특별손익"/>
      <sheetName val="Output"/>
      <sheetName val="CALENDAR"/>
      <sheetName val="여과지동"/>
      <sheetName val="기초자료"/>
      <sheetName val="수주단가"/>
      <sheetName val="기말재공품opc"/>
      <sheetName val="대외공문"/>
      <sheetName val="기초코드"/>
      <sheetName val="예수금(일반)"/>
      <sheetName val="CODE"/>
      <sheetName val="9710"/>
      <sheetName val="상품입고집계"/>
      <sheetName val="업무분장 "/>
      <sheetName val="공정"/>
      <sheetName val="ASSIGN"/>
      <sheetName val="회사BS"/>
      <sheetName val="TEMP1"/>
      <sheetName val="공급설비"/>
      <sheetName val="#REF"/>
      <sheetName val="GRACE"/>
      <sheetName val="총괄"/>
      <sheetName val="1-1-1-2"/>
      <sheetName val="control sheet"/>
      <sheetName val="거래선"/>
      <sheetName val="3-4현"/>
      <sheetName val="3-3현"/>
      <sheetName val="97KJIST"/>
      <sheetName val="생산직"/>
      <sheetName val="BM_NEW2"/>
      <sheetName val="채권(하반기)"/>
      <sheetName val="연체대출"/>
      <sheetName val="주당순이익"/>
      <sheetName val="주주명부&lt;끝&gt;"/>
      <sheetName val="Jul"/>
      <sheetName val="업체손실공수.xls"/>
      <sheetName val="현금및현금등가물1"/>
      <sheetName val="Macro2"/>
      <sheetName val="CAUDIT"/>
      <sheetName val="집계표"/>
      <sheetName val="2005 AR"/>
      <sheetName val="2005advance"/>
      <sheetName val="2005advance to suppliers"/>
      <sheetName val="AP 2005"/>
      <sheetName val="유림골조"/>
      <sheetName val="품목단가"/>
      <sheetName val="출납계획"/>
      <sheetName val="Cash Flow"/>
      <sheetName val="선급금"/>
      <sheetName val="リスト"/>
      <sheetName val="이익잉여금처분계산서"/>
      <sheetName val="변수"/>
      <sheetName val="6. 안전관리비"/>
      <sheetName val="감사회사"/>
      <sheetName val="갑지(추정)"/>
      <sheetName val="거래처명"/>
      <sheetName val="14.1부"/>
      <sheetName val="FAB별"/>
      <sheetName val="정화조동내역"/>
      <sheetName val="대차대조표"/>
      <sheetName val="1.외주공사"/>
      <sheetName val="2.직영공사"/>
      <sheetName val="3ND_64M"/>
      <sheetName val="터파기및재료"/>
      <sheetName val="내수분석 및 부가세 대조"/>
      <sheetName val="원판매입"/>
      <sheetName val="투입비"/>
      <sheetName val="예산총괄"/>
      <sheetName val="코드표"/>
      <sheetName val="価格変動率"/>
      <sheetName val="1-최종안"/>
      <sheetName val="사업분석-분양가결정"/>
      <sheetName val="3.시설관리_F"/>
      <sheetName val="한일자야(감액손실)_(2)"/>
      <sheetName val="지분법(AK)_(2)"/>
      <sheetName val="CHECK_LIST"/>
      <sheetName val="I__Assumptions"/>
      <sheetName val="손익분기점_데이터"/>
      <sheetName val="24_보증금(전신전화가입권)"/>
      <sheetName val="Initial_Input_Variable"/>
      <sheetName val="관계회사거래내역및_채권채무잔액_99"/>
      <sheetName val="Fut_Perf"/>
      <sheetName val="대손충당금설정 02.12월"/>
      <sheetName val="회전일수별 채권"/>
      <sheetName val="Page 2"/>
      <sheetName val="사업개요&amp;수지분석"/>
      <sheetName val="차입금현황"/>
      <sheetName val="예금총계"/>
      <sheetName val="Sheet5"/>
      <sheetName val="Sheet6"/>
      <sheetName val="개요"/>
      <sheetName val="약품설비"/>
      <sheetName val="산근"/>
      <sheetName val="수량산출"/>
      <sheetName val="현황표-원래"/>
      <sheetName val="지급(진행중)"/>
      <sheetName val="중강당 내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지분법(AK) (2)"/>
      <sheetName val="한일자야(감액손실) (2)"/>
      <sheetName val="현금"/>
      <sheetName val="인원계획-미화"/>
      <sheetName val="S&amp;R"/>
      <sheetName val="지급어음(일별)"/>
      <sheetName val="Baby일위대가"/>
      <sheetName val="Ⅰ-3"/>
      <sheetName val="리츠"/>
      <sheetName val="(Monthly)"/>
      <sheetName val="C図面拾い"/>
    </sheetNames>
    <sheetDataSet>
      <sheetData sheetId="0"/>
      <sheetData sheetId="1">
        <row r="123">
          <cell r="E123" t="str">
            <v>!</v>
          </cell>
        </row>
        <row r="139">
          <cell r="E139" t="str">
            <v>!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건축개요"/>
      <sheetName val="층별개요"/>
      <sheetName val="전기설비"/>
      <sheetName val="기계설비"/>
      <sheetName val="건축물개요"/>
      <sheetName val="조직및 인원계획"/>
      <sheetName val="인원계획-시설"/>
      <sheetName val="인원계획-미화"/>
      <sheetName val="인원계획-보안주차안내"/>
      <sheetName val="자격요원선임"/>
      <sheetName val="견적서"/>
      <sheetName val="총괄견적서"/>
      <sheetName val="견적내역-시설"/>
      <sheetName val="시설운영비"/>
      <sheetName val="장비-시설"/>
      <sheetName val="견적내역-미화 (2)"/>
      <sheetName val="미화운영"/>
      <sheetName val="미화소모품"/>
      <sheetName val="장비-미화"/>
      <sheetName val="견적내역-보안 (2)"/>
      <sheetName val="보안운영"/>
      <sheetName val="장비-보안안내주차"/>
      <sheetName val="예산안"/>
      <sheetName val="연봉산술"/>
      <sheetName val="Sheet3"/>
      <sheetName val="지급어음(일별)"/>
      <sheetName val="노무비"/>
      <sheetName val="공통"/>
      <sheetName val="A1"/>
      <sheetName val="회사정보"/>
      <sheetName val="재무가정"/>
      <sheetName val="Data Sheet"/>
      <sheetName val="Xunit (단위환산)"/>
      <sheetName val="익월작업계힉"/>
      <sheetName val="한일자야(감액손실) (2)"/>
      <sheetName val="賃料等一覧"/>
      <sheetName val="2005 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  <sheetName val="공사개요"/>
      <sheetName val="인원계획-미화"/>
      <sheetName val="Purchase"/>
      <sheetName val="추가예산"/>
      <sheetName val="단체(2)"/>
      <sheetName val="공통산출근거"/>
      <sheetName val="익월작업계힉"/>
      <sheetName val="6-3(2)호_"/>
      <sheetName val="시화점실행"/>
      <sheetName val="지급어음(일별)"/>
      <sheetName val="가격비"/>
      <sheetName val="개요"/>
      <sheetName val="data"/>
      <sheetName val="제품수불내역"/>
      <sheetName val="포장재"/>
      <sheetName val="수액원료4"/>
      <sheetName val="BM_NEW2"/>
      <sheetName val="집계표결과"/>
      <sheetName val="첨"/>
      <sheetName val="민감도분석"/>
      <sheetName val="VXXXXXX"/>
      <sheetName val="1)기본서식"/>
      <sheetName val="지장물-181(2)"/>
      <sheetName val="손익차9월2"/>
      <sheetName val="토지근거 (2)"/>
      <sheetName val="Sheet2"/>
      <sheetName val="재무가정"/>
      <sheetName val="원가서"/>
      <sheetName val="안산2전년대비"/>
      <sheetName val="노무비"/>
      <sheetName val="조명시설"/>
      <sheetName val="주차구획선수량"/>
      <sheetName val="물건조서"/>
      <sheetName val="변수"/>
      <sheetName val="1.CB"/>
      <sheetName val="한일자야(감액손실) (2)"/>
      <sheetName val="0.1keyAssumption"/>
      <sheetName val="0.0ControlSheet"/>
      <sheetName val="건재양식"/>
      <sheetName val="미수금GL"/>
      <sheetName val="6-3(2)호_1"/>
      <sheetName val="해창정"/>
      <sheetName val="생산직"/>
      <sheetName val="Sheet1"/>
      <sheetName val="과"/>
      <sheetName val="터파기및재료"/>
      <sheetName val="24분기"/>
      <sheetName val="데리네이타현황"/>
      <sheetName val="마산방향"/>
      <sheetName val="진주방향"/>
      <sheetName val="토지가격산출기초"/>
      <sheetName val="공시지가"/>
      <sheetName val="일반수량총괄집계"/>
      <sheetName val="DATE"/>
      <sheetName val="이름표"/>
      <sheetName val="공사비증감"/>
      <sheetName val="Label"/>
      <sheetName val="요약&amp;결과"/>
      <sheetName val="물건도(원본)"/>
      <sheetName val="내역서"/>
      <sheetName val="데이타"/>
      <sheetName val="차압계산"/>
      <sheetName val="옥외배관기본공량"/>
      <sheetName val="A4공장"/>
      <sheetName val="본사인상전"/>
      <sheetName val="돈암사업"/>
      <sheetName val="98지급계획"/>
      <sheetName val="산출근거"/>
      <sheetName val="영업총괄"/>
      <sheetName val="영업권1114"/>
      <sheetName val="월간인력"/>
      <sheetName val="인력소요계획"/>
      <sheetName val="수량집계"/>
      <sheetName val="안산기계장치"/>
      <sheetName val="기본가정"/>
      <sheetName val="월별손익"/>
      <sheetName val="보정사항"/>
      <sheetName val="금융비용"/>
      <sheetName val="공통"/>
      <sheetName val="산수(hd-0)"/>
      <sheetName val="산수(hd-1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유동화채권"/>
      <sheetName val="Sheet3"/>
      <sheetName val="커버"/>
      <sheetName val="청산"/>
      <sheetName val="건설공제"/>
      <sheetName val="서울보증"/>
      <sheetName val="대한주택"/>
      <sheetName val="기타기관"/>
      <sheetName val="공익_보증_공사"/>
      <sheetName val="공익_보증_이주비"/>
      <sheetName val="공익_구상_공사"/>
      <sheetName val="공익_구상_기타"/>
      <sheetName val="정리담보"/>
      <sheetName val="정리_확정"/>
      <sheetName val="정리_보증_금융"/>
      <sheetName val="정리_보증_공사"/>
      <sheetName val="정리_보증_이주비"/>
      <sheetName val="정리_구상_공사"/>
      <sheetName val="정리_구상_기타"/>
      <sheetName val="추가예산"/>
      <sheetName val="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건축개요"/>
      <sheetName val="층별개요"/>
      <sheetName val="전기설비"/>
      <sheetName val="기계설비"/>
      <sheetName val="건축물개요"/>
      <sheetName val="조직및 인원계획"/>
      <sheetName val="인원계획-시설"/>
      <sheetName val="인원계획-미화"/>
      <sheetName val="인원계획-보안주차안내"/>
      <sheetName val="자격요원선임"/>
      <sheetName val="견적서"/>
      <sheetName val="총괄견적서"/>
      <sheetName val="견적내역-시설"/>
      <sheetName val="시설운영비"/>
      <sheetName val="장비-시설"/>
      <sheetName val="견적내역-미화 (2)"/>
      <sheetName val="미화운영"/>
      <sheetName val="미화소모품"/>
      <sheetName val="장비-미화"/>
      <sheetName val="견적내역-보안 (2)"/>
      <sheetName val="보안운영"/>
      <sheetName val="장비-보안안내주차"/>
      <sheetName val="예산안"/>
      <sheetName val="연봉산술"/>
      <sheetName val="Sheet3"/>
      <sheetName val="지급어음(일별)"/>
      <sheetName val="조사번호"/>
      <sheetName val="노무비"/>
      <sheetName val="98지급계획"/>
      <sheetName val="入力用(家賃)"/>
      <sheetName val="入力用(駐車)"/>
      <sheetName val="OPREV(대한)"/>
      <sheetName val="S&amp;R"/>
      <sheetName val="로담코총괄제안견적3"/>
      <sheetName val="リスト"/>
      <sheetName val="익월작업계힉"/>
      <sheetName val="정산표"/>
      <sheetName val="Dental City 가정"/>
      <sheetName val="Sens&amp;Anal"/>
      <sheetName val="건물대사"/>
      <sheetName val="Sheet1"/>
      <sheetName val="회사정보"/>
      <sheetName val="조명율표"/>
      <sheetName val="토지"/>
      <sheetName val="집계표"/>
      <sheetName val="총무팀"/>
      <sheetName val="마포-임현"/>
      <sheetName val="구분"/>
      <sheetName val="입찰안"/>
      <sheetName val="8"/>
      <sheetName val="客户余额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지급어음(일별)"/>
      <sheetName val="노무비"/>
      <sheetName val="入力用(家賃)"/>
      <sheetName val="入力用(駐車)"/>
      <sheetName val="인원계획-미화"/>
      <sheetName val="일위대가"/>
      <sheetName val="동원인원"/>
      <sheetName val="한일자야(감액손실) (2)"/>
      <sheetName val="Template"/>
      <sheetName val="CHECK LIST"/>
      <sheetName val="Sheet1"/>
      <sheetName val="賃料等一覧"/>
      <sheetName val="1Month+Sheet2!"/>
      <sheetName val="회사정보"/>
      <sheetName val="Summary"/>
      <sheetName val="투자자산종합"/>
      <sheetName val="익월작업계힉"/>
      <sheetName val="הגדרה"/>
      <sheetName val="지수산출"/>
      <sheetName val="(Monthly)"/>
      <sheetName val="I. Assumptions"/>
      <sheetName val="지분법(AK) (2)"/>
      <sheetName val="Budget"/>
      <sheetName val="감가상각"/>
      <sheetName val="INPUT"/>
      <sheetName val="지분법(지분수정전)"/>
      <sheetName val="Data(인원)"/>
      <sheetName val="구분"/>
      <sheetName val="OPREV(대한)"/>
      <sheetName val="추가예산"/>
      <sheetName val="conclusion"/>
      <sheetName val="결정단가"/>
      <sheetName val="comparables"/>
      <sheetName val="Deduction"/>
      <sheetName val="other"/>
      <sheetName val="지급어음"/>
      <sheetName val="Journal"/>
      <sheetName val="issued"/>
      <sheetName val="계정분류"/>
      <sheetName val="데이타"/>
      <sheetName val="손익분기점 데이터"/>
      <sheetName val="C図面拾い"/>
      <sheetName val="건축개요"/>
      <sheetName val="직재"/>
      <sheetName val="재집"/>
      <sheetName val="準備ｼｰﾄ"/>
      <sheetName val="총무팀"/>
      <sheetName val="마포-임현"/>
      <sheetName val="고가수조"/>
      <sheetName val="drivers"/>
      <sheetName val="재무가정"/>
      <sheetName val="상가매매0115"/>
      <sheetName val="상가임대0115"/>
      <sheetName val="목록"/>
      <sheetName val="중기"/>
      <sheetName val="빌딩코드"/>
      <sheetName val="データ"/>
      <sheetName val="ベース"/>
      <sheetName val="24.보증금(전신전화가입권)"/>
      <sheetName val="청천내"/>
      <sheetName val="첨"/>
      <sheetName val="BID"/>
      <sheetName val="TOEIC기준점수"/>
      <sheetName val="수지차(년)"/>
      <sheetName val="총괄표"/>
      <sheetName val="物件概要"/>
      <sheetName val="Collateral"/>
      <sheetName val="Tax"/>
      <sheetName val="현금흐름표"/>
      <sheetName val="이자수익수정사항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가격비"/>
      <sheetName val="Initial Input Variable"/>
      <sheetName val="식재인부"/>
      <sheetName val="util"/>
      <sheetName val="작성"/>
      <sheetName val="土地建物"/>
      <sheetName val="식음료"/>
      <sheetName val="MOTOR"/>
      <sheetName val="설계조건"/>
      <sheetName val="단가"/>
      <sheetName val="건물대사"/>
      <sheetName val="공통"/>
      <sheetName val="관계회사거래내역및 채권채무잔액 99"/>
      <sheetName val="대구은행"/>
      <sheetName val="대동은행"/>
      <sheetName val="하나은행"/>
      <sheetName val="단가산출"/>
      <sheetName val="Tables"/>
      <sheetName val="민감도"/>
      <sheetName val="XREF"/>
      <sheetName val="외동,공시지가"/>
      <sheetName val="조명시설"/>
      <sheetName val="Assumptions"/>
      <sheetName val="직접경비"/>
      <sheetName val="직접인건비"/>
      <sheetName val="차액보증"/>
      <sheetName val="시장"/>
      <sheetName val="캔개발배경"/>
      <sheetName val="일정표"/>
      <sheetName val="실행철강하도"/>
      <sheetName val="Macro1"/>
      <sheetName val="연차1"/>
      <sheetName val="2.대외공문"/>
      <sheetName val="수정시산표"/>
      <sheetName val="단가산출(T)"/>
      <sheetName val="산출내역서"/>
      <sheetName val="양식"/>
      <sheetName val="손익"/>
      <sheetName val="예수금"/>
      <sheetName val="연구인원내역"/>
      <sheetName val="기본"/>
      <sheetName val="요약"/>
      <sheetName val="일반(본사)"/>
      <sheetName val="일반(의성)"/>
      <sheetName val="미수금(공동공사비)"/>
      <sheetName val="3ND 64M"/>
      <sheetName val="9703"/>
      <sheetName val="기계"/>
      <sheetName val="비품"/>
      <sheetName val="영업외손"/>
      <sheetName val="일반관리"/>
      <sheetName val="특별손익"/>
      <sheetName val="Output"/>
      <sheetName val="CALENDAR"/>
      <sheetName val="여과지동"/>
      <sheetName val="기초자료"/>
      <sheetName val="수주단가"/>
      <sheetName val="기말재공품opc"/>
      <sheetName val="대외공문"/>
      <sheetName val="기초코드"/>
      <sheetName val="예수금(일반)"/>
      <sheetName val="상품입고집계"/>
      <sheetName val="업무분장 "/>
      <sheetName val="リスト"/>
      <sheetName val="CODE"/>
      <sheetName val="9710"/>
      <sheetName val="공정"/>
      <sheetName val="집계표"/>
      <sheetName val="ASSIGN"/>
      <sheetName val="회사BS"/>
      <sheetName val="TEMP1"/>
      <sheetName val="공급설비"/>
      <sheetName val="#REF"/>
      <sheetName val="GRACE"/>
      <sheetName val="총괄"/>
      <sheetName val="1-1-1-2"/>
      <sheetName val="control sheet"/>
      <sheetName val="연체대출"/>
      <sheetName val="주당순이익"/>
      <sheetName val="주주명부&lt;끝&gt;"/>
      <sheetName val="Jul"/>
      <sheetName val="업체손실공수.xls"/>
      <sheetName val="현금및현금등가물1"/>
      <sheetName val="97KJIST"/>
      <sheetName val="생산직"/>
      <sheetName val="Macro2"/>
      <sheetName val="CAUDIT"/>
      <sheetName val="거래선"/>
      <sheetName val="3-4현"/>
      <sheetName val="3-3현"/>
      <sheetName val="BM_NEW2"/>
      <sheetName val="채권(하반기)"/>
      <sheetName val="유림골조"/>
      <sheetName val="품목단가"/>
      <sheetName val="출납계획"/>
      <sheetName val="Cash Flow"/>
      <sheetName val="선급금"/>
      <sheetName val="이익잉여금처분계산서"/>
      <sheetName val="변수"/>
      <sheetName val="6. 안전관리비"/>
      <sheetName val="2005 AR"/>
      <sheetName val="2005advance"/>
      <sheetName val="2005advance to suppliers"/>
      <sheetName val="AP 2005"/>
      <sheetName val="감사회사"/>
      <sheetName val="갑지(추정)"/>
      <sheetName val="거래처명"/>
      <sheetName val="14.1부"/>
      <sheetName val="FAB별"/>
      <sheetName val="정화조동내역"/>
      <sheetName val="대차대조표"/>
      <sheetName val="1.외주공사"/>
      <sheetName val="2.직영공사"/>
      <sheetName val="3ND_64M"/>
      <sheetName val="터파기및재료"/>
      <sheetName val="내수분석 및 부가세 대조"/>
      <sheetName val="원판매입"/>
      <sheetName val="투입비"/>
      <sheetName val="예산총괄"/>
      <sheetName val="코드표"/>
      <sheetName val="価格変動率"/>
      <sheetName val="1-최종안"/>
      <sheetName val="사업분석-분양가결정"/>
      <sheetName val="CASHPROJ"/>
      <sheetName val="Pg 2-NA "/>
      <sheetName val="Fut_Perf"/>
      <sheetName val="대손충당금설정 02.12월"/>
      <sheetName val="회전일수별 채권"/>
      <sheetName val="Page 2"/>
      <sheetName val="현황표-원래"/>
      <sheetName val="지급(진행중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건축개요"/>
      <sheetName val="층별개요"/>
      <sheetName val="전기설비"/>
      <sheetName val="기계설비"/>
      <sheetName val="건축물개요"/>
      <sheetName val="조직및 인원계획"/>
      <sheetName val="인원계획-시설"/>
      <sheetName val="인원계획-미화"/>
      <sheetName val="인원계획-보안주차안내"/>
      <sheetName val="자격요원선임"/>
      <sheetName val="견적서"/>
      <sheetName val="총괄견적서"/>
      <sheetName val="견적내역-시설"/>
      <sheetName val="시설운영비"/>
      <sheetName val="장비-시설"/>
      <sheetName val="견적내역-미화 (2)"/>
      <sheetName val="미화운영"/>
      <sheetName val="미화소모품"/>
      <sheetName val="장비-미화"/>
      <sheetName val="견적내역-보안 (2)"/>
      <sheetName val="보안운영"/>
      <sheetName val="장비-보안안내주차"/>
      <sheetName val="예산안"/>
      <sheetName val="연봉산술"/>
      <sheetName val="Sheet3"/>
      <sheetName val="현장"/>
      <sheetName val="1Month+Sheet2!"/>
      <sheetName val="入力用(家賃)"/>
      <sheetName val="入力用(駐車)"/>
      <sheetName val="OPREV(대한)"/>
      <sheetName val="수지차(년)"/>
      <sheetName val="전체손익"/>
      <sheetName val="구로점"/>
      <sheetName val="가정및결과"/>
      <sheetName val="회사정보"/>
      <sheetName val="지급어음(일별)"/>
      <sheetName val="3본사"/>
      <sheetName val="실행철강하도"/>
      <sheetName val="실행내역"/>
      <sheetName val="H1-1"/>
      <sheetName val="효용적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이자율"/>
      <sheetName val="소트"/>
      <sheetName val="쏘트자료"/>
      <sheetName val="환율이자율"/>
      <sheetName val="44소트"/>
      <sheetName val="34쏘트"/>
      <sheetName val="24쏘트"/>
      <sheetName val="44이자율"/>
      <sheetName val="34이자율"/>
      <sheetName val="44쏘트자료"/>
      <sheetName val="34쏘트자료"/>
      <sheetName val="24쏘트자료"/>
      <sheetName val="24이자율"/>
      <sheetName val="인건비(010330)"/>
      <sheetName val="월간"/>
      <sheetName val="Intro2"/>
      <sheetName val="Id"/>
      <sheetName val="OPREV(대한)"/>
      <sheetName val="1Month+Sheet2!"/>
      <sheetName val="판매량"/>
      <sheetName val="업종코드"/>
      <sheetName val="수정시산표"/>
      <sheetName val="Project_CF"/>
      <sheetName val="공사개요"/>
      <sheetName val="Initial Input Variable"/>
      <sheetName val="효용적수"/>
      <sheetName val="회사정보"/>
      <sheetName val="매입현황"/>
      <sheetName val="수입"/>
      <sheetName val="인원계획-미화"/>
      <sheetName val="본사감가상각대장(비품)"/>
      <sheetName val="하조서"/>
      <sheetName val="손익분석"/>
      <sheetName val="수지차(년)"/>
      <sheetName val="노임단가"/>
      <sheetName val="1월"/>
      <sheetName val="98지급계획"/>
      <sheetName val="현장"/>
      <sheetName val="관계주식"/>
      <sheetName val="세금계산서유"/>
      <sheetName val="Menu_Link"/>
      <sheetName val="퇴충98"/>
      <sheetName val="이름"/>
      <sheetName val="Convert"/>
      <sheetName val="1-7(재가공내역)"/>
      <sheetName val="99선급비용"/>
      <sheetName val="입찰안"/>
      <sheetName val="97년"/>
      <sheetName val="평가결과_사본"/>
      <sheetName val="98실적"/>
      <sheetName val="판매용03"/>
      <sheetName val="서식시트"/>
      <sheetName val="매출원가"/>
      <sheetName val="상정안건"/>
      <sheetName val="WorldQuest"/>
      <sheetName val="집계"/>
      <sheetName val="퇴직기초"/>
      <sheetName val="산출내역(1)"/>
      <sheetName val="견"/>
      <sheetName val="투자예산"/>
      <sheetName val="연구인원내역"/>
      <sheetName val="현장별미수"/>
      <sheetName val="외화계약"/>
      <sheetName val="AIR SHOWER(3인용)"/>
      <sheetName val="종합2"/>
      <sheetName val="118.세금과공과"/>
      <sheetName val="보험금"/>
      <sheetName val="상품입고집계"/>
      <sheetName val="1.취수장"/>
      <sheetName val="15"/>
      <sheetName val="入力用(家賃)"/>
      <sheetName val="入力用(駐車)"/>
      <sheetName val="98년간분기"/>
      <sheetName val="건물대사"/>
      <sheetName val="임대손익"/>
      <sheetName val="XREF"/>
      <sheetName val="조정전"/>
      <sheetName val="평가금액"/>
      <sheetName val="집연95"/>
      <sheetName val="특수직호봉표"/>
      <sheetName val="admin"/>
      <sheetName val="자료"/>
      <sheetName val="코드"/>
      <sheetName val="매매손실준비금"/>
      <sheetName val="Asset98-CAK"/>
      <sheetName val="출자한도"/>
      <sheetName val="CODE"/>
      <sheetName val="PMP등급_9월"/>
      <sheetName val="지급이자"/>
      <sheetName val="산출근거"/>
      <sheetName val="비주거용"/>
      <sheetName val="집계표"/>
      <sheetName val="표지"/>
      <sheetName val="요약BS"/>
      <sheetName val="신구계정대사표"/>
      <sheetName val="경영비율 "/>
      <sheetName val="명세표"/>
      <sheetName val="표준지"/>
      <sheetName val="상여 (2)"/>
      <sheetName val="Initial_Input_Variable"/>
      <sheetName val="#REF"/>
      <sheetName val="도급"/>
      <sheetName val="노무비"/>
      <sheetName val="S&amp;R"/>
      <sheetName val="機器明細(MC)"/>
      <sheetName val="시산표"/>
      <sheetName val="설계내역서"/>
      <sheetName val="EJ"/>
      <sheetName val="품의서취합"/>
      <sheetName val="총원"/>
      <sheetName val="Control Sheet"/>
      <sheetName val="대리이하_상신양식"/>
      <sheetName val="견적대비"/>
      <sheetName val="Sheet1"/>
      <sheetName val="주요품목별판매실적"/>
      <sheetName val="보정사항"/>
      <sheetName val="합천내역"/>
      <sheetName val="2012년 하반기 승진안 및 상신양식_디자인 파트.xls"/>
      <sheetName val="등록자료"/>
      <sheetName val="인사자료총집계"/>
      <sheetName val="대리이하_승진"/>
      <sheetName val="이자수익보조부"/>
      <sheetName val="SIL98"/>
      <sheetName val="GRAPH"/>
      <sheetName val="현장기성(공사)"/>
      <sheetName val="하수급견적대비"/>
      <sheetName val="PHTC"/>
      <sheetName val="종합표"/>
      <sheetName val="이코스"/>
      <sheetName val="부재예실1월"/>
      <sheetName val="04_도료_전체_하순"/>
      <sheetName val="실적"/>
      <sheetName val="단가"/>
      <sheetName val="울산자금"/>
      <sheetName val="자금청구"/>
      <sheetName val="당좌개설보증용"/>
      <sheetName val="금강투자2000"/>
      <sheetName val="당초"/>
      <sheetName val="신림자금"/>
      <sheetName val="GC산출"/>
      <sheetName val="Sheet4"/>
      <sheetName val="BASE"/>
      <sheetName val="조경내역"/>
      <sheetName val="건축비목군분류"/>
      <sheetName val="두께별"/>
      <sheetName val="승용"/>
      <sheetName val="상용"/>
      <sheetName val="준검 내역서"/>
      <sheetName val="실행내역"/>
      <sheetName val="총괄"/>
      <sheetName val="건재양식"/>
      <sheetName val="CAUDIT"/>
      <sheetName val="00실적"/>
      <sheetName val="배수통관(좌)"/>
      <sheetName val="판촉계획(고정)"/>
      <sheetName val="건설성적"/>
      <sheetName val="세부(종합)"/>
      <sheetName val="2. 2012년 실행계획 수립 및 대상선정용 SHEET."/>
      <sheetName val="FG"/>
      <sheetName val="부서"/>
      <sheetName val="보통예금"/>
      <sheetName val="당좌차월"/>
      <sheetName val="가격표"/>
      <sheetName val="산출근거1"/>
      <sheetName val="적격심사표"/>
      <sheetName val="이익잉여금처분계산서"/>
      <sheetName val="재무상태변동표"/>
      <sheetName val="제조원가명세서"/>
      <sheetName val="현금흐름표"/>
      <sheetName val="Macro1"/>
      <sheetName val="공정가치"/>
      <sheetName val="인원_20001101"/>
      <sheetName val="투자2"/>
      <sheetName val="단가비교"/>
      <sheetName val="입력_판매"/>
      <sheetName val="정산표"/>
      <sheetName val="주소 작성"/>
      <sheetName val="타계정에서 명세서(PL상)"/>
      <sheetName val="상품수불"/>
      <sheetName val="5907"/>
      <sheetName val="편성절차"/>
      <sheetName val="생산직"/>
      <sheetName val="9-1차이내역"/>
      <sheetName val="KA011205"/>
      <sheetName val="5사남"/>
      <sheetName val="손익"/>
      <sheetName val="변동"/>
      <sheetName val="STROKE별 단가"/>
      <sheetName val="8월차잔"/>
      <sheetName val="FAB별"/>
      <sheetName val="Sheet3"/>
      <sheetName val="내역"/>
      <sheetName val="3월연장근무"/>
      <sheetName val="당기추가완료"/>
      <sheetName val="주요재무비율"/>
      <sheetName val="LIST"/>
      <sheetName val="AIR_SHOWER(3인용)"/>
      <sheetName val="경영비율_"/>
      <sheetName val="상여_(2)"/>
      <sheetName val="118_세금과공과"/>
      <sheetName val="1_취수장"/>
      <sheetName val="재료비집계표"/>
      <sheetName val="외화가수금"/>
      <sheetName val="2001Org"/>
      <sheetName val="소계정"/>
      <sheetName val="본부96(1차)"/>
      <sheetName val="월소계정(최종)"/>
      <sheetName val="본부증가(최종)"/>
      <sheetName val="배부기준별비용"/>
      <sheetName val="unit배부표"/>
      <sheetName val="비교표"/>
      <sheetName val="초고압제조원가계획"/>
      <sheetName val="고압제조원가계획"/>
      <sheetName val="Mark"/>
      <sheetName val="1. Svc_Sales"/>
      <sheetName val="2. Portfolio"/>
      <sheetName val="3. SVC_Price(Avg)"/>
      <sheetName val="4.  Net Gain"/>
      <sheetName val="5.1Q_SVC(callback)"/>
      <sheetName val="5.2 Q_SVC(Response)"/>
      <sheetName val="5.3 Q_SVC(all)"/>
      <sheetName val="SVC_Portfolio(1)"/>
      <sheetName val="2008년판매현황 (조정)"/>
      <sheetName val="참고_장르별매출"/>
      <sheetName val="무형자산명세서"/>
      <sheetName val="내외국인총괄"/>
      <sheetName val="3월"/>
      <sheetName val="그래프 (2)"/>
      <sheetName val="2.대상자"/>
      <sheetName val="정보"/>
      <sheetName val="데이터베이스"/>
      <sheetName val="9903말 현재"/>
      <sheetName val="당월금액"/>
      <sheetName val="ATM기초철가"/>
      <sheetName val="외화평가"/>
      <sheetName val="제품단가"/>
      <sheetName val="그래프_(2)"/>
      <sheetName val="2_대상자"/>
      <sheetName val="9903말_현재"/>
      <sheetName val="Control_Sheet"/>
      <sheetName val="AIR_SHOWER(3인용)1"/>
      <sheetName val="그래프_(2)1"/>
      <sheetName val="2_대상자1"/>
      <sheetName val="9903말_현재1"/>
      <sheetName val="Control_Sheet1"/>
      <sheetName val="MAIN"/>
      <sheetName val="지역개발"/>
      <sheetName val="재고자산명세"/>
      <sheetName val="96"/>
      <sheetName val="지급어음(일별)"/>
      <sheetName val="상가매매0115"/>
      <sheetName val="상가임대0115"/>
      <sheetName val="본관내역서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ELECTRIC"/>
      <sheetName val="Ⅱ1-0타"/>
      <sheetName val="Cover"/>
      <sheetName val="#3_일위대가목록"/>
      <sheetName val="#2_일위대가목록"/>
      <sheetName val="지점_가격정보보고양식(면목지점)"/>
      <sheetName val="09년지점목표"/>
      <sheetName val="SQL Statement"/>
      <sheetName val="급여인상효과-연간부담분"/>
      <sheetName val="현장코드"/>
      <sheetName val="협조전"/>
      <sheetName val="대차대조표"/>
      <sheetName val="3-31"/>
      <sheetName val="금융"/>
      <sheetName val="은행"/>
      <sheetName val="리스"/>
      <sheetName val="보험"/>
      <sheetName val="24.보증금(전신전화가입권)"/>
      <sheetName val="일별자금"/>
      <sheetName val="증감내역서"/>
      <sheetName val="민감도"/>
      <sheetName val="내역서"/>
      <sheetName val="95TOTREV"/>
      <sheetName val="T6-6(2)"/>
      <sheetName val="인건비"/>
      <sheetName val="04년 투자전망"/>
      <sheetName val="2. Financial Performance"/>
      <sheetName val="총무팀"/>
      <sheetName val="마포-임현"/>
      <sheetName val="주요기준"/>
      <sheetName val="BTS-시범물량"/>
      <sheetName val="A4공장"/>
      <sheetName val="사원명부"/>
      <sheetName val="관급"/>
      <sheetName val="AC List"/>
      <sheetName val="단말기누계"/>
      <sheetName val="가중평균 보통주식02"/>
      <sheetName val="가중평균 보통주식01"/>
      <sheetName val="제조원가"/>
      <sheetName val="tsuga"/>
      <sheetName val="진천"/>
      <sheetName val="sw1"/>
      <sheetName val="입찰보고"/>
      <sheetName val="총괄-1"/>
      <sheetName val="DATA"/>
      <sheetName val="콘센트신설"/>
      <sheetName val="FILE1"/>
      <sheetName val="유형분류"/>
      <sheetName val="예산실적전체당월"/>
      <sheetName val="배합비(2,3.4분기)"/>
      <sheetName val="부재예실"/>
      <sheetName val="수익성분석2"/>
      <sheetName val="내역서변경성원"/>
      <sheetName val="별첨3.실패원팀"/>
      <sheetName val="매출액월별가중치"/>
      <sheetName val="외주정비"/>
      <sheetName val="매장판(BR)"/>
      <sheetName val="투자자산명세서"/>
      <sheetName val="외화금융(97-03)"/>
      <sheetName val="제조원가조정"/>
      <sheetName val="총괄표"/>
      <sheetName val="용소리교"/>
      <sheetName val="DB"/>
      <sheetName val="견적서"/>
      <sheetName val="98수문일위"/>
      <sheetName val="진도말"/>
      <sheetName val="교통대책내역"/>
      <sheetName val="연부97-1"/>
      <sheetName val="T48a"/>
      <sheetName val="완성차 미수금"/>
      <sheetName val="한일자야(감액손실) (2)"/>
      <sheetName val="계산요약"/>
      <sheetName val="Data Sheet"/>
      <sheetName val="설치공사비"/>
      <sheetName val="매출및수주이익"/>
      <sheetName val="GRADE별 투입원단위"/>
      <sheetName val="97년 추정"/>
      <sheetName val="AIR_SHOWER(3인용)2"/>
      <sheetName val="그래프_(2)2"/>
      <sheetName val="2_대상자2"/>
      <sheetName val="9903말_현재2"/>
      <sheetName val="Control_Sheet2"/>
      <sheetName val="1__Svc_Sales"/>
      <sheetName val="2__Portfolio"/>
      <sheetName val="3__SVC_Price(Avg)"/>
      <sheetName val="4___Net_Gain"/>
      <sheetName val="5_1Q_SVC(callback)"/>
      <sheetName val="5_2_Q_SVC(Response)"/>
      <sheetName val="5_3_Q_SVC(all)"/>
      <sheetName val="2008년판매현황_(조정)"/>
      <sheetName val="준검_내역서"/>
      <sheetName val="SQL_Statement"/>
      <sheetName val="주소_작성"/>
      <sheetName val="STROKE별_단가"/>
      <sheetName val="BS Prior"/>
      <sheetName val="ls"/>
      <sheetName val="재공품(3)"/>
      <sheetName val="표준원가표(2)"/>
      <sheetName val="공통"/>
      <sheetName val="03中"/>
      <sheetName val="재무제표"/>
      <sheetName val="SMXEXPS"/>
      <sheetName val="경비세목"/>
      <sheetName val="전환대상"/>
      <sheetName val="영외수지"/>
      <sheetName val="Executive Summary"/>
      <sheetName val="Labels"/>
      <sheetName val="Executive_Summary"/>
      <sheetName val="분개집계"/>
      <sheetName val="해외사업"/>
      <sheetName val="첨부1"/>
      <sheetName val="이자율별 차입금 적수"/>
      <sheetName val="TENSCH"/>
      <sheetName val="Sheet1 (2)"/>
      <sheetName val="0.0ControlSheet"/>
      <sheetName val="0.1keyAssumption"/>
      <sheetName val="선급비용"/>
      <sheetName val="송전기본"/>
      <sheetName val="자료입력"/>
      <sheetName val="9710"/>
      <sheetName val="평가예상(200308)"/>
      <sheetName val="96수출"/>
      <sheetName val="区分一覧表"/>
      <sheetName val="◀-▶"/>
      <sheetName val="Q2 Actual"/>
      <sheetName val="Q3 actuals"/>
      <sheetName val="본사"/>
      <sheetName val="총괄갑 "/>
      <sheetName val="1차 내역서"/>
      <sheetName val="도급FORM"/>
      <sheetName val="2공구산출내역"/>
      <sheetName val="을지"/>
      <sheetName val="백암비스타내역"/>
      <sheetName val="견적서-자동"/>
      <sheetName val="투찰(하수)"/>
      <sheetName val="직노"/>
      <sheetName val="익월작업계힉"/>
      <sheetName val="Data(인원)"/>
      <sheetName val="pt_기투자금액"/>
      <sheetName val="pt_출자_분배"/>
      <sheetName val="보차도경계석"/>
      <sheetName val="작업본"/>
      <sheetName val="직영2"/>
      <sheetName val="남양내역"/>
      <sheetName val="BS"/>
      <sheetName val="LOOKUP"/>
      <sheetName val="AIR_SHOWER(3인용)3"/>
      <sheetName val="그래프_(2)3"/>
      <sheetName val="2_대상자3"/>
      <sheetName val="9903말_현재3"/>
      <sheetName val="Control_Sheet3"/>
      <sheetName val="1_취수장1"/>
      <sheetName val="118_세금과공과1"/>
      <sheetName val="1__Svc_Sales1"/>
      <sheetName val="2__Portfolio1"/>
      <sheetName val="3__SVC_Price(Avg)1"/>
      <sheetName val="4___Net_Gain1"/>
      <sheetName val="5_1Q_SVC(callback)1"/>
      <sheetName val="5_2_Q_SVC(Response)1"/>
      <sheetName val="5_3_Q_SVC(all)1"/>
      <sheetName val="2008년판매현황_(조정)1"/>
      <sheetName val="Initial_Input_Variable1"/>
      <sheetName val="경영비율_1"/>
      <sheetName val="상여_(2)1"/>
      <sheetName val="준검_내역서1"/>
      <sheetName val="SQL_Statement1"/>
      <sheetName val="주소_작성1"/>
      <sheetName val="2__2012년_실행계획_수립_및_대상선정용_SHEET_"/>
      <sheetName val="2012년_하반기_승진안_및_상신양식_디자인_파트_xls"/>
      <sheetName val="24_보증금(전신전화가입권)"/>
      <sheetName val="04년_투자전망"/>
      <sheetName val="가중평균_보통주식02"/>
      <sheetName val="가중평균_보통주식01"/>
      <sheetName val="타계정에서_명세서(PL상)"/>
      <sheetName val="배합비(2,3_4분기)"/>
      <sheetName val="BS_Prior"/>
      <sheetName val="별첨3_실패원팀"/>
      <sheetName val="완성차_미수금"/>
      <sheetName val="Config"/>
      <sheetName val="버튼"/>
      <sheetName val="판매추이"/>
      <sheetName val="12"/>
      <sheetName val="차량별점검"/>
      <sheetName val="AC_List"/>
      <sheetName val="구동"/>
      <sheetName val="6.이토처리시간"/>
      <sheetName val="VXXXXXXX"/>
      <sheetName val="tggwan(mac)"/>
      <sheetName val="guard(mac)"/>
      <sheetName val="B&amp;F1"/>
      <sheetName val="손익11"/>
      <sheetName val="부동산현황표"/>
      <sheetName val="BS(5월-경리과)"/>
      <sheetName val="스평"/>
      <sheetName val="조건"/>
      <sheetName val="공사설계서"/>
      <sheetName val="총수량집계표"/>
      <sheetName val="골조시행"/>
      <sheetName val="설비"/>
      <sheetName val="인건비 내역서"/>
      <sheetName val="담당자"/>
      <sheetName val="연결CF정산표"/>
      <sheetName val="손익계산서"/>
      <sheetName val="경비공통"/>
      <sheetName val="퇴직영수증"/>
      <sheetName val="***********************00"/>
      <sheetName val="제조부문배부"/>
      <sheetName val="퇴직급여충당금"/>
      <sheetName val="갑지"/>
      <sheetName val="Sheet2"/>
      <sheetName val="FAB4생산"/>
      <sheetName val="土地ﾃﾞｰﾀ"/>
      <sheetName val="산업은행 경영지표"/>
      <sheetName val="보험료"/>
      <sheetName val="당월영향8월"/>
      <sheetName val="종바2차"/>
      <sheetName val="생산량"/>
      <sheetName val="평균급여(구미)"/>
      <sheetName val="평균급여(부산)"/>
      <sheetName val="1-1-1-1"/>
      <sheetName val="95년12월말"/>
      <sheetName val="입출고9807"/>
      <sheetName val="제경비율"/>
      <sheetName val="복갑"/>
      <sheetName val="음료실행"/>
      <sheetName val="토목주소"/>
      <sheetName val="연간상여집계"/>
      <sheetName val="기본정보"/>
      <sheetName val="양식3"/>
      <sheetName val="4.2.1 마루높이 검토"/>
      <sheetName val="고시단가"/>
      <sheetName val="Data&amp;Result"/>
      <sheetName val="최종보고1"/>
      <sheetName val="Assumption"/>
      <sheetName val="범용개발순소요비용"/>
      <sheetName val="준공내역(을)"/>
      <sheetName val="업무분장 "/>
      <sheetName val="정리"/>
      <sheetName val="원가"/>
      <sheetName val="3본사"/>
      <sheetName val="감가상각비 배부검토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스포회원매출"/>
      <sheetName val="품셈TABLE"/>
      <sheetName val="Executive_Summary1"/>
      <sheetName val="Executive_Summary2"/>
      <sheetName val="Initial_Input_Variable2"/>
      <sheetName val="118_세금과공과2"/>
      <sheetName val="1_취수장2"/>
      <sheetName val="상여_(2)2"/>
      <sheetName val="경영비율_2"/>
      <sheetName val="STROKE별_단가1"/>
      <sheetName val="2012년_하반기_승진안_및_상신양식_디자인_파트_xl1"/>
      <sheetName val="24_보증금(전신전화가입권)1"/>
      <sheetName val="04년_투자전망1"/>
      <sheetName val="별첨3_실패원팀1"/>
      <sheetName val="2__2012년_실행계획_수립_및_대상선정용_SHEET1"/>
      <sheetName val="가중평균_보통주식021"/>
      <sheetName val="가중평균_보통주식011"/>
      <sheetName val="타계정에서_명세서(PL상)1"/>
      <sheetName val="배합비(2,3_4분기)1"/>
      <sheetName val="Executive_Summary3"/>
      <sheetName val="AIR_SHOWER(3인용)4"/>
      <sheetName val="Initial_Input_Variable3"/>
      <sheetName val="118_세금과공과3"/>
      <sheetName val="1_취수장3"/>
      <sheetName val="상여_(2)3"/>
      <sheetName val="경영비율_3"/>
      <sheetName val="준검_내역서2"/>
      <sheetName val="1__Svc_Sales2"/>
      <sheetName val="2__Portfolio2"/>
      <sheetName val="3__SVC_Price(Avg)2"/>
      <sheetName val="4___Net_Gain2"/>
      <sheetName val="5_1Q_SVC(callback)2"/>
      <sheetName val="5_2_Q_SVC(Response)2"/>
      <sheetName val="5_3_Q_SVC(all)2"/>
      <sheetName val="2008년판매현황_(조정)2"/>
      <sheetName val="그래프_(2)4"/>
      <sheetName val="2_대상자4"/>
      <sheetName val="9903말_현재4"/>
      <sheetName val="Control_Sheet4"/>
      <sheetName val="SQL_Statement2"/>
      <sheetName val="STROKE별_단가2"/>
      <sheetName val="주소_작성2"/>
      <sheetName val="2012년_하반기_승진안_및_상신양식_디자인_파트_xl2"/>
      <sheetName val="24_보증금(전신전화가입권)2"/>
      <sheetName val="04년_투자전망2"/>
      <sheetName val="별첨3_실패원팀2"/>
      <sheetName val="2__2012년_실행계획_수립_및_대상선정용_SHEET2"/>
      <sheetName val="가중평균_보통주식022"/>
      <sheetName val="가중평균_보통주식012"/>
      <sheetName val="타계정에서_명세서(PL상)2"/>
      <sheetName val="배합비(2,3_4분기)2"/>
      <sheetName val="97년_추정"/>
      <sheetName val="이자율별_차입금_적수"/>
      <sheetName val="2__Financial_Performance"/>
      <sheetName val="Sheet1_(2)"/>
      <sheetName val="0_0ControlSheet"/>
      <sheetName val="0_1keyAssumption"/>
      <sheetName val="Controls"/>
      <sheetName val="主要规划指标"/>
      <sheetName val="测算明细表(0+1+1)"/>
      <sheetName val="评估结论"/>
      <sheetName val="Collateral"/>
      <sheetName val="信息"/>
      <sheetName val="B"/>
      <sheetName val="영업외손익등"/>
      <sheetName val="완성차_미수금1"/>
      <sheetName val="BS_Prior1"/>
      <sheetName val="Q2_Actual"/>
      <sheetName val="Q3_actuals"/>
      <sheetName val="Index"/>
      <sheetName val="GRADE별_투입원단위"/>
      <sheetName val="Variables"/>
      <sheetName val="108.수선비"/>
      <sheetName val="Sales"/>
      <sheetName val="사회보험료세액공제"/>
      <sheetName val="고용증대세액공제"/>
      <sheetName val="2019년_세부자료_(입력할 시트)"/>
      <sheetName val="2019년보험요율_(입력할 시트)"/>
      <sheetName val="유가증권미수"/>
      <sheetName val="토공사"/>
      <sheetName val="평균터파기고(1-2,ASP)"/>
      <sheetName val="FOB발"/>
      <sheetName val="00.09"/>
      <sheetName val="수불상"/>
      <sheetName val="건축내역"/>
      <sheetName val="Finmod"/>
      <sheetName val="01반기조정감"/>
      <sheetName val="01반기조정증"/>
      <sheetName val="2B1U-F-4"/>
      <sheetName val="Executive_Summary4"/>
      <sheetName val="AIR_SHOWER(3인용)5"/>
      <sheetName val="Initial_Input_Variable4"/>
      <sheetName val="118_세금과공과4"/>
      <sheetName val="1_취수장4"/>
      <sheetName val="상여_(2)4"/>
      <sheetName val="경영비율_4"/>
      <sheetName val="준검_내역서3"/>
      <sheetName val="1__Svc_Sales3"/>
      <sheetName val="2__Portfolio3"/>
      <sheetName val="3__SVC_Price(Avg)3"/>
      <sheetName val="4___Net_Gain3"/>
      <sheetName val="5_1Q_SVC(callback)3"/>
      <sheetName val="5_2_Q_SVC(Response)3"/>
      <sheetName val="5_3_Q_SVC(all)3"/>
      <sheetName val="2008년판매현황_(조정)3"/>
      <sheetName val="그래프_(2)5"/>
      <sheetName val="2_대상자5"/>
      <sheetName val="9903말_현재5"/>
      <sheetName val="Control_Sheet5"/>
      <sheetName val="SQL_Statement3"/>
      <sheetName val="STROKE별_단가3"/>
      <sheetName val="주소_작성3"/>
      <sheetName val="2012년_하반기_승진안_및_상신양식_디자인_파트_xl3"/>
      <sheetName val="24_보증금(전신전화가입권)3"/>
      <sheetName val="04년_투자전망3"/>
      <sheetName val="별첨3_실패원팀3"/>
      <sheetName val="2__2012년_실행계획_수립_및_대상선정용_SHEET3"/>
      <sheetName val="가중평균_보통주식023"/>
      <sheetName val="가중평균_보통주식013"/>
      <sheetName val="타계정에서_명세서(PL상)3"/>
      <sheetName val="배합비(2,3_4분기)3"/>
      <sheetName val="97년_추정1"/>
      <sheetName val="AC_List1"/>
      <sheetName val="이자율별_차입금_적수1"/>
      <sheetName val="2__Financial_Performance1"/>
      <sheetName val="Sheet1_(2)1"/>
      <sheetName val="0_0ControlSheet1"/>
      <sheetName val="0_1keyAssumption1"/>
      <sheetName val="분양선수금"/>
      <sheetName val="MatchCode"/>
      <sheetName val="MARCH 25"/>
      <sheetName val="부서코드표"/>
      <sheetName val="controll"/>
      <sheetName val="갑지(추정)"/>
      <sheetName val="source"/>
      <sheetName val="영업점별목표산출"/>
      <sheetName val="値付くん"/>
      <sheetName val="0217상가미분양자산"/>
      <sheetName val="조명시설"/>
      <sheetName val="공사착공계"/>
      <sheetName val="직재"/>
      <sheetName val="방수공사 집계표"/>
      <sheetName val="평3"/>
      <sheetName val="토공산근"/>
      <sheetName val="GRACE"/>
      <sheetName val="2__2012__________________SHEE_2"/>
      <sheetName val="목록"/>
      <sheetName val="중기"/>
      <sheetName val="예산(한화)"/>
      <sheetName val="시중노임단가"/>
      <sheetName val="전기"/>
      <sheetName val="현금"/>
      <sheetName val="계획VS실적"/>
      <sheetName val="短期借款余额表"/>
      <sheetName val="现金和银行"/>
      <sheetName val="P9"/>
      <sheetName val="Data_Sheet"/>
      <sheetName val="한일자야(감액손실)_(2)"/>
      <sheetName val="6_이토처리시간"/>
      <sheetName val="산업은행_경영지표"/>
      <sheetName val="总分类账"/>
      <sheetName val="CQFMA"/>
      <sheetName val="SHFMA"/>
      <sheetName val="BPCARD"/>
      <sheetName val="ESH 평가 Sheet"/>
      <sheetName val="추가예산"/>
      <sheetName val="재무가정"/>
      <sheetName val="완성차_미수금2"/>
      <sheetName val="BS_Prior2"/>
      <sheetName val="Q2_Actual1"/>
      <sheetName val="Q3_actuals1"/>
      <sheetName val="GRADE별_투입원단위1"/>
      <sheetName val="4_2_1_마루높이_검토"/>
      <sheetName val="인건비_내역서"/>
      <sheetName val="감가상각비_배부검토"/>
      <sheetName val="108_수선비"/>
      <sheetName val="2019년_세부자료_(입력할_시트)"/>
      <sheetName val="2019년보험요율_(입력할_시트)"/>
      <sheetName val="00_09"/>
      <sheetName val="재공품"/>
      <sheetName val="축산기준"/>
      <sheetName val="상여_(2)5"/>
      <sheetName val="118_세금과공과5"/>
      <sheetName val="1_취수장5"/>
      <sheetName val="AIR_SHOWER(3인용)6"/>
      <sheetName val="1__Svc_Sales4"/>
      <sheetName val="2__Portfolio4"/>
      <sheetName val="3__SVC_Price(Avg)4"/>
      <sheetName val="4___Net_Gain4"/>
      <sheetName val="5_1Q_SVC(callback)4"/>
      <sheetName val="5_2_Q_SVC(Response)4"/>
      <sheetName val="5_3_Q_SVC(all)4"/>
      <sheetName val="2008년판매현황_(조정)4"/>
      <sheetName val="그래프_(2)6"/>
      <sheetName val="2_대상자6"/>
      <sheetName val="9903말_현재6"/>
      <sheetName val="Control_Sheet6"/>
      <sheetName val="Initial_Input_Variable5"/>
      <sheetName val="경영비율_5"/>
      <sheetName val="준검_내역서4"/>
      <sheetName val="SQL_Statement4"/>
      <sheetName val="주소_작성4"/>
      <sheetName val="STROKE별_단가4"/>
      <sheetName val="2012년_하반기_승진안_및_상신양식_디자인_파트_xl4"/>
      <sheetName val="24_보증금(전신전화가입권)4"/>
      <sheetName val="04년_투자전망4"/>
      <sheetName val="가중평균_보통주식024"/>
      <sheetName val="가중평균_보통주식014"/>
      <sheetName val="2__2012년_실행계획_수립_및_대상선정용_SHEET4"/>
      <sheetName val="타계정에서_명세서(PL상)4"/>
      <sheetName val="별첨3_실패원팀4"/>
      <sheetName val="배합비(2,3_4분기)4"/>
      <sheetName val="완성차_미수금3"/>
      <sheetName val="BS_Prior3"/>
      <sheetName val="Executive_Summary5"/>
      <sheetName val="97년_추정2"/>
      <sheetName val="2__Financial_Performance2"/>
      <sheetName val="이자율별_차입금_적수2"/>
      <sheetName val="AC_List2"/>
      <sheetName val="Sheet1_(2)2"/>
      <sheetName val="0_0ControlSheet2"/>
      <sheetName val="0_1keyAssumption2"/>
      <sheetName val="Q2_Actual2"/>
      <sheetName val="Q3_actuals2"/>
      <sheetName val="Data_Sheet1"/>
      <sheetName val="한일자야(감액손실)_(2)1"/>
      <sheetName val="GRADE별_투입원단위2"/>
      <sheetName val="6_이토처리시간1"/>
      <sheetName val="산업은행_경영지표1"/>
      <sheetName val="인건비_내역서1"/>
      <sheetName val="감가상각비_배부검토1"/>
      <sheetName val="108_수선비1"/>
      <sheetName val="2019년_세부자료_(입력할_시트)1"/>
      <sheetName val="2019년보험요율_(입력할_시트)1"/>
      <sheetName val="4_2_1_마루높이_검토1"/>
      <sheetName val="00_091"/>
      <sheetName val="MARCH_251"/>
      <sheetName val="총괄갑_1"/>
      <sheetName val="1차_내역서1"/>
      <sheetName val="업무분장_1"/>
      <sheetName val="MARCH_25"/>
      <sheetName val="총괄갑_"/>
      <sheetName val="1차_내역서"/>
      <sheetName val="업무분장_"/>
      <sheetName val="03년"/>
      <sheetName val="시멘트"/>
      <sheetName val="h-013211-2"/>
      <sheetName val="초과사유"/>
      <sheetName val="안산기계장치"/>
      <sheetName val="부문99-2"/>
      <sheetName val="참조자료"/>
      <sheetName val="RECORD"/>
      <sheetName val="LD TX"/>
      <sheetName val="전전"/>
      <sheetName val="참고(3)고정비"/>
      <sheetName val="(Hidden)세부계정"/>
      <sheetName val="토목"/>
      <sheetName val="ESH_평가_Sheet"/>
      <sheetName val="환경설정"/>
      <sheetName val="정비활동_수선비 절감"/>
      <sheetName val="지질조사"/>
      <sheetName val="2012________________________x_2"/>
      <sheetName val="임대료산정(자동계산)"/>
      <sheetName val="월급제"/>
      <sheetName val="10매출"/>
      <sheetName val="배수공 시멘트 및 골재량 산출"/>
      <sheetName val="전선 및 전선관"/>
      <sheetName val="일위대가"/>
      <sheetName val="마감사양"/>
      <sheetName val="공사비"/>
      <sheetName val="차입종류별"/>
      <sheetName val="총수신_속보"/>
      <sheetName val="00건설추정대차대조표"/>
      <sheetName val="Condition"/>
      <sheetName val="Input"/>
      <sheetName val="부서별"/>
      <sheetName val="접수"/>
      <sheetName val="ESH_평가_Sheet1"/>
      <sheetName val="All report 1"/>
      <sheetName val="ESH_평가_Sheet2"/>
      <sheetName val="정비활동_수선비_절감"/>
      <sheetName val="ESH_평가_Sheet3"/>
      <sheetName val="정비활동_수선비_절감1"/>
      <sheetName val="All_report_1"/>
      <sheetName val="ESH_평가_Sheet4"/>
      <sheetName val="정비활동_수선비_절감2"/>
      <sheetName val="All_report_11"/>
      <sheetName val="AIR_SHOWER(3인용)7"/>
      <sheetName val="ESH_평가_Sheet6"/>
      <sheetName val="정비활동_수선비_절감4"/>
      <sheetName val="All_report_13"/>
      <sheetName val="AC_List3"/>
      <sheetName val="Data_Sheet2"/>
      <sheetName val="6_이토처리시간2"/>
      <sheetName val="한일자야(감액손실)_(2)2"/>
      <sheetName val="산업은행_경영지표2"/>
      <sheetName val="인건비_내역서2"/>
      <sheetName val="ESH_평가_Sheet5"/>
      <sheetName val="정비활동_수선비_절감3"/>
      <sheetName val="All_report_12"/>
      <sheetName val="AIR_SHOWER(3인용)8"/>
      <sheetName val="ESH_평가_Sheet7"/>
      <sheetName val="정비활동_수선비_절감5"/>
      <sheetName val="All_report_14"/>
      <sheetName val="준검_내역서5"/>
      <sheetName val="1__Svc_Sales5"/>
      <sheetName val="2__Portfolio5"/>
      <sheetName val="3__SVC_Price(Avg)5"/>
      <sheetName val="4___Net_Gain5"/>
      <sheetName val="5_1Q_SVC(callback)5"/>
      <sheetName val="5_2_Q_SVC(Response)5"/>
      <sheetName val="5_3_Q_SVC(all)5"/>
      <sheetName val="2008년판매현황_(조정)5"/>
      <sheetName val="그래프_(2)7"/>
      <sheetName val="2_대상자7"/>
      <sheetName val="9903말_현재7"/>
      <sheetName val="Control_Sheet7"/>
      <sheetName val="SQL_Statement5"/>
      <sheetName val="주소_작성5"/>
      <sheetName val="완성차_미수금4"/>
      <sheetName val="AC_List4"/>
      <sheetName val="2__Financial_Performance3"/>
      <sheetName val="BS_Prior4"/>
      <sheetName val="97년_추정3"/>
      <sheetName val="이자율별_차입금_적수3"/>
      <sheetName val="Sheet1_(2)3"/>
      <sheetName val="0_0ControlSheet3"/>
      <sheetName val="0_1keyAssumption3"/>
      <sheetName val="Data_Sheet3"/>
      <sheetName val="6_이토처리시간3"/>
      <sheetName val="GRADE별_투입원단위3"/>
      <sheetName val="한일자야(감액손실)_(2)3"/>
      <sheetName val="Q2_Actual3"/>
      <sheetName val="Q3_actuals3"/>
      <sheetName val="산업은행_경영지표3"/>
      <sheetName val="인건비_내역서3"/>
      <sheetName val="방수공사_집계표"/>
      <sheetName val="AIR_SHOWER(3인용)9"/>
      <sheetName val="ESH_평가_Sheet8"/>
      <sheetName val="정비활동_수선비_절감6"/>
      <sheetName val="All_report_15"/>
      <sheetName val="118_세금과공과6"/>
      <sheetName val="1_취수장6"/>
      <sheetName val="준검_내역서6"/>
      <sheetName val="상여_(2)6"/>
      <sheetName val="1__Svc_Sales6"/>
      <sheetName val="2__Portfolio6"/>
      <sheetName val="3__SVC_Price(Avg)6"/>
      <sheetName val="4___Net_Gain6"/>
      <sheetName val="5_1Q_SVC(callback)6"/>
      <sheetName val="5_2_Q_SVC(Response)6"/>
      <sheetName val="5_3_Q_SVC(all)6"/>
      <sheetName val="2008년판매현황_(조정)6"/>
      <sheetName val="STROKE별_단가5"/>
      <sheetName val="Initial_Input_Variable6"/>
      <sheetName val="경영비율_6"/>
      <sheetName val="그래프_(2)8"/>
      <sheetName val="2_대상자8"/>
      <sheetName val="9903말_현재8"/>
      <sheetName val="Control_Sheet8"/>
      <sheetName val="2012년_하반기_승진안_및_상신양식_디자인_파트_xl5"/>
      <sheetName val="SQL_Statement6"/>
      <sheetName val="주소_작성6"/>
      <sheetName val="2__2012년_실행계획_수립_및_대상선정용_SHEET5"/>
      <sheetName val="타계정에서_명세서(PL상)5"/>
      <sheetName val="별첨3_실패원팀5"/>
      <sheetName val="24_보증금(전신전화가입권)5"/>
      <sheetName val="04년_투자전망5"/>
      <sheetName val="배합비(2,3_4분기)5"/>
      <sheetName val="가중평균_보통주식025"/>
      <sheetName val="가중평균_보통주식015"/>
      <sheetName val="완성차_미수금5"/>
      <sheetName val="AC_List5"/>
      <sheetName val="2__Financial_Performance4"/>
      <sheetName val="BS_Prior5"/>
      <sheetName val="97년_추정4"/>
      <sheetName val="이자율별_차입금_적수4"/>
      <sheetName val="Sheet1_(2)4"/>
      <sheetName val="0_0ControlSheet4"/>
      <sheetName val="0_1keyAssumption4"/>
      <sheetName val="Data_Sheet4"/>
      <sheetName val="6_이토처리시간4"/>
      <sheetName val="GRADE별_투입원단위4"/>
      <sheetName val="한일자야(감액손실)_(2)4"/>
      <sheetName val="Q2_Actual4"/>
      <sheetName val="Q3_actuals4"/>
      <sheetName val="산업은행_경영지표4"/>
      <sheetName val="인건비_내역서4"/>
      <sheetName val="방수공사_집계표1"/>
      <sheetName val="AIR_SHOWER(3인용)10"/>
      <sheetName val="ESH_평가_Sheet9"/>
      <sheetName val="정비활동_수선비_절감7"/>
      <sheetName val="All_report_16"/>
      <sheetName val="118_세금과공과7"/>
      <sheetName val="1_취수장7"/>
      <sheetName val="준검_내역서7"/>
      <sheetName val="상여_(2)7"/>
      <sheetName val="1__Svc_Sales7"/>
      <sheetName val="2__Portfolio7"/>
      <sheetName val="3__SVC_Price(Avg)7"/>
      <sheetName val="4___Net_Gain7"/>
      <sheetName val="5_1Q_SVC(callback)7"/>
      <sheetName val="5_2_Q_SVC(Response)7"/>
      <sheetName val="5_3_Q_SVC(all)7"/>
      <sheetName val="2008년판매현황_(조정)7"/>
      <sheetName val="Executive_Summary6"/>
      <sheetName val="STROKE별_단가6"/>
      <sheetName val="Initial_Input_Variable7"/>
      <sheetName val="경영비율_7"/>
      <sheetName val="그래프_(2)9"/>
      <sheetName val="2_대상자9"/>
      <sheetName val="9903말_현재9"/>
      <sheetName val="Control_Sheet9"/>
      <sheetName val="2012년_하반기_승진안_및_상신양식_디자인_파트_xl6"/>
      <sheetName val="SQL_Statement7"/>
      <sheetName val="주소_작성7"/>
      <sheetName val="2__2012년_실행계획_수립_및_대상선정용_SHEET6"/>
      <sheetName val="타계정에서_명세서(PL상)6"/>
      <sheetName val="별첨3_실패원팀6"/>
      <sheetName val="24_보증금(전신전화가입권)6"/>
      <sheetName val="04년_투자전망6"/>
      <sheetName val="배합비(2,3_4분기)6"/>
      <sheetName val="가중평균_보통주식026"/>
      <sheetName val="가중평균_보통주식016"/>
      <sheetName val="완성차_미수금6"/>
      <sheetName val="AC_List6"/>
      <sheetName val="2__Financial_Performance5"/>
      <sheetName val="BS_Prior6"/>
      <sheetName val="97년_추정5"/>
      <sheetName val="이자율별_차입금_적수5"/>
      <sheetName val="Sheet1_(2)5"/>
      <sheetName val="0_0ControlSheet5"/>
      <sheetName val="0_1keyAssumption5"/>
      <sheetName val="Data_Sheet5"/>
      <sheetName val="6_이토처리시간5"/>
      <sheetName val="GRADE별_투입원단위5"/>
      <sheetName val="한일자야(감액손실)_(2)5"/>
      <sheetName val="Q2_Actual5"/>
      <sheetName val="Q3_actuals5"/>
      <sheetName val="산업은행_경영지표5"/>
      <sheetName val="인건비_내역서5"/>
      <sheetName val="방수공사_집계표2"/>
      <sheetName val="AIR_SHOWER(3인용)11"/>
      <sheetName val="ESH_평가_Sheet10"/>
      <sheetName val="정비활동_수선비_절감8"/>
      <sheetName val="All_report_17"/>
      <sheetName val="118_세금과공과8"/>
      <sheetName val="1_취수장8"/>
      <sheetName val="준검_내역서8"/>
      <sheetName val="상여_(2)8"/>
      <sheetName val="1__Svc_Sales8"/>
      <sheetName val="2__Portfolio8"/>
      <sheetName val="3__SVC_Price(Avg)8"/>
      <sheetName val="4___Net_Gain8"/>
      <sheetName val="5_1Q_SVC(callback)8"/>
      <sheetName val="5_2_Q_SVC(Response)8"/>
      <sheetName val="5_3_Q_SVC(all)8"/>
      <sheetName val="2008년판매현황_(조정)8"/>
      <sheetName val="Executive_Summary7"/>
      <sheetName val="STROKE별_단가7"/>
      <sheetName val="Initial_Input_Variable8"/>
      <sheetName val="경영비율_8"/>
      <sheetName val="그래프_(2)10"/>
      <sheetName val="2_대상자10"/>
      <sheetName val="9903말_현재10"/>
      <sheetName val="Control_Sheet10"/>
      <sheetName val="2012년_하반기_승진안_및_상신양식_디자인_파트_xl7"/>
      <sheetName val="SQL_Statement8"/>
      <sheetName val="주소_작성8"/>
      <sheetName val="2__2012년_실행계획_수립_및_대상선정용_SHEET7"/>
      <sheetName val="타계정에서_명세서(PL상)7"/>
      <sheetName val="별첨3_실패원팀7"/>
      <sheetName val="24_보증금(전신전화가입권)7"/>
      <sheetName val="04년_투자전망7"/>
      <sheetName val="배합비(2,3_4분기)7"/>
      <sheetName val="가중평균_보통주식027"/>
      <sheetName val="가중평균_보통주식017"/>
      <sheetName val="완성차_미수금7"/>
      <sheetName val="AC_List7"/>
      <sheetName val="2__Financial_Performance6"/>
      <sheetName val="BS_Prior7"/>
      <sheetName val="97년_추정6"/>
      <sheetName val="이자율별_차입금_적수6"/>
      <sheetName val="Sheet1_(2)6"/>
      <sheetName val="0_0ControlSheet6"/>
      <sheetName val="0_1keyAssumption6"/>
      <sheetName val="Data_Sheet6"/>
      <sheetName val="6_이토처리시간6"/>
      <sheetName val="GRADE별_투입원단위6"/>
      <sheetName val="한일자야(감액손실)_(2)6"/>
      <sheetName val="Q2_Actual6"/>
      <sheetName val="Q3_actuals6"/>
      <sheetName val="산업은행_경영지표6"/>
      <sheetName val="인건비_내역서6"/>
      <sheetName val="방수공사_집계표3"/>
      <sheetName val="AIR_SHOWER(3인용)13"/>
      <sheetName val="ESH_평가_Sheet12"/>
      <sheetName val="정비활동_수선비_절감10"/>
      <sheetName val="All_report_19"/>
      <sheetName val="118_세금과공과10"/>
      <sheetName val="1_취수장10"/>
      <sheetName val="준검_내역서10"/>
      <sheetName val="상여_(2)10"/>
      <sheetName val="1__Svc_Sales10"/>
      <sheetName val="2__Portfolio10"/>
      <sheetName val="3__SVC_Price(Avg)10"/>
      <sheetName val="4___Net_Gain10"/>
      <sheetName val="5_1Q_SVC(callback)10"/>
      <sheetName val="5_2_Q_SVC(Response)10"/>
      <sheetName val="5_3_Q_SVC(all)10"/>
      <sheetName val="2008년판매현황_(조정)10"/>
      <sheetName val="Executive_Summary9"/>
      <sheetName val="STROKE별_단가9"/>
      <sheetName val="Initial_Input_Variable10"/>
      <sheetName val="경영비율_10"/>
      <sheetName val="그래프_(2)12"/>
      <sheetName val="2_대상자12"/>
      <sheetName val="9903말_현재12"/>
      <sheetName val="Control_Sheet12"/>
      <sheetName val="2012년_하반기_승진안_및_상신양식_디자인_파트_xl9"/>
      <sheetName val="SQL_Statement10"/>
      <sheetName val="주소_작성10"/>
      <sheetName val="2__2012년_실행계획_수립_및_대상선정용_SHEET9"/>
      <sheetName val="타계정에서_명세서(PL상)9"/>
      <sheetName val="별첨3_실패원팀9"/>
      <sheetName val="24_보증금(전신전화가입권)9"/>
      <sheetName val="04년_투자전망9"/>
      <sheetName val="배합비(2,3_4분기)9"/>
      <sheetName val="가중평균_보통주식029"/>
      <sheetName val="가중평균_보통주식019"/>
      <sheetName val="완성차_미수금9"/>
      <sheetName val="AC_List9"/>
      <sheetName val="2__Financial_Performance8"/>
      <sheetName val="BS_Prior9"/>
      <sheetName val="97년_추정8"/>
      <sheetName val="이자율별_차입금_적수8"/>
      <sheetName val="Sheet1_(2)8"/>
      <sheetName val="0_0ControlSheet8"/>
      <sheetName val="0_1keyAssumption8"/>
      <sheetName val="Data_Sheet8"/>
      <sheetName val="6_이토처리시간8"/>
      <sheetName val="GRADE별_투입원단위8"/>
      <sheetName val="한일자야(감액손실)_(2)8"/>
      <sheetName val="Q2_Actual8"/>
      <sheetName val="Q3_actuals8"/>
      <sheetName val="산업은행_경영지표8"/>
      <sheetName val="인건비_내역서8"/>
      <sheetName val="방수공사_집계표5"/>
      <sheetName val="AIR_SHOWER(3인용)12"/>
      <sheetName val="ESH_평가_Sheet11"/>
      <sheetName val="정비활동_수선비_절감9"/>
      <sheetName val="All_report_18"/>
      <sheetName val="118_세금과공과9"/>
      <sheetName val="1_취수장9"/>
      <sheetName val="준검_내역서9"/>
      <sheetName val="상여_(2)9"/>
      <sheetName val="1__Svc_Sales9"/>
      <sheetName val="2__Portfolio9"/>
      <sheetName val="3__SVC_Price(Avg)9"/>
      <sheetName val="4___Net_Gain9"/>
      <sheetName val="5_1Q_SVC(callback)9"/>
      <sheetName val="5_2_Q_SVC(Response)9"/>
      <sheetName val="5_3_Q_SVC(all)9"/>
      <sheetName val="2008년판매현황_(조정)9"/>
      <sheetName val="Executive_Summary8"/>
      <sheetName val="STROKE별_단가8"/>
      <sheetName val="Initial_Input_Variable9"/>
      <sheetName val="경영비율_9"/>
      <sheetName val="그래프_(2)11"/>
      <sheetName val="2_대상자11"/>
      <sheetName val="9903말_현재11"/>
      <sheetName val="Control_Sheet11"/>
      <sheetName val="2012년_하반기_승진안_및_상신양식_디자인_파트_xl8"/>
      <sheetName val="SQL_Statement9"/>
      <sheetName val="주소_작성9"/>
      <sheetName val="2__2012년_실행계획_수립_및_대상선정용_SHEET8"/>
      <sheetName val="타계정에서_명세서(PL상)8"/>
      <sheetName val="별첨3_실패원팀8"/>
      <sheetName val="24_보증금(전신전화가입권)8"/>
      <sheetName val="04년_투자전망8"/>
      <sheetName val="배합비(2,3_4분기)8"/>
      <sheetName val="가중평균_보통주식028"/>
      <sheetName val="가중평균_보통주식018"/>
      <sheetName val="완성차_미수금8"/>
      <sheetName val="AC_List8"/>
      <sheetName val="2__Financial_Performance7"/>
      <sheetName val="BS_Prior8"/>
      <sheetName val="97년_추정7"/>
      <sheetName val="이자율별_차입금_적수7"/>
      <sheetName val="Sheet1_(2)7"/>
      <sheetName val="0_0ControlSheet7"/>
      <sheetName val="0_1keyAssumption7"/>
      <sheetName val="Data_Sheet7"/>
      <sheetName val="6_이토처리시간7"/>
      <sheetName val="GRADE별_투입원단위7"/>
      <sheetName val="한일자야(감액손실)_(2)7"/>
      <sheetName val="Q2_Actual7"/>
      <sheetName val="Q3_actuals7"/>
      <sheetName val="산업은행_경영지표7"/>
      <sheetName val="인건비_내역서7"/>
      <sheetName val="방수공사_집계표4"/>
      <sheetName val="AIR_SHOWER(3인용)14"/>
      <sheetName val="ESH_평가_Sheet13"/>
      <sheetName val="정비활동_수선비_절감11"/>
      <sheetName val="All_report_110"/>
      <sheetName val="118_세금과공과11"/>
      <sheetName val="1_취수장11"/>
      <sheetName val="준검_내역서11"/>
      <sheetName val="상여_(2)11"/>
      <sheetName val="1__Svc_Sales11"/>
      <sheetName val="2__Portfolio11"/>
      <sheetName val="3__SVC_Price(Avg)11"/>
      <sheetName val="4___Net_Gain11"/>
      <sheetName val="5_1Q_SVC(callback)11"/>
      <sheetName val="5_2_Q_SVC(Response)11"/>
      <sheetName val="5_3_Q_SVC(all)11"/>
      <sheetName val="2008년판매현황_(조정)11"/>
      <sheetName val="Executive_Summary10"/>
      <sheetName val="STROKE별_단가10"/>
      <sheetName val="Initial_Input_Variable11"/>
      <sheetName val="경영비율_11"/>
      <sheetName val="그래프_(2)13"/>
      <sheetName val="2_대상자13"/>
      <sheetName val="9903말_현재13"/>
      <sheetName val="Control_Sheet13"/>
      <sheetName val="2012년_하반기_승진안_및_상신양식_디자인_파트_x10"/>
      <sheetName val="SQL_Statement11"/>
      <sheetName val="주소_작성11"/>
      <sheetName val="2__2012년_실행계획_수립_및_대상선정용_SHEE10"/>
      <sheetName val="타계정에서_명세서(PL상)10"/>
      <sheetName val="별첨3_실패원팀10"/>
      <sheetName val="24_보증금(전신전화가입권)10"/>
      <sheetName val="04년_투자전망10"/>
      <sheetName val="배합비(2,3_4분기)10"/>
      <sheetName val="가중평균_보통주식0210"/>
      <sheetName val="가중평균_보통주식0110"/>
      <sheetName val="완성차_미수금10"/>
      <sheetName val="AC_List10"/>
      <sheetName val="2__Financial_Performance9"/>
      <sheetName val="BS_Prior10"/>
      <sheetName val="97년_추정9"/>
      <sheetName val="이자율별_차입금_적수9"/>
      <sheetName val="Sheet1_(2)9"/>
      <sheetName val="0_0ControlSheet9"/>
      <sheetName val="0_1keyAssumption9"/>
      <sheetName val="Data_Sheet9"/>
      <sheetName val="6_이토처리시간9"/>
      <sheetName val="GRADE별_투입원단위9"/>
      <sheetName val="한일자야(감액손실)_(2)9"/>
      <sheetName val="Q2_Actual9"/>
      <sheetName val="Q3_actuals9"/>
      <sheetName val="산업은행_경영지표9"/>
      <sheetName val="인건비_내역서9"/>
      <sheetName val="방수공사_집계표6"/>
      <sheetName val="AIR_SHOWER(3인용)15"/>
      <sheetName val="ESH_평가_Sheet14"/>
      <sheetName val="정비활동_수선비_절감12"/>
      <sheetName val="All_report_111"/>
      <sheetName val="118_세금과공과12"/>
      <sheetName val="1_취수장12"/>
      <sheetName val="준검_내역서12"/>
      <sheetName val="상여_(2)12"/>
      <sheetName val="1__Svc_Sales12"/>
      <sheetName val="2__Portfolio12"/>
      <sheetName val="3__SVC_Price(Avg)12"/>
      <sheetName val="4___Net_Gain12"/>
      <sheetName val="5_1Q_SVC(callback)12"/>
      <sheetName val="5_2_Q_SVC(Response)12"/>
      <sheetName val="5_3_Q_SVC(all)12"/>
      <sheetName val="2008년판매현황_(조정)12"/>
      <sheetName val="Executive_Summary11"/>
      <sheetName val="STROKE별_단가11"/>
      <sheetName val="Initial_Input_Variable12"/>
      <sheetName val="경영비율_12"/>
      <sheetName val="그래프_(2)14"/>
      <sheetName val="2_대상자14"/>
      <sheetName val="9903말_현재14"/>
      <sheetName val="Control_Sheet14"/>
      <sheetName val="2012년_하반기_승진안_및_상신양식_디자인_파트_x11"/>
      <sheetName val="SQL_Statement12"/>
      <sheetName val="주소_작성12"/>
      <sheetName val="2__2012년_실행계획_수립_및_대상선정용_SHEE11"/>
      <sheetName val="타계정에서_명세서(PL상)11"/>
      <sheetName val="별첨3_실패원팀11"/>
      <sheetName val="24_보증금(전신전화가입권)11"/>
      <sheetName val="04년_투자전망11"/>
      <sheetName val="배합비(2,3_4분기)11"/>
      <sheetName val="가중평균_보통주식0211"/>
      <sheetName val="가중평균_보통주식0111"/>
      <sheetName val="완성차_미수금11"/>
      <sheetName val="AC_List11"/>
      <sheetName val="2__Financial_Performance10"/>
      <sheetName val="BS_Prior11"/>
      <sheetName val="97년_추정10"/>
      <sheetName val="이자율별_차입금_적수10"/>
      <sheetName val="Sheet1_(2)10"/>
      <sheetName val="0_0ControlSheet10"/>
      <sheetName val="0_1keyAssumption10"/>
      <sheetName val="Data_Sheet10"/>
      <sheetName val="6_이토처리시간10"/>
      <sheetName val="GRADE별_투입원단위10"/>
      <sheetName val="한일자야(감액손실)_(2)10"/>
      <sheetName val="Q2_Actual10"/>
      <sheetName val="Q3_actuals10"/>
      <sheetName val="산업은행_경영지표10"/>
      <sheetName val="인건비_내역서10"/>
      <sheetName val="방수공사_집계표7"/>
      <sheetName val="AIR_SHOWER(3인용)16"/>
      <sheetName val="ESH_평가_Sheet15"/>
      <sheetName val="정비활동_수선비_절감13"/>
      <sheetName val="All_report_112"/>
      <sheetName val="118_세금과공과13"/>
      <sheetName val="1_취수장13"/>
      <sheetName val="준검_내역서13"/>
      <sheetName val="상여_(2)13"/>
      <sheetName val="1__Svc_Sales13"/>
      <sheetName val="2__Portfolio13"/>
      <sheetName val="3__SVC_Price(Avg)13"/>
      <sheetName val="4___Net_Gain13"/>
      <sheetName val="5_1Q_SVC(callback)13"/>
      <sheetName val="5_2_Q_SVC(Response)13"/>
      <sheetName val="5_3_Q_SVC(all)13"/>
      <sheetName val="2008년판매현황_(조정)13"/>
      <sheetName val="Executive_Summary12"/>
      <sheetName val="STROKE별_단가12"/>
      <sheetName val="Initial_Input_Variable13"/>
      <sheetName val="경영비율_13"/>
      <sheetName val="그래프_(2)15"/>
      <sheetName val="2_대상자15"/>
      <sheetName val="9903말_현재15"/>
      <sheetName val="Control_Sheet15"/>
      <sheetName val="2012년_하반기_승진안_및_상신양식_디자인_파트_x12"/>
      <sheetName val="SQL_Statement13"/>
      <sheetName val="주소_작성13"/>
      <sheetName val="2__2012년_실행계획_수립_및_대상선정용_SHEE12"/>
      <sheetName val="타계정에서_명세서(PL상)12"/>
      <sheetName val="별첨3_실패원팀12"/>
      <sheetName val="24_보증금(전신전화가입권)12"/>
      <sheetName val="04년_투자전망12"/>
      <sheetName val="배합비(2,3_4분기)12"/>
      <sheetName val="가중평균_보통주식0212"/>
      <sheetName val="가중평균_보통주식0112"/>
      <sheetName val="완성차_미수금12"/>
      <sheetName val="AC_List12"/>
      <sheetName val="2__Financial_Performance11"/>
      <sheetName val="BS_Prior12"/>
      <sheetName val="97년_추정11"/>
      <sheetName val="이자율별_차입금_적수11"/>
      <sheetName val="Sheet1_(2)11"/>
      <sheetName val="0_0ControlSheet11"/>
      <sheetName val="0_1keyAssumption11"/>
      <sheetName val="Data_Sheet11"/>
      <sheetName val="6_이토처리시간11"/>
      <sheetName val="GRADE별_투입원단위11"/>
      <sheetName val="한일자야(감액손실)_(2)11"/>
      <sheetName val="Q2_Actual11"/>
      <sheetName val="Q3_actuals11"/>
      <sheetName val="산업은행_경영지표11"/>
      <sheetName val="인건비_내역서11"/>
      <sheetName val="방수공사_집계표8"/>
      <sheetName val="AIR_SHOWER(3인용)17"/>
      <sheetName val="ESH_평가_Sheet16"/>
      <sheetName val="정비활동_수선비_절감14"/>
      <sheetName val="All_report_113"/>
      <sheetName val="118_세금과공과14"/>
      <sheetName val="1_취수장14"/>
      <sheetName val="준검_내역서14"/>
      <sheetName val="상여_(2)14"/>
      <sheetName val="1__Svc_Sales14"/>
      <sheetName val="2__Portfolio14"/>
      <sheetName val="3__SVC_Price(Avg)14"/>
      <sheetName val="4___Net_Gain14"/>
      <sheetName val="5_1Q_SVC(callback)14"/>
      <sheetName val="5_2_Q_SVC(Response)14"/>
      <sheetName val="5_3_Q_SVC(all)14"/>
      <sheetName val="2008년판매현황_(조정)14"/>
      <sheetName val="Executive_Summary13"/>
      <sheetName val="STROKE별_단가13"/>
      <sheetName val="Initial_Input_Variable14"/>
      <sheetName val="경영비율_14"/>
      <sheetName val="그래프_(2)16"/>
      <sheetName val="2_대상자16"/>
      <sheetName val="9903말_현재16"/>
      <sheetName val="Control_Sheet16"/>
      <sheetName val="2012년_하반기_승진안_및_상신양식_디자인_파트_x13"/>
      <sheetName val="SQL_Statement14"/>
      <sheetName val="주소_작성14"/>
      <sheetName val="2__2012년_실행계획_수립_및_대상선정용_SHEE13"/>
      <sheetName val="타계정에서_명세서(PL상)13"/>
      <sheetName val="별첨3_실패원팀13"/>
      <sheetName val="24_보증금(전신전화가입권)13"/>
      <sheetName val="04년_투자전망13"/>
      <sheetName val="배합비(2,3_4분기)13"/>
      <sheetName val="가중평균_보통주식0213"/>
      <sheetName val="가중평균_보통주식0113"/>
      <sheetName val="완성차_미수금13"/>
      <sheetName val="AC_List13"/>
      <sheetName val="2__Financial_Performance12"/>
      <sheetName val="BS_Prior13"/>
      <sheetName val="97년_추정12"/>
      <sheetName val="이자율별_차입금_적수12"/>
      <sheetName val="Sheet1_(2)12"/>
      <sheetName val="0_0ControlSheet12"/>
      <sheetName val="0_1keyAssumption12"/>
      <sheetName val="Data_Sheet12"/>
      <sheetName val="6_이토처리시간12"/>
      <sheetName val="GRADE별_투입원단위12"/>
      <sheetName val="한일자야(감액손실)_(2)12"/>
      <sheetName val="Q2_Actual12"/>
      <sheetName val="Q3_actuals12"/>
      <sheetName val="산업은행_경영지표12"/>
      <sheetName val="인건비_내역서12"/>
      <sheetName val="방수공사_집계표9"/>
      <sheetName val="AIR_SHOWER(3인용)18"/>
      <sheetName val="ESH_평가_Sheet17"/>
      <sheetName val="정비활동_수선비_절감15"/>
      <sheetName val="All_report_114"/>
      <sheetName val="118_세금과공과15"/>
      <sheetName val="1_취수장15"/>
      <sheetName val="준검_내역서15"/>
      <sheetName val="상여_(2)15"/>
      <sheetName val="1__Svc_Sales15"/>
      <sheetName val="2__Portfolio15"/>
      <sheetName val="3__SVC_Price(Avg)15"/>
      <sheetName val="4___Net_Gain15"/>
      <sheetName val="5_1Q_SVC(callback)15"/>
      <sheetName val="5_2_Q_SVC(Response)15"/>
      <sheetName val="5_3_Q_SVC(all)15"/>
      <sheetName val="2008년판매현황_(조정)15"/>
      <sheetName val="Executive_Summary14"/>
      <sheetName val="STROKE별_단가14"/>
      <sheetName val="Initial_Input_Variable15"/>
      <sheetName val="경영비율_15"/>
      <sheetName val="그래프_(2)17"/>
      <sheetName val="2_대상자17"/>
      <sheetName val="9903말_현재17"/>
      <sheetName val="Control_Sheet17"/>
      <sheetName val="2012년_하반기_승진안_및_상신양식_디자인_파트_x14"/>
      <sheetName val="SQL_Statement15"/>
      <sheetName val="주소_작성15"/>
      <sheetName val="2__2012년_실행계획_수립_및_대상선정용_SHEE14"/>
      <sheetName val="타계정에서_명세서(PL상)14"/>
      <sheetName val="별첨3_실패원팀14"/>
      <sheetName val="24_보증금(전신전화가입권)14"/>
      <sheetName val="04년_투자전망14"/>
      <sheetName val="배합비(2,3_4분기)14"/>
      <sheetName val="가중평균_보통주식0214"/>
      <sheetName val="가중평균_보통주식0114"/>
      <sheetName val="완성차_미수금14"/>
      <sheetName val="AC_List14"/>
      <sheetName val="2__Financial_Performance13"/>
      <sheetName val="BS_Prior14"/>
      <sheetName val="97년_추정13"/>
      <sheetName val="이자율별_차입금_적수13"/>
      <sheetName val="Sheet1_(2)13"/>
      <sheetName val="0_0ControlSheet13"/>
      <sheetName val="0_1keyAssumption13"/>
      <sheetName val="Data_Sheet13"/>
      <sheetName val="6_이토처리시간13"/>
      <sheetName val="GRADE별_투입원단위13"/>
      <sheetName val="한일자야(감액손실)_(2)13"/>
      <sheetName val="Q2_Actual13"/>
      <sheetName val="Q3_actuals13"/>
      <sheetName val="산업은행_경영지표13"/>
      <sheetName val="인건비_내역서13"/>
      <sheetName val="방수공사_집계표10"/>
      <sheetName val="AIR_SHOWER(3인용)19"/>
      <sheetName val="ESH_평가_Sheet18"/>
      <sheetName val="정비활동_수선비_절감16"/>
      <sheetName val="All_report_115"/>
      <sheetName val="118_세금과공과16"/>
      <sheetName val="1_취수장16"/>
      <sheetName val="준검_내역서16"/>
      <sheetName val="상여_(2)16"/>
      <sheetName val="1__Svc_Sales16"/>
      <sheetName val="2__Portfolio16"/>
      <sheetName val="3__SVC_Price(Avg)16"/>
      <sheetName val="4___Net_Gain16"/>
      <sheetName val="5_1Q_SVC(callback)16"/>
      <sheetName val="5_2_Q_SVC(Response)16"/>
      <sheetName val="5_3_Q_SVC(all)16"/>
      <sheetName val="2008년판매현황_(조정)16"/>
      <sheetName val="Executive_Summary15"/>
      <sheetName val="STROKE별_단가15"/>
      <sheetName val="Initial_Input_Variable16"/>
      <sheetName val="경영비율_16"/>
      <sheetName val="그래프_(2)18"/>
      <sheetName val="2_대상자18"/>
      <sheetName val="9903말_현재18"/>
      <sheetName val="Control_Sheet18"/>
      <sheetName val="2012년_하반기_승진안_및_상신양식_디자인_파트_x15"/>
      <sheetName val="SQL_Statement16"/>
      <sheetName val="주소_작성16"/>
      <sheetName val="2__2012년_실행계획_수립_및_대상선정용_SHEE15"/>
      <sheetName val="타계정에서_명세서(PL상)15"/>
      <sheetName val="별첨3_실패원팀15"/>
      <sheetName val="24_보증금(전신전화가입권)15"/>
      <sheetName val="04년_투자전망15"/>
      <sheetName val="배합비(2,3_4분기)15"/>
      <sheetName val="가중평균_보통주식0215"/>
      <sheetName val="가중평균_보통주식0115"/>
      <sheetName val="완성차_미수금15"/>
      <sheetName val="AC_List15"/>
      <sheetName val="2__Financial_Performance14"/>
      <sheetName val="BS_Prior15"/>
      <sheetName val="97년_추정14"/>
      <sheetName val="이자율별_차입금_적수14"/>
      <sheetName val="Sheet1_(2)14"/>
      <sheetName val="0_0ControlSheet14"/>
      <sheetName val="0_1keyAssumption14"/>
      <sheetName val="Data_Sheet14"/>
      <sheetName val="6_이토처리시간14"/>
      <sheetName val="GRADE별_투입원단위14"/>
      <sheetName val="한일자야(감액손실)_(2)14"/>
      <sheetName val="Q2_Actual14"/>
      <sheetName val="Q3_actuals14"/>
      <sheetName val="산업은행_경영지표14"/>
      <sheetName val="인건비_내역서14"/>
      <sheetName val="방수공사_집계표11"/>
      <sheetName val="AIR_SHOWER(3인용)20"/>
      <sheetName val="ESH_평가_Sheet19"/>
      <sheetName val="정비활동_수선비_절감17"/>
      <sheetName val="All_report_116"/>
      <sheetName val="118_세금과공과17"/>
      <sheetName val="1_취수장17"/>
      <sheetName val="준검_내역서17"/>
      <sheetName val="상여_(2)17"/>
      <sheetName val="1__Svc_Sales17"/>
      <sheetName val="2__Portfolio17"/>
      <sheetName val="3__SVC_Price(Avg)17"/>
      <sheetName val="4___Net_Gain17"/>
      <sheetName val="5_1Q_SVC(callback)17"/>
      <sheetName val="5_2_Q_SVC(Response)17"/>
      <sheetName val="5_3_Q_SVC(all)17"/>
      <sheetName val="2008년판매현황_(조정)17"/>
      <sheetName val="Executive_Summary16"/>
      <sheetName val="STROKE별_단가16"/>
      <sheetName val="Initial_Input_Variable17"/>
      <sheetName val="경영비율_17"/>
      <sheetName val="그래프_(2)19"/>
      <sheetName val="2_대상자19"/>
      <sheetName val="9903말_현재19"/>
      <sheetName val="Control_Sheet19"/>
      <sheetName val="2012년_하반기_승진안_및_상신양식_디자인_파트_x16"/>
      <sheetName val="SQL_Statement17"/>
      <sheetName val="주소_작성17"/>
      <sheetName val="2__2012년_실행계획_수립_및_대상선정용_SHEE16"/>
      <sheetName val="타계정에서_명세서(PL상)16"/>
      <sheetName val="별첨3_실패원팀16"/>
      <sheetName val="24_보증금(전신전화가입권)16"/>
      <sheetName val="04년_투자전망16"/>
      <sheetName val="배합비(2,3_4분기)16"/>
      <sheetName val="가중평균_보통주식0216"/>
      <sheetName val="가중평균_보통주식0116"/>
      <sheetName val="완성차_미수금16"/>
      <sheetName val="AC_List16"/>
      <sheetName val="2__Financial_Performance15"/>
      <sheetName val="BS_Prior16"/>
      <sheetName val="97년_추정15"/>
      <sheetName val="이자율별_차입금_적수15"/>
      <sheetName val="Sheet1_(2)15"/>
      <sheetName val="0_0ControlSheet15"/>
      <sheetName val="0_1keyAssumption15"/>
      <sheetName val="Data_Sheet15"/>
      <sheetName val="6_이토처리시간15"/>
      <sheetName val="GRADE별_투입원단위15"/>
      <sheetName val="한일자야(감액손실)_(2)15"/>
      <sheetName val="Q2_Actual15"/>
      <sheetName val="Q3_actuals15"/>
      <sheetName val="산업은행_경영지표15"/>
      <sheetName val="인건비_내역서15"/>
      <sheetName val="방수공사_집계표12"/>
      <sheetName val="AIR_SHOWER(3인용)21"/>
      <sheetName val="ESH_평가_Sheet20"/>
      <sheetName val="정비활동_수선비_절감18"/>
      <sheetName val="All_report_117"/>
      <sheetName val="118_세금과공과18"/>
      <sheetName val="1_취수장18"/>
      <sheetName val="준검_내역서18"/>
      <sheetName val="상여_(2)18"/>
      <sheetName val="1__Svc_Sales18"/>
      <sheetName val="2__Portfolio18"/>
      <sheetName val="3__SVC_Price(Avg)18"/>
      <sheetName val="4___Net_Gain18"/>
      <sheetName val="5_1Q_SVC(callback)18"/>
      <sheetName val="5_2_Q_SVC(Response)18"/>
      <sheetName val="5_3_Q_SVC(all)18"/>
      <sheetName val="2008년판매현황_(조정)18"/>
      <sheetName val="Executive_Summary17"/>
      <sheetName val="STROKE별_단가17"/>
      <sheetName val="Initial_Input_Variable18"/>
      <sheetName val="경영비율_18"/>
      <sheetName val="그래프_(2)20"/>
      <sheetName val="2_대상자20"/>
      <sheetName val="9903말_현재20"/>
      <sheetName val="Control_Sheet20"/>
      <sheetName val="2012년_하반기_승진안_및_상신양식_디자인_파트_x17"/>
      <sheetName val="SQL_Statement18"/>
      <sheetName val="주소_작성18"/>
      <sheetName val="2__2012년_실행계획_수립_및_대상선정용_SHEE17"/>
      <sheetName val="타계정에서_명세서(PL상)17"/>
      <sheetName val="별첨3_실패원팀17"/>
      <sheetName val="24_보증금(전신전화가입권)17"/>
      <sheetName val="04년_투자전망17"/>
      <sheetName val="배합비(2,3_4분기)17"/>
      <sheetName val="가중평균_보통주식0217"/>
      <sheetName val="가중평균_보통주식0117"/>
      <sheetName val="완성차_미수금17"/>
      <sheetName val="AC_List17"/>
      <sheetName val="2__Financial_Performance16"/>
      <sheetName val="BS_Prior17"/>
      <sheetName val="97년_추정16"/>
      <sheetName val="이자율별_차입금_적수16"/>
      <sheetName val="Sheet1_(2)16"/>
      <sheetName val="0_0ControlSheet16"/>
      <sheetName val="0_1keyAssumption16"/>
      <sheetName val="Data_Sheet16"/>
      <sheetName val="6_이토처리시간16"/>
      <sheetName val="GRADE별_투입원단위16"/>
      <sheetName val="한일자야(감액손실)_(2)16"/>
      <sheetName val="Q2_Actual16"/>
      <sheetName val="Q3_actuals16"/>
      <sheetName val="산업은행_경영지표16"/>
      <sheetName val="인건비_내역서16"/>
      <sheetName val="방수공사_집계표13"/>
      <sheetName val="AC__x0000__x0000__x0005__x0000_"/>
      <sheetName val="2__2012__________________SHEE_3"/>
      <sheetName val="1-1평균터파기고(1)"/>
      <sheetName val="200"/>
      <sheetName val="정렬"/>
      <sheetName val="BID"/>
      <sheetName val="플랜트 설치"/>
      <sheetName val="资产负债表"/>
      <sheetName val="2007"/>
      <sheetName val="大连项目（大连置业）"/>
      <sheetName val="银行借款询证"/>
      <sheetName val="Parameters"/>
      <sheetName val="科目余额表正式"/>
      <sheetName val="temp"/>
      <sheetName val="Disposition"/>
      <sheetName val="6-GZ"/>
      <sheetName val="대구은행"/>
      <sheetName val="건축개요_"/>
      <sheetName val="사업수지"/>
      <sheetName val="Phone"/>
      <sheetName val="인건-측정"/>
      <sheetName val="오억미만"/>
      <sheetName val="단양 00 아파트-세부내역"/>
      <sheetName val="건축"/>
      <sheetName val="평균상여금"/>
      <sheetName val="총제품수불"/>
      <sheetName val="상품수불(합산)"/>
      <sheetName val="便宜的償却開始月リスト"/>
      <sheetName val="tech service fee"/>
      <sheetName val="testing fee"/>
      <sheetName val="CF (貼付用)"/>
      <sheetName val="時価"/>
      <sheetName val="土地サマリ"/>
      <sheetName val="shTemp"/>
      <sheetName val="索引"/>
      <sheetName val="인원계획"/>
      <sheetName val="태안9)3-2)원내역"/>
      <sheetName val="1차설계변경내역"/>
      <sheetName val="종합(LH)"/>
      <sheetName val="입력 및 결과"/>
      <sheetName val="1"/>
      <sheetName val="2"/>
      <sheetName val="3"/>
      <sheetName val="4"/>
      <sheetName val="5"/>
      <sheetName val="6"/>
      <sheetName val="7"/>
      <sheetName val="8"/>
      <sheetName val="3.일반사상"/>
      <sheetName val="3-3현"/>
      <sheetName val="심사"/>
      <sheetName val="상표권"/>
      <sheetName val="유가증권LS"/>
      <sheetName val="关联交易-存款"/>
      <sheetName val="2021 Budget"/>
      <sheetName val="당년매출집계"/>
      <sheetName val="I111-15"/>
      <sheetName val="I111-10"/>
      <sheetName val="I111-05"/>
      <sheetName val="I111-20"/>
      <sheetName val="미착기계"/>
      <sheetName val="업종별제조원가"/>
      <sheetName val="조치원제조"/>
      <sheetName val="급여표"/>
      <sheetName val="5-21"/>
      <sheetName val="형틀"/>
      <sheetName val="임대현황"/>
      <sheetName val="토지조서(원본)"/>
      <sheetName val="4월"/>
      <sheetName val="반포2차"/>
      <sheetName val="직접노무"/>
      <sheetName val="직접재료"/>
      <sheetName val="설-원가"/>
      <sheetName val="설치자재"/>
      <sheetName val="단중"/>
      <sheetName val="물량"/>
      <sheetName val="재료"/>
      <sheetName val="단"/>
      <sheetName val="노단212"/>
      <sheetName val="노단165"/>
      <sheetName val="노집"/>
      <sheetName val="재집"/>
      <sheetName val="기존단가 (2)"/>
      <sheetName val="경율산정.XLS"/>
      <sheetName val="국별인원"/>
      <sheetName val="단가표"/>
      <sheetName val="직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 refreshError="1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 refreshError="1"/>
      <sheetData sheetId="425" refreshError="1"/>
      <sheetData sheetId="426" refreshError="1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 refreshError="1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 refreshError="1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A1"/>
      <sheetName val="A2"/>
      <sheetName val="to do"/>
      <sheetName val="재고"/>
      <sheetName val="AR"/>
      <sheetName val="단가검증"/>
      <sheetName val="재고분석"/>
      <sheetName val="가공비배부"/>
      <sheetName val="제,원"/>
      <sheetName val="투자"/>
      <sheetName val="평가"/>
      <sheetName val="무형"/>
      <sheetName val="M"/>
      <sheetName val="M1-anl"/>
      <sheetName val="퇴충"/>
      <sheetName val="분석적검토"/>
      <sheetName val="자본"/>
      <sheetName val="스탁옵션"/>
      <sheetName val="원가"/>
      <sheetName val="제조원가"/>
      <sheetName val="월별제조"/>
      <sheetName val="영업외"/>
      <sheetName val="우발"/>
      <sheetName val="법인"/>
      <sheetName val="미지급법인세"/>
      <sheetName val="이연법인세"/>
      <sheetName val="BS일이후"/>
      <sheetName val="매입"/>
      <sheetName val="원재료평가"/>
      <sheetName val="제품평가"/>
      <sheetName val="cc"/>
      <sheetName val="조회"/>
      <sheetName val="총괄"/>
      <sheetName val="미수"/>
      <sheetName val="메모"/>
      <sheetName val="입출금메모"/>
      <sheetName val="판관비"/>
      <sheetName val="월간판관"/>
      <sheetName val="C-1구매"/>
      <sheetName val="C-2제조"/>
      <sheetName val="배부기준"/>
      <sheetName val="C-21-1매입toc"/>
      <sheetName val="C-22-월별경비"/>
      <sheetName val="부문별"/>
      <sheetName val="회선사용"/>
      <sheetName val="C-42원가AR"/>
      <sheetName val="C-43-11cutoff"/>
      <sheetName val="C-43-31"/>
      <sheetName val="매출"/>
      <sheetName val="건설중인자산"/>
      <sheetName val="중간감사-드림라인"/>
      <sheetName val="#REF"/>
      <sheetName val="업무분장 "/>
      <sheetName val="공통"/>
      <sheetName val="95WBS"/>
      <sheetName val="현금흐름표"/>
      <sheetName val="YOEMAGUM"/>
      <sheetName val="조회총괄"/>
      <sheetName val="재무가정"/>
      <sheetName val="인원계획-미화"/>
      <sheetName val="유동자산"/>
      <sheetName val="산업은행 경영지표"/>
      <sheetName val="TEMP"/>
      <sheetName val="JA"/>
      <sheetName val="111"/>
      <sheetName val="받을어음"/>
      <sheetName val="상가매매0115"/>
      <sheetName val="상가임대0115"/>
      <sheetName val="현금"/>
      <sheetName val="대차대조표"/>
      <sheetName val="表紙"/>
      <sheetName val="상품입고집계"/>
      <sheetName val="건물"/>
      <sheetName val="노무비"/>
      <sheetName val="Sheet1"/>
      <sheetName val="기본입력사항"/>
      <sheetName val="TEMP2"/>
      <sheetName val="금융"/>
      <sheetName val="은행"/>
      <sheetName val="리스"/>
      <sheetName val="보험"/>
      <sheetName val="입력항목"/>
      <sheetName val="TB"/>
      <sheetName val="24.보증금(전신전화가입권)"/>
      <sheetName val="월별인건비현황"/>
      <sheetName val="현금흐름"/>
      <sheetName val="5사남"/>
      <sheetName val="상가지급현황"/>
      <sheetName val="현장"/>
      <sheetName val="회사정보"/>
      <sheetName val="0.0ControlSheet"/>
      <sheetName val="정의"/>
      <sheetName val="효용적수"/>
      <sheetName val="주차"/>
      <sheetName val="간접재료비산출표-27-30"/>
      <sheetName val="전신환매도율"/>
      <sheetName val="保険団体求積"/>
      <sheetName val="인사자료총집계"/>
      <sheetName val="이자율"/>
      <sheetName val="수지"/>
      <sheetName val="토지조서(원본)"/>
      <sheetName val="rent roll"/>
      <sheetName val="conclusion"/>
      <sheetName val="Import_FX"/>
      <sheetName val="(법인,토지)등기부등본요약"/>
      <sheetName val="평가금액"/>
      <sheetName val="京王井の頭線"/>
      <sheetName val="설직재-1"/>
      <sheetName val="to_do"/>
      <sheetName val="업무분장_"/>
      <sheetName val="산업은행_경영지표"/>
      <sheetName val="24_보증금(전신전화가입권)"/>
      <sheetName val="rent_roll"/>
      <sheetName val="0_0ControlSheet"/>
      <sheetName val="분석통계"/>
      <sheetName val="BS"/>
      <sheetName val="J150 승인진도관리 LIST"/>
      <sheetName val="입찰안"/>
      <sheetName val="신공항A-9(원가수정)"/>
      <sheetName val="Rent Comp (2)"/>
      <sheetName val="S&amp;R"/>
      <sheetName val="to_do1"/>
      <sheetName val="업무분장_1"/>
      <sheetName val="산업은행_경영지표1"/>
      <sheetName val="24_보증금(전신전화가입권)1"/>
      <sheetName val="0_0ControlSheet1"/>
      <sheetName val="rent_roll1"/>
      <sheetName val="현금및현금등가물1"/>
      <sheetName val="기계"/>
      <sheetName val="to_do2"/>
      <sheetName val="업무분장_2"/>
      <sheetName val="산업은행_경영지표2"/>
      <sheetName val="24_보증금(전신전화가입권)2"/>
      <sheetName val="rent_roll2"/>
      <sheetName val="0_0ControlSheet2"/>
      <sheetName val="to_do3"/>
      <sheetName val="업무분장_3"/>
      <sheetName val="산업은행_경영지표3"/>
      <sheetName val="24_보증금(전신전화가입권)3"/>
      <sheetName val="rent_roll3"/>
      <sheetName val="0_0ControlSheet3"/>
      <sheetName val="Budget"/>
      <sheetName val="노임단가"/>
      <sheetName val="수정시산표"/>
      <sheetName val="8월"/>
      <sheetName val="PL"/>
      <sheetName val="TEMP1"/>
      <sheetName val="주주명부&lt;끝&gt;"/>
      <sheetName val="보조부문비배부"/>
      <sheetName val="total"/>
      <sheetName val="5"/>
      <sheetName val="Sheet11"/>
      <sheetName val="WELDING"/>
      <sheetName val="FUEL FILLER"/>
      <sheetName val="원본1"/>
      <sheetName val="MH_생산"/>
      <sheetName val="Errors_130303"/>
      <sheetName val="XREF"/>
      <sheetName val="제조부문배부"/>
      <sheetName val="TABLE DB"/>
      <sheetName val="쌍용 data base"/>
      <sheetName val="Menu_Link"/>
      <sheetName val="산출기준(파견전산실)"/>
      <sheetName val="부서코드표"/>
      <sheetName val="BCR원본"/>
      <sheetName val="TMFL Receipt"/>
      <sheetName val="J150_승인진도관리_LIST"/>
      <sheetName val="FUEL_FILLER"/>
      <sheetName val="J150_승인진도관리_LIST1"/>
      <sheetName val="FUEL_FILLER1"/>
      <sheetName val="J150_승인진도관리_LIST2"/>
      <sheetName val="FUEL_FILLER2"/>
      <sheetName val="TABLE_DB"/>
      <sheetName val="쌍용_data_base"/>
      <sheetName val="TMFL_Receipt"/>
      <sheetName val="환산표"/>
      <sheetName val="99사업d"/>
      <sheetName val="J150_승인진도관리_LIST3"/>
      <sheetName val="TABLE_DB1"/>
      <sheetName val="쌍용_data_base1"/>
      <sheetName val="FUEL_FILLER3"/>
      <sheetName val="TMFL_Receipt1"/>
      <sheetName val="외화금융(97-03)"/>
      <sheetName val="시산표"/>
      <sheetName val="외주현황.wq1"/>
      <sheetName val="CSCT(지분법)"/>
      <sheetName val="기본정보"/>
      <sheetName val="식음료"/>
      <sheetName val="재고자산"/>
      <sheetName val="FRDS9805"/>
      <sheetName val="출자한도"/>
      <sheetName val="기안지"/>
      <sheetName val="Variables"/>
      <sheetName val="CU열교환기 평균생산"/>
      <sheetName val="CAUDIT"/>
      <sheetName val="절차서"/>
      <sheetName val="CU열교환기_평균생산"/>
      <sheetName val="96"/>
      <sheetName val="현금예금"/>
      <sheetName val="2.대외공문"/>
      <sheetName val="실행철강하도"/>
      <sheetName val="카스코"/>
      <sheetName val="차체"/>
      <sheetName val="COUNT STATUS"/>
      <sheetName val="CS-Prod"/>
      <sheetName val="Daten"/>
      <sheetName val="Vorjahr"/>
      <sheetName val="TKBN_TKBNA"/>
      <sheetName val="KTP_Apr10"/>
      <sheetName val="Wkz_PBD"/>
      <sheetName val="Sheet2"/>
      <sheetName val="Eq. Mobilization"/>
      <sheetName val="data"/>
      <sheetName val="Jindal"/>
      <sheetName val="to_do4"/>
      <sheetName val="업무분장_4"/>
      <sheetName val="산업은행_경영지표4"/>
      <sheetName val="24_보증금(전신전화가입권)4"/>
      <sheetName val="rent_roll4"/>
      <sheetName val="0_0ControlSheet4"/>
      <sheetName val="FS-2013"/>
      <sheetName val="지급어음(일별)"/>
      <sheetName val="2"/>
      <sheetName val="base"/>
      <sheetName val="환율"/>
      <sheetName val="재공품"/>
      <sheetName val="주요비율-낙관"/>
      <sheetName val="IntercompanyAROct2001"/>
      <sheetName val="품의서취합"/>
      <sheetName val="내역서"/>
      <sheetName val="Ctrl"/>
      <sheetName val="EBITDA Bridge (BU Mostre)"/>
      <sheetName val="SANTOGO"/>
      <sheetName val="투자비"/>
      <sheetName val="수지차(년)"/>
      <sheetName val="to_do5"/>
      <sheetName val="업무분장_5"/>
      <sheetName val="산업은행_경영지표5"/>
      <sheetName val="24_보증금(전신전화가입권)5"/>
      <sheetName val="rent_roll5"/>
      <sheetName val="0_0ControlSheet5"/>
      <sheetName val="96수표어음"/>
      <sheetName val="금호"/>
      <sheetName val="Parameter"/>
      <sheetName val="10월"/>
      <sheetName val="회차별합계"/>
      <sheetName val="대차대조표-공시형"/>
      <sheetName val="과6"/>
      <sheetName val="이익영"/>
      <sheetName val="일자"/>
      <sheetName val="주식배당"/>
      <sheetName val="단가 및 재료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49"/>
  <sheetViews>
    <sheetView showGridLines="0" tabSelected="1" view="pageBreakPreview" zoomScale="85" zoomScaleNormal="85" zoomScaleSheetLayoutView="85" workbookViewId="0">
      <pane xSplit="6" ySplit="4" topLeftCell="P5" activePane="bottomRight" state="frozen"/>
      <selection activeCell="Q28" sqref="Q28"/>
      <selection pane="topRight" activeCell="Q28" sqref="Q28"/>
      <selection pane="bottomLeft" activeCell="Q28" sqref="Q28"/>
      <selection pane="bottomRight" activeCell="AB5" sqref="AB5"/>
    </sheetView>
  </sheetViews>
  <sheetFormatPr baseColWidth="8" defaultRowHeight="16.5"/>
  <cols>
    <col width="2.375" customWidth="1" style="155" min="1" max="1"/>
    <col width="4.125" bestFit="1" customWidth="1" style="155" min="2" max="2"/>
    <col width="9.125" customWidth="1" style="155" min="3" max="3"/>
    <col width="12.875" customWidth="1" style="155" min="4" max="4"/>
    <col outlineLevel="1" width="10" customWidth="1" style="155" min="5" max="5"/>
    <col outlineLevel="1" width="14.125" customWidth="1" style="155" min="6" max="6"/>
    <col outlineLevel="1" width="37.125" customWidth="1" style="155" min="7" max="7"/>
    <col outlineLevel="1" width="14.125" customWidth="1" style="155" min="8" max="9"/>
    <col width="11.5" bestFit="1" customWidth="1" style="155" min="10" max="10"/>
    <col width="14.875" bestFit="1" customWidth="1" style="155" min="11" max="11"/>
    <col width="15.625" bestFit="1" customWidth="1" style="155" min="12" max="12"/>
    <col width="13.75" bestFit="1" customWidth="1" style="155" min="13" max="14"/>
    <col width="12.625" bestFit="1" customWidth="1" style="155" min="15" max="16"/>
    <col width="10" customWidth="1" style="155" min="17" max="17"/>
    <col width="15" customWidth="1" style="155" min="18" max="18"/>
    <col hidden="1" width="17.875" customWidth="1" style="155" min="19" max="19"/>
    <col hidden="1" width="16.75" customWidth="1" style="155" min="20" max="20"/>
    <col width="17.875" bestFit="1" customWidth="1" style="155" min="21" max="21"/>
    <col hidden="1" width="17.875" customWidth="1" style="155" min="22" max="22"/>
    <col hidden="1" width="16.75" customWidth="1" style="155" min="23" max="23"/>
    <col width="17.875" bestFit="1" customWidth="1" style="155" min="24" max="24"/>
    <col width="17.625" customWidth="1" style="155" min="25" max="25"/>
    <col width="9.125" customWidth="1" style="155" min="26" max="26"/>
    <col width="19.375" bestFit="1" customWidth="1" style="155" min="27" max="27"/>
    <col width="13" customWidth="1" style="155" min="28" max="29"/>
    <col width="22.125" customWidth="1" style="155" min="30" max="30"/>
    <col width="12.875" customWidth="1" style="155" min="31" max="31"/>
    <col width="11" customWidth="1" style="155" min="32" max="36"/>
    <col width="9" customWidth="1" style="155" min="37" max="16384"/>
  </cols>
  <sheetData>
    <row r="1">
      <c r="A1" s="307" t="n"/>
      <c r="B1" s="267" t="inlineStr">
        <is>
          <t>■ 2026년 매각요청 대상주유소</t>
        </is>
      </c>
    </row>
    <row r="2" ht="17.25" customHeight="1" s="308" thickBot="1">
      <c r="B2" s="267" t="n"/>
      <c r="C2" s="267" t="n"/>
      <c r="D2" s="267" t="n"/>
      <c r="E2" s="267" t="n"/>
      <c r="F2" s="267" t="n"/>
      <c r="G2" s="267" t="n"/>
    </row>
    <row r="3">
      <c r="B3" s="261" t="inlineStr">
        <is>
          <t>NO</t>
        </is>
      </c>
      <c r="C3" s="261" t="inlineStr">
        <is>
          <t>구분</t>
        </is>
      </c>
      <c r="D3" s="309" t="n"/>
      <c r="E3" s="261" t="inlineStr">
        <is>
          <t>지역</t>
        </is>
      </c>
      <c r="F3" s="310" t="inlineStr">
        <is>
          <t>주유소명</t>
        </is>
      </c>
      <c r="G3" s="261" t="inlineStr">
        <is>
          <t>상세주소</t>
        </is>
      </c>
      <c r="H3" s="261" t="inlineStr">
        <is>
          <t>대지면적(㎡)</t>
        </is>
      </c>
      <c r="I3" s="262" t="inlineStr">
        <is>
          <t>대지면적(평)</t>
        </is>
      </c>
      <c r="J3" s="259" t="inlineStr">
        <is>
          <t>지역지구</t>
        </is>
      </c>
      <c r="K3" s="311" t="n"/>
      <c r="L3" s="266" t="inlineStr">
        <is>
          <t>보증금</t>
        </is>
      </c>
      <c r="M3" s="259" t="inlineStr">
        <is>
          <t>월 임대료</t>
        </is>
      </c>
      <c r="N3" s="265" t="inlineStr">
        <is>
          <t>임차인</t>
        </is>
      </c>
      <c r="O3" s="312" t="n"/>
      <c r="P3" s="312" t="n"/>
      <c r="Q3" s="311" t="n"/>
      <c r="R3" s="265" t="inlineStr">
        <is>
          <t>매매대금(원)</t>
        </is>
      </c>
      <c r="S3" s="265" t="inlineStr">
        <is>
          <t>장부가</t>
        </is>
      </c>
      <c r="T3" s="312" t="n"/>
      <c r="U3" s="311" t="n"/>
      <c r="V3" s="265" t="inlineStr">
        <is>
          <t>매입가</t>
        </is>
      </c>
      <c r="W3" s="312" t="n"/>
      <c r="X3" s="311" t="n"/>
      <c r="Y3" s="264" t="inlineStr">
        <is>
          <t>감정평가(담보)</t>
        </is>
      </c>
      <c r="Z3" s="260" t="inlineStr">
        <is>
          <t>상환비율</t>
        </is>
      </c>
      <c r="AA3" s="244" t="inlineStr">
        <is>
          <t>회수 원본</t>
        </is>
      </c>
      <c r="AB3" s="313" t="inlineStr">
        <is>
          <t>입찰공고
('26.10.14)</t>
        </is>
      </c>
    </row>
    <row r="4">
      <c r="B4" s="314" t="n"/>
      <c r="C4" s="315" t="n"/>
      <c r="D4" s="316" t="n"/>
      <c r="E4" s="314" t="n"/>
      <c r="F4" s="314" t="n"/>
      <c r="G4" s="314" t="n"/>
      <c r="H4" s="314" t="n"/>
      <c r="I4" s="315" t="n"/>
      <c r="J4" s="259" t="inlineStr">
        <is>
          <t>용도지역</t>
        </is>
      </c>
      <c r="K4" s="259" t="inlineStr">
        <is>
          <t>지구단위계획</t>
        </is>
      </c>
      <c r="L4" s="317" t="n"/>
      <c r="M4" s="318" t="n"/>
      <c r="N4" s="265" t="inlineStr">
        <is>
          <t>HDO</t>
        </is>
      </c>
      <c r="O4" s="265" t="inlineStr">
        <is>
          <t>SKN</t>
        </is>
      </c>
      <c r="P4" s="265" t="inlineStr">
        <is>
          <t>기타</t>
        </is>
      </c>
      <c r="Q4" s="265" t="inlineStr">
        <is>
          <t>비고</t>
        </is>
      </c>
      <c r="R4" s="318" t="n"/>
      <c r="S4" s="265" t="inlineStr">
        <is>
          <t>토지</t>
        </is>
      </c>
      <c r="T4" s="265" t="inlineStr">
        <is>
          <t>건축물 등</t>
        </is>
      </c>
      <c r="U4" s="265" t="inlineStr">
        <is>
          <t>계</t>
        </is>
      </c>
      <c r="V4" s="265" t="inlineStr">
        <is>
          <t>토지</t>
        </is>
      </c>
      <c r="W4" s="265" t="inlineStr">
        <is>
          <t>건축물 등</t>
        </is>
      </c>
      <c r="X4" s="265" t="inlineStr">
        <is>
          <t>계</t>
        </is>
      </c>
      <c r="Y4" s="265" t="inlineStr">
        <is>
          <t>계</t>
        </is>
      </c>
      <c r="Z4" s="319" t="n"/>
      <c r="AA4" s="320" t="n"/>
      <c r="AB4" s="320" t="n"/>
    </row>
    <row r="5" ht="18" customHeight="1" s="308">
      <c r="B5" s="172" t="n">
        <v>1</v>
      </c>
      <c r="C5" s="172" t="inlineStr">
        <is>
          <t>신규</t>
        </is>
      </c>
      <c r="D5" s="321" t="n">
        <v>46093</v>
      </c>
      <c r="E5" s="171" t="inlineStr">
        <is>
          <t>인천</t>
        </is>
      </c>
      <c r="F5" s="171" t="inlineStr">
        <is>
          <t>공단1</t>
        </is>
      </c>
      <c r="G5" s="322" t="inlineStr">
        <is>
          <t>인천 남동구 남동대로 367</t>
        </is>
      </c>
      <c r="H5" s="323" t="n">
        <v>3302.1</v>
      </c>
      <c r="I5" s="324">
        <f>H5/3.3058</f>
        <v/>
      </c>
      <c r="J5" s="325" t="inlineStr">
        <is>
          <t>일반공업</t>
        </is>
      </c>
      <c r="K5" s="325" t="inlineStr">
        <is>
          <t>해당</t>
        </is>
      </c>
      <c r="L5" s="326" t="n">
        <v>707000000</v>
      </c>
      <c r="M5" s="327" t="n">
        <v>27426000</v>
      </c>
      <c r="N5" s="327" t="n">
        <v>23599000</v>
      </c>
      <c r="O5" s="327" t="n">
        <v>1869000</v>
      </c>
      <c r="P5" s="327" t="n">
        <v>1958000</v>
      </c>
      <c r="Q5" s="327" t="inlineStr">
        <is>
          <t>-</t>
        </is>
      </c>
      <c r="R5" s="328" t="n">
        <v>0</v>
      </c>
      <c r="S5" s="328" t="n">
        <v>6820806658.72191</v>
      </c>
      <c r="T5" s="328" t="n">
        <v>513000000</v>
      </c>
      <c r="U5" s="328" t="n">
        <v>7374107217.3873</v>
      </c>
      <c r="V5" s="328" t="n">
        <v>6454000000</v>
      </c>
      <c r="W5" s="328" t="n">
        <v>513000000</v>
      </c>
      <c r="X5" s="328" t="n">
        <v>6967000000</v>
      </c>
      <c r="Y5" s="328">
        <f>VLOOKUP(F5,'주유소별가격(담보)'!$C$4:$H$158,6,0)</f>
        <v/>
      </c>
      <c r="Z5" s="329" t="n">
        <v>0.495</v>
      </c>
      <c r="AA5" s="185">
        <f>U5-L5-Y5*Z5</f>
        <v/>
      </c>
      <c r="AB5" s="330" t="inlineStr">
        <is>
          <t>No.1</t>
        </is>
      </c>
      <c r="AD5" s="155" t="inlineStr">
        <is>
          <t>매각주유소(담보가)</t>
        </is>
      </c>
      <c r="AE5" s="228">
        <f>Y49/1000000</f>
        <v/>
      </c>
    </row>
    <row r="6" ht="18" customHeight="1" s="308">
      <c r="B6" s="172" t="n">
        <v>2</v>
      </c>
      <c r="C6" s="331" t="n"/>
      <c r="D6" s="331" t="n"/>
      <c r="E6" s="171" t="inlineStr">
        <is>
          <t>인천</t>
        </is>
      </c>
      <c r="F6" s="171" t="inlineStr">
        <is>
          <t>공단2</t>
        </is>
      </c>
      <c r="G6" s="322" t="inlineStr">
        <is>
          <t>인천 남동구 앵고개로 463</t>
        </is>
      </c>
      <c r="H6" s="323" t="n">
        <v>3635.7</v>
      </c>
      <c r="I6" s="324">
        <f>H6/3.3058</f>
        <v/>
      </c>
      <c r="J6" s="325" t="inlineStr">
        <is>
          <t>일반공업</t>
        </is>
      </c>
      <c r="K6" s="325" t="inlineStr">
        <is>
          <t>해당</t>
        </is>
      </c>
      <c r="L6" s="326" t="n">
        <v>891209000</v>
      </c>
      <c r="M6" s="327" t="n">
        <v>35544276</v>
      </c>
      <c r="N6" s="327" t="n">
        <v>29520000</v>
      </c>
      <c r="O6" s="327" t="n">
        <v>1988000</v>
      </c>
      <c r="P6" s="327" t="n">
        <v>4036276</v>
      </c>
      <c r="Q6" s="327" t="inlineStr">
        <is>
          <t>-</t>
        </is>
      </c>
      <c r="R6" s="328" t="n">
        <v>0</v>
      </c>
      <c r="S6" s="328" t="n">
        <v>8310944598.2317</v>
      </c>
      <c r="T6" s="328" t="n">
        <v>873000000</v>
      </c>
      <c r="U6" s="328" t="n">
        <v>9254463926.460979</v>
      </c>
      <c r="V6" s="328" t="n">
        <v>7864000000</v>
      </c>
      <c r="W6" s="328" t="n">
        <v>873000000</v>
      </c>
      <c r="X6" s="328" t="n">
        <v>8737000000</v>
      </c>
      <c r="Y6" s="328">
        <f>VLOOKUP(F6,'주유소별가격(담보)'!$C$4:$H$158,6,0)</f>
        <v/>
      </c>
      <c r="Z6" s="329" t="n">
        <v>0.495</v>
      </c>
      <c r="AA6" s="185">
        <f>U6-L6-Y6*Z6</f>
        <v/>
      </c>
      <c r="AB6" s="330" t="inlineStr">
        <is>
          <t>No.2</t>
        </is>
      </c>
      <c r="AD6" s="155" t="inlineStr">
        <is>
          <t>매각시 회수원본</t>
        </is>
      </c>
      <c r="AE6" s="228">
        <f>(AA49)/1000000</f>
        <v/>
      </c>
    </row>
    <row r="7" ht="18" customHeight="1" s="308">
      <c r="B7" s="172" t="n">
        <v>3</v>
      </c>
      <c r="C7" s="331" t="n"/>
      <c r="D7" s="331" t="n"/>
      <c r="E7" s="171" t="inlineStr">
        <is>
          <t>경기</t>
        </is>
      </c>
      <c r="F7" s="171" t="inlineStr">
        <is>
          <t>프리미엄셀프</t>
        </is>
      </c>
      <c r="G7" s="322" t="inlineStr">
        <is>
          <t>경기 화성시 삼성1로 231</t>
        </is>
      </c>
      <c r="H7" s="323" t="n">
        <v>1676.2</v>
      </c>
      <c r="I7" s="324">
        <f>H7/3.3058</f>
        <v/>
      </c>
      <c r="J7" s="325" t="inlineStr">
        <is>
          <t>근린상업</t>
        </is>
      </c>
      <c r="K7" s="325" t="inlineStr">
        <is>
          <t>해당</t>
        </is>
      </c>
      <c r="L7" s="326" t="n">
        <v>688000000</v>
      </c>
      <c r="M7" s="327" t="n">
        <v>27861000</v>
      </c>
      <c r="N7" s="327" t="n">
        <v>24275000</v>
      </c>
      <c r="O7" s="327" t="n">
        <v>3586000</v>
      </c>
      <c r="P7" s="327" t="n">
        <v>0</v>
      </c>
      <c r="Q7" s="327" t="inlineStr">
        <is>
          <t>-</t>
        </is>
      </c>
      <c r="R7" s="328" t="n">
        <v>0</v>
      </c>
      <c r="S7" s="328" t="n">
        <v>7032423821.14654</v>
      </c>
      <c r="T7" s="328" t="n">
        <v>526000000</v>
      </c>
      <c r="U7" s="328" t="n">
        <v>7602479193.59082</v>
      </c>
      <c r="V7" s="328" t="n">
        <v>6654000000</v>
      </c>
      <c r="W7" s="328" t="n">
        <v>526000000</v>
      </c>
      <c r="X7" s="328" t="n">
        <v>7180000000</v>
      </c>
      <c r="Y7" s="328">
        <f>VLOOKUP(F7,'주유소별가격(담보)'!$C$4:$H$158,6,0)</f>
        <v/>
      </c>
      <c r="Z7" s="329" t="n">
        <v>0.495</v>
      </c>
      <c r="AA7" s="185">
        <f>U7-L7-Y7*Z7</f>
        <v/>
      </c>
      <c r="AB7" s="330" t="inlineStr">
        <is>
          <t>No.6</t>
        </is>
      </c>
    </row>
    <row r="8" ht="18" customHeight="1" s="308" thickBot="1">
      <c r="B8" s="172" t="n">
        <v>4</v>
      </c>
      <c r="C8" s="331" t="n"/>
      <c r="D8" s="331" t="n"/>
      <c r="E8" s="171" t="inlineStr">
        <is>
          <t>경기</t>
        </is>
      </c>
      <c r="F8" s="171" t="inlineStr">
        <is>
          <t>송탄제일셀프</t>
        </is>
      </c>
      <c r="G8" s="322" t="inlineStr">
        <is>
          <t>경기 평택시 송탄로 81</t>
        </is>
      </c>
      <c r="H8" s="323" t="n">
        <v>1173</v>
      </c>
      <c r="I8" s="324">
        <f>H8/3.3058</f>
        <v/>
      </c>
      <c r="J8" s="325" t="inlineStr">
        <is>
          <t>제1종일반</t>
        </is>
      </c>
      <c r="K8" s="325" t="inlineStr">
        <is>
          <t>-</t>
        </is>
      </c>
      <c r="L8" s="326" t="n">
        <v>299000000</v>
      </c>
      <c r="M8" s="327" t="n">
        <v>10488000</v>
      </c>
      <c r="N8" s="327" t="n">
        <v>10488000</v>
      </c>
      <c r="O8" s="327" t="n">
        <v>0</v>
      </c>
      <c r="P8" s="327" t="n">
        <v>0</v>
      </c>
      <c r="Q8" s="327" t="inlineStr">
        <is>
          <t>-</t>
        </is>
      </c>
      <c r="R8" s="328" t="n">
        <v>0</v>
      </c>
      <c r="S8" s="328" t="n">
        <v>3012159510.68257</v>
      </c>
      <c r="T8" s="328" t="n">
        <v>267000000</v>
      </c>
      <c r="U8" s="328" t="n">
        <v>3300295847.56582</v>
      </c>
      <c r="V8" s="328" t="n">
        <v>2850000000</v>
      </c>
      <c r="W8" s="328" t="n">
        <v>267000000</v>
      </c>
      <c r="X8" s="328" t="n">
        <v>3117000000</v>
      </c>
      <c r="Y8" s="328">
        <f>VLOOKUP(F8,'주유소별가격(담보)'!$C$4:$H$158,6,0)</f>
        <v/>
      </c>
      <c r="Z8" s="329" t="n">
        <v>0.495</v>
      </c>
      <c r="AA8" s="185">
        <f>U8-L8-Y8*Z8</f>
        <v/>
      </c>
      <c r="AB8" s="330" t="inlineStr">
        <is>
          <t>No.7</t>
        </is>
      </c>
    </row>
    <row r="9" ht="18" customHeight="1" s="308" thickBot="1">
      <c r="B9" s="172" t="n">
        <v>5</v>
      </c>
      <c r="C9" s="331" t="n"/>
      <c r="D9" s="331" t="n"/>
      <c r="E9" s="171" t="inlineStr">
        <is>
          <t>인천</t>
        </is>
      </c>
      <c r="F9" s="171" t="inlineStr">
        <is>
          <t>산곡셀프</t>
        </is>
      </c>
      <c r="G9" s="322" t="inlineStr">
        <is>
          <t>인천 부평구 원적로 417</t>
        </is>
      </c>
      <c r="H9" s="323" t="n">
        <v>1291.9</v>
      </c>
      <c r="I9" s="324">
        <f>H9/3.3058</f>
        <v/>
      </c>
      <c r="J9" s="325" t="inlineStr">
        <is>
          <t>제2종일반</t>
        </is>
      </c>
      <c r="K9" s="325" t="inlineStr">
        <is>
          <t>-</t>
        </is>
      </c>
      <c r="L9" s="326" t="n">
        <v>397000000</v>
      </c>
      <c r="M9" s="327" t="n">
        <v>17407000</v>
      </c>
      <c r="N9" s="327" t="n">
        <v>14041000</v>
      </c>
      <c r="O9" s="327" t="n">
        <v>3366000</v>
      </c>
      <c r="P9" s="327" t="n">
        <v>0</v>
      </c>
      <c r="Q9" s="327" t="inlineStr">
        <is>
          <t>-</t>
        </is>
      </c>
      <c r="R9" s="328" t="n">
        <v>0</v>
      </c>
      <c r="S9" s="328" t="n">
        <v>3724101818.61979</v>
      </c>
      <c r="T9" s="328" t="n">
        <v>623000000</v>
      </c>
      <c r="U9" s="328" t="n">
        <v>4388937216.18623</v>
      </c>
      <c r="V9" s="328" t="n">
        <v>3524000000</v>
      </c>
      <c r="W9" s="328" t="n">
        <v>623000000</v>
      </c>
      <c r="X9" s="328" t="n">
        <v>4147000000</v>
      </c>
      <c r="Y9" s="328">
        <f>VLOOKUP(F9,'주유소별가격(담보)'!$C$4:$H$158,6,0)</f>
        <v/>
      </c>
      <c r="Z9" s="329" t="n">
        <v>0.495</v>
      </c>
      <c r="AA9" s="185">
        <f>U9-L9-Y9*Z9</f>
        <v/>
      </c>
      <c r="AB9" s="330" t="inlineStr">
        <is>
          <t>No.4</t>
        </is>
      </c>
      <c r="AD9" s="225" t="inlineStr">
        <is>
          <t>주유소 매각</t>
        </is>
      </c>
      <c r="AE9" s="237" t="n">
        <v>0.364</v>
      </c>
      <c r="AF9" s="226" t="n">
        <v>0.1</v>
      </c>
      <c r="AG9" s="226" t="n">
        <v>0.2</v>
      </c>
      <c r="AH9" s="226" t="n">
        <v>0.3</v>
      </c>
      <c r="AI9" s="226" t="n">
        <v>0.4</v>
      </c>
      <c r="AJ9" s="226" t="n">
        <v>0.5</v>
      </c>
      <c r="AK9" s="226" t="n">
        <v>0.6</v>
      </c>
      <c r="AL9" s="226" t="n">
        <v>0.7</v>
      </c>
      <c r="AM9" s="226" t="n">
        <v>0.8</v>
      </c>
      <c r="AN9" s="226" t="n">
        <v>0.9</v>
      </c>
      <c r="AO9" s="226" t="n">
        <v>1</v>
      </c>
    </row>
    <row r="10" ht="18" customHeight="1" s="308" thickBot="1">
      <c r="B10" s="172" t="n">
        <v>6</v>
      </c>
      <c r="C10" s="331" t="n"/>
      <c r="D10" s="331" t="n"/>
      <c r="E10" s="171" t="inlineStr">
        <is>
          <t>충남</t>
        </is>
      </c>
      <c r="F10" s="171" t="inlineStr">
        <is>
          <t>잠홍셀프</t>
        </is>
      </c>
      <c r="G10" s="322" t="inlineStr">
        <is>
          <t>충남 서산시 서해로 3602</t>
        </is>
      </c>
      <c r="H10" s="323" t="n">
        <v>1168</v>
      </c>
      <c r="I10" s="327">
        <f>H10/3.3058</f>
        <v/>
      </c>
      <c r="J10" s="325" t="inlineStr">
        <is>
          <t>자연녹지</t>
        </is>
      </c>
      <c r="K10" s="325" t="inlineStr">
        <is>
          <t>해당</t>
        </is>
      </c>
      <c r="L10" s="326" t="n">
        <v>102000000</v>
      </c>
      <c r="M10" s="327" t="n">
        <v>3553000</v>
      </c>
      <c r="N10" s="327" t="n">
        <v>3553000</v>
      </c>
      <c r="O10" s="327" t="n">
        <v>0</v>
      </c>
      <c r="P10" s="327" t="n">
        <v>0</v>
      </c>
      <c r="Q10" s="327" t="inlineStr">
        <is>
          <t>-</t>
        </is>
      </c>
      <c r="R10" s="328" t="n">
        <v>0</v>
      </c>
      <c r="S10" s="328" t="n">
        <v>975769490.98686</v>
      </c>
      <c r="T10" s="328" t="n">
        <v>147000000</v>
      </c>
      <c r="U10" s="328" t="n">
        <v>1132567318.88976</v>
      </c>
      <c r="V10" s="328" t="n">
        <v>923000000</v>
      </c>
      <c r="W10" s="328" t="n">
        <v>147000000</v>
      </c>
      <c r="X10" s="328" t="n">
        <v>1070000000</v>
      </c>
      <c r="Y10" s="328">
        <f>VLOOKUP(F10,'주유소별가격(담보)'!$C$4:$H$158,6,0)</f>
        <v/>
      </c>
      <c r="Z10" s="329" t="n">
        <v>0.385</v>
      </c>
      <c r="AA10" s="185">
        <f>U10-L10-Y10*Z10</f>
        <v/>
      </c>
      <c r="AB10" s="332" t="inlineStr">
        <is>
          <t>미포함</t>
        </is>
      </c>
      <c r="AD10" s="227" t="inlineStr">
        <is>
          <t>DF타워 우선주 원본</t>
        </is>
      </c>
      <c r="AE10" s="333" t="n">
        <v>373</v>
      </c>
      <c r="AF10" s="333" t="n">
        <v>373</v>
      </c>
      <c r="AG10" s="333" t="n">
        <v>373</v>
      </c>
      <c r="AH10" s="333" t="n">
        <v>373</v>
      </c>
      <c r="AI10" s="333" t="n">
        <v>373</v>
      </c>
      <c r="AJ10" s="333" t="n">
        <v>373</v>
      </c>
      <c r="AK10" s="333" t="n">
        <v>373</v>
      </c>
      <c r="AL10" s="333" t="n">
        <v>373</v>
      </c>
      <c r="AM10" s="333" t="n">
        <v>373</v>
      </c>
      <c r="AN10" s="333" t="n">
        <v>373</v>
      </c>
      <c r="AO10" s="333" t="n">
        <v>373</v>
      </c>
    </row>
    <row r="11" ht="18" customHeight="1" s="308" thickBot="1">
      <c r="B11" s="172" t="n">
        <v>7</v>
      </c>
      <c r="C11" s="331" t="n"/>
      <c r="D11" s="331" t="n"/>
      <c r="E11" s="171" t="inlineStr">
        <is>
          <t>경남</t>
        </is>
      </c>
      <c r="F11" s="171" t="inlineStr">
        <is>
          <t>양산대로</t>
        </is>
      </c>
      <c r="G11" s="322" t="inlineStr">
        <is>
          <t>경남 양산시 상북면 양산대로 1229</t>
        </is>
      </c>
      <c r="H11" s="323" t="n">
        <v>1850</v>
      </c>
      <c r="I11" s="324">
        <f>H11/3.3058</f>
        <v/>
      </c>
      <c r="J11" s="325" t="inlineStr">
        <is>
          <t>준공업</t>
        </is>
      </c>
      <c r="K11" s="325" t="inlineStr">
        <is>
          <t>-</t>
        </is>
      </c>
      <c r="L11" s="326" t="n">
        <v>254000000</v>
      </c>
      <c r="M11" s="327" t="n">
        <v>8289000</v>
      </c>
      <c r="N11" s="327" t="n">
        <v>8289000</v>
      </c>
      <c r="O11" s="327" t="n">
        <v>0</v>
      </c>
      <c r="P11" s="327" t="n">
        <v>0</v>
      </c>
      <c r="Q11" s="327" t="inlineStr">
        <is>
          <t>-</t>
        </is>
      </c>
      <c r="R11" s="328" t="n">
        <v>0</v>
      </c>
      <c r="S11" s="328" t="n">
        <v>2522093495.13929</v>
      </c>
      <c r="T11" s="328" t="n">
        <v>173000000</v>
      </c>
      <c r="U11" s="328" t="n">
        <v>2708771050.23954</v>
      </c>
      <c r="V11" s="328" t="n">
        <v>2386000000</v>
      </c>
      <c r="W11" s="328" t="n">
        <v>173000000</v>
      </c>
      <c r="X11" s="328" t="n">
        <v>2559000000</v>
      </c>
      <c r="Y11" s="328">
        <f>VLOOKUP(F11,'주유소별가격(담보)'!$C$4:$H$158,6,0)</f>
        <v/>
      </c>
      <c r="Z11" s="329" t="n">
        <v>0.385</v>
      </c>
      <c r="AA11" s="185">
        <f>U11-L11-Y11*Z11</f>
        <v/>
      </c>
      <c r="AB11" s="330" t="inlineStr">
        <is>
          <t>No.17</t>
        </is>
      </c>
      <c r="AD11" s="227" t="inlineStr">
        <is>
          <t>주유소 회수 원본</t>
        </is>
      </c>
      <c r="AE11" s="333">
        <f>$AE$6*AE$9/100</f>
        <v/>
      </c>
      <c r="AF11" s="333">
        <f>$AE$6*AF$9/100</f>
        <v/>
      </c>
      <c r="AG11" s="333">
        <f>$AE$6*AG$9/100</f>
        <v/>
      </c>
      <c r="AH11" s="333">
        <f>$AE$6*AH$9/100</f>
        <v/>
      </c>
      <c r="AI11" s="333">
        <f>$AE$6*AI$9/100</f>
        <v/>
      </c>
      <c r="AJ11" s="333">
        <f>$AE$6*AJ$9/100</f>
        <v/>
      </c>
      <c r="AK11" s="333">
        <f>$AE$6*AK$9/100</f>
        <v/>
      </c>
      <c r="AL11" s="333">
        <f>$AE$6*AL$9/100</f>
        <v/>
      </c>
      <c r="AM11" s="333">
        <f>$AE$6*AM$9/100</f>
        <v/>
      </c>
      <c r="AN11" s="333">
        <f>$AE$6*AN$9/100</f>
        <v/>
      </c>
      <c r="AO11" s="333">
        <f>$AE$6*AO$9/100</f>
        <v/>
      </c>
    </row>
    <row r="12" ht="18" customHeight="1" s="308" thickBot="1">
      <c r="B12" s="172" t="n">
        <v>8</v>
      </c>
      <c r="C12" s="331" t="n"/>
      <c r="D12" s="331" t="n"/>
      <c r="E12" s="171" t="inlineStr">
        <is>
          <t>경남</t>
        </is>
      </c>
      <c r="F12" s="171" t="inlineStr">
        <is>
          <t>극동셀프</t>
        </is>
      </c>
      <c r="G12" s="322" t="inlineStr">
        <is>
          <t>경남 창원시 마산회원구 삼호로 258</t>
        </is>
      </c>
      <c r="H12" s="323" t="n">
        <v>2082.4</v>
      </c>
      <c r="I12" s="324">
        <f>H12/3.3058</f>
        <v/>
      </c>
      <c r="J12" s="325" t="inlineStr">
        <is>
          <t>준주거</t>
        </is>
      </c>
      <c r="K12" s="325" t="inlineStr">
        <is>
          <t>-</t>
        </is>
      </c>
      <c r="L12" s="326" t="n">
        <v>263000000</v>
      </c>
      <c r="M12" s="327" t="n">
        <v>9304000</v>
      </c>
      <c r="N12" s="327" t="n">
        <v>9304000</v>
      </c>
      <c r="O12" s="327" t="n">
        <v>0</v>
      </c>
      <c r="P12" s="327" t="n">
        <v>0</v>
      </c>
      <c r="Q12" s="327" t="inlineStr">
        <is>
          <t>-</t>
        </is>
      </c>
      <c r="R12" s="328" t="n">
        <v>0</v>
      </c>
      <c r="S12" s="328" t="n">
        <v>2370548473.16582</v>
      </c>
      <c r="T12" s="328" t="n">
        <v>505000000</v>
      </c>
      <c r="U12" s="328" t="n">
        <v>2911719713.29553</v>
      </c>
      <c r="V12" s="328" t="n">
        <v>2243000000</v>
      </c>
      <c r="W12" s="328" t="n">
        <v>505000000</v>
      </c>
      <c r="X12" s="328" t="n">
        <v>2748000000</v>
      </c>
      <c r="Y12" s="328">
        <f>VLOOKUP(F12,'주유소별가격(담보)'!$C$4:$H$158,6,0)</f>
        <v/>
      </c>
      <c r="Z12" s="329" t="n">
        <v>0.385</v>
      </c>
      <c r="AA12" s="185">
        <f>U12-L12-Y12*Z12</f>
        <v/>
      </c>
      <c r="AB12" s="330" t="inlineStr">
        <is>
          <t>No.18</t>
        </is>
      </c>
      <c r="AD12" s="242" t="inlineStr">
        <is>
          <t>재투자 재원(합계)</t>
        </is>
      </c>
      <c r="AE12" s="334">
        <f>SUM(AE10:AE11)</f>
        <v/>
      </c>
      <c r="AF12" s="334">
        <f>SUM(AF10:AF11)</f>
        <v/>
      </c>
      <c r="AG12" s="334">
        <f>SUM(AG10:AG11)</f>
        <v/>
      </c>
      <c r="AH12" s="334">
        <f>SUM(AH10:AH11)</f>
        <v/>
      </c>
      <c r="AI12" s="334">
        <f>SUM(AI10:AI11)</f>
        <v/>
      </c>
      <c r="AJ12" s="334">
        <f>SUM(AJ10:AJ11)</f>
        <v/>
      </c>
      <c r="AK12" s="334">
        <f>SUM(AK10:AK11)</f>
        <v/>
      </c>
      <c r="AL12" s="334">
        <f>SUM(AL10:AL11)</f>
        <v/>
      </c>
      <c r="AM12" s="334">
        <f>SUM(AM10:AM11)</f>
        <v/>
      </c>
      <c r="AN12" s="334">
        <f>SUM(AN10:AN11)</f>
        <v/>
      </c>
      <c r="AO12" s="334">
        <f>SUM(AO10:AO11)</f>
        <v/>
      </c>
    </row>
    <row r="13" ht="18" customHeight="1" s="308" thickBot="1">
      <c r="B13" s="172" t="n">
        <v>9</v>
      </c>
      <c r="C13" s="331" t="n"/>
      <c r="D13" s="314" t="n"/>
      <c r="E13" s="171" t="inlineStr">
        <is>
          <t>충북</t>
        </is>
      </c>
      <c r="F13" s="171" t="inlineStr">
        <is>
          <t>조양</t>
        </is>
      </c>
      <c r="G13" s="322" t="inlineStr">
        <is>
          <t>충북 제천시 내토로 333</t>
        </is>
      </c>
      <c r="H13" s="323" t="n">
        <v>4886</v>
      </c>
      <c r="I13" s="324">
        <f>H13/3.3058</f>
        <v/>
      </c>
      <c r="J13" s="325" t="inlineStr">
        <is>
          <t>제2종일반</t>
        </is>
      </c>
      <c r="K13" s="325" t="inlineStr">
        <is>
          <t>-</t>
        </is>
      </c>
      <c r="L13" s="326" t="n">
        <v>359000000</v>
      </c>
      <c r="M13" s="327" t="n">
        <v>12011000</v>
      </c>
      <c r="N13" s="327" t="n">
        <v>12011000</v>
      </c>
      <c r="O13" s="327" t="n">
        <v>0</v>
      </c>
      <c r="P13" s="327" t="n">
        <v>0</v>
      </c>
      <c r="Q13" s="327" t="inlineStr">
        <is>
          <t>-</t>
        </is>
      </c>
      <c r="R13" s="328" t="n">
        <v>0</v>
      </c>
      <c r="S13" s="328" t="n">
        <v>3415413548.76207</v>
      </c>
      <c r="T13" s="328" t="n">
        <v>512000000</v>
      </c>
      <c r="U13" s="328" t="n">
        <v>3968485948.41544</v>
      </c>
      <c r="V13" s="328" t="n">
        <v>3232000000</v>
      </c>
      <c r="W13" s="328" t="n">
        <v>512000000</v>
      </c>
      <c r="X13" s="328" t="n">
        <v>3744000000</v>
      </c>
      <c r="Y13" s="328">
        <f>VLOOKUP(F13,'주유소별가격(담보)'!$C$4:$H$158,6,0)</f>
        <v/>
      </c>
      <c r="Z13" s="329" t="n">
        <v>0.385</v>
      </c>
      <c r="AA13" s="185">
        <f>U13-L13-Y13*Z13</f>
        <v/>
      </c>
      <c r="AB13" s="330" t="inlineStr">
        <is>
          <t>No.11</t>
        </is>
      </c>
      <c r="AD13" s="227" t="inlineStr">
        <is>
          <t>추가 담보대출</t>
        </is>
      </c>
      <c r="AE13" s="333">
        <f>MAX(AE15-SUM(AE10:AE11),)</f>
        <v/>
      </c>
      <c r="AF13" s="333">
        <f>MAX(AF15-SUM(AF10:AF11),)</f>
        <v/>
      </c>
      <c r="AG13" s="333">
        <f>MAX(AG15-SUM(AG10:AG11),)</f>
        <v/>
      </c>
      <c r="AH13" s="333">
        <f>MAX(AH15-SUM(AH10:AH11),)</f>
        <v/>
      </c>
      <c r="AI13" s="333">
        <f>MAX(AI15-SUM(AI10:AI11),)</f>
        <v/>
      </c>
      <c r="AJ13" s="333">
        <f>MAX(AJ15-SUM(AJ10:AJ11),)</f>
        <v/>
      </c>
      <c r="AK13" s="333">
        <f>MAX(AK15-SUM(AK10:AK11),)</f>
        <v/>
      </c>
      <c r="AL13" s="333">
        <f>MAX(AL15-SUM(AL10:AL11),)</f>
        <v/>
      </c>
      <c r="AM13" s="333">
        <f>MAX(AM15-SUM(AM10:AM11),)</f>
        <v/>
      </c>
      <c r="AN13" s="333">
        <f>MAX(AN15-SUM(AN10:AN11),)</f>
        <v/>
      </c>
      <c r="AO13" s="333">
        <f>MAX(AO15-SUM(AO10:AO11),)</f>
        <v/>
      </c>
    </row>
    <row r="14" ht="18" customHeight="1" s="308" thickBot="1">
      <c r="B14" s="172" t="n">
        <v>10</v>
      </c>
      <c r="C14" s="331" t="n"/>
      <c r="D14" s="321" t="n">
        <v>46170</v>
      </c>
      <c r="E14" s="171" t="inlineStr">
        <is>
          <t>강원</t>
        </is>
      </c>
      <c r="F14" s="171" t="inlineStr">
        <is>
          <t>춘천</t>
        </is>
      </c>
      <c r="G14" s="322" t="inlineStr">
        <is>
          <t>강원 춘천시 춘천로 412 (후평동)</t>
        </is>
      </c>
      <c r="H14" s="323" t="n">
        <v>1316</v>
      </c>
      <c r="I14" s="324">
        <f>IF(H14="","",H14/3.3058)</f>
        <v/>
      </c>
      <c r="J14" s="325" t="inlineStr">
        <is>
          <t>제2종일반</t>
        </is>
      </c>
      <c r="K14" s="325" t="inlineStr">
        <is>
          <t>-</t>
        </is>
      </c>
      <c r="L14" s="326" t="n">
        <v>146000000</v>
      </c>
      <c r="M14" s="327">
        <f>N14+O14+P14</f>
        <v/>
      </c>
      <c r="N14" s="327" t="n">
        <v>4906000</v>
      </c>
      <c r="O14" s="327" t="n">
        <v>0</v>
      </c>
      <c r="P14" s="327" t="n">
        <v>0</v>
      </c>
      <c r="Q14" s="327" t="inlineStr">
        <is>
          <t>-</t>
        </is>
      </c>
      <c r="R14" s="328" t="n">
        <v>0</v>
      </c>
      <c r="S14" s="328" t="n">
        <v>1256470303.46253</v>
      </c>
      <c r="T14" s="328" t="n">
        <v>333000000</v>
      </c>
      <c r="U14" s="328" t="n">
        <v>1614183241.27005</v>
      </c>
      <c r="V14" s="328" t="n">
        <v>1189000000</v>
      </c>
      <c r="W14" s="328" t="n">
        <v>333000000</v>
      </c>
      <c r="X14" s="328" t="n">
        <v>1522000000</v>
      </c>
      <c r="Y14" s="328">
        <f>VLOOKUP(F14,'주유소별가격(담보)'!$C$4:$H$158,6,0)</f>
        <v/>
      </c>
      <c r="Z14" s="329" t="n">
        <v>0.385</v>
      </c>
      <c r="AA14" s="185">
        <f>U14-L14-Y14*Z14</f>
        <v/>
      </c>
      <c r="AB14" s="332" t="inlineStr">
        <is>
          <t>미포함</t>
        </is>
      </c>
      <c r="AD14" s="227" t="inlineStr">
        <is>
          <t>확보재원</t>
        </is>
      </c>
      <c r="AE14" s="333">
        <f>SUM(AE12:AE13)</f>
        <v/>
      </c>
      <c r="AF14" s="333">
        <f>SUM(AF12:AF13)</f>
        <v/>
      </c>
      <c r="AG14" s="333">
        <f>SUM(AG12:AG13)</f>
        <v/>
      </c>
      <c r="AH14" s="333">
        <f>SUM(AH12:AH13)</f>
        <v/>
      </c>
      <c r="AI14" s="333">
        <f>SUM(AI12:AI13)</f>
        <v/>
      </c>
      <c r="AJ14" s="333">
        <f>SUM(AJ12:AJ13)</f>
        <v/>
      </c>
      <c r="AK14" s="333">
        <f>SUM(AK12:AK13)</f>
        <v/>
      </c>
      <c r="AL14" s="333">
        <f>SUM(AL12:AL13)</f>
        <v/>
      </c>
      <c r="AM14" s="333">
        <f>SUM(AM12:AM13)</f>
        <v/>
      </c>
      <c r="AN14" s="333">
        <f>SUM(AN12:AN13)</f>
        <v/>
      </c>
      <c r="AO14" s="333">
        <f>SUM(AO12:AO13)</f>
        <v/>
      </c>
    </row>
    <row r="15" ht="18" customHeight="1" s="308" thickBot="1">
      <c r="B15" s="172" t="n">
        <v>11</v>
      </c>
      <c r="C15" s="331" t="n"/>
      <c r="D15" s="331" t="n"/>
      <c r="E15" s="171" t="inlineStr">
        <is>
          <t>경기</t>
        </is>
      </c>
      <c r="F15" s="171" t="inlineStr">
        <is>
          <t>효행로셀프</t>
        </is>
      </c>
      <c r="G15" s="322" t="inlineStr">
        <is>
          <t>경기 화성시 효행로 767 (안녕동)</t>
        </is>
      </c>
      <c r="H15" s="323" t="n">
        <v>415</v>
      </c>
      <c r="I15" s="324">
        <f>IF(H15="","",H15/3.3058)</f>
        <v/>
      </c>
      <c r="J15" s="325" t="inlineStr">
        <is>
          <t>준주거</t>
        </is>
      </c>
      <c r="K15" s="325" t="inlineStr">
        <is>
          <t>-</t>
        </is>
      </c>
      <c r="L15" s="326" t="n">
        <v>92000000</v>
      </c>
      <c r="M15" s="327">
        <f>N15+O15+P15</f>
        <v/>
      </c>
      <c r="N15" s="327" t="n">
        <v>3299000</v>
      </c>
      <c r="O15" s="327" t="n">
        <v>0</v>
      </c>
      <c r="P15" s="327" t="n">
        <v>0</v>
      </c>
      <c r="Q15" s="327" t="inlineStr">
        <is>
          <t>-</t>
        </is>
      </c>
      <c r="R15" s="328" t="n">
        <v>0</v>
      </c>
      <c r="S15" s="328" t="n">
        <v>809396239.280567</v>
      </c>
      <c r="T15" s="328" t="n">
        <v>180000000</v>
      </c>
      <c r="U15" s="328" t="n">
        <v>1001910315.20155</v>
      </c>
      <c r="V15" s="328" t="n">
        <v>766000000</v>
      </c>
      <c r="W15" s="328" t="n">
        <v>180000000</v>
      </c>
      <c r="X15" s="328" t="n">
        <v>946000000</v>
      </c>
      <c r="Y15" s="328">
        <f>VLOOKUP(F15,'주유소별가격(담보)'!$C$4:$H$158,6,0)</f>
        <v/>
      </c>
      <c r="Z15" s="329" t="n">
        <v>0.495</v>
      </c>
      <c r="AA15" s="185">
        <f>U15-L15-Y15*Z15</f>
        <v/>
      </c>
      <c r="AB15" s="332" t="inlineStr">
        <is>
          <t>미포함</t>
        </is>
      </c>
      <c r="AD15" s="227" t="inlineStr">
        <is>
          <t>우선주 매입액</t>
        </is>
      </c>
      <c r="AE15" s="333">
        <f>SUMIF($AF$9:$AO$9,$AE$9,$AF15:$AO15)</f>
        <v/>
      </c>
      <c r="AF15" s="333">
        <f>74000/100</f>
        <v/>
      </c>
      <c r="AG15" s="333">
        <f>74000/100</f>
        <v/>
      </c>
      <c r="AH15" s="333">
        <f>74000/100</f>
        <v/>
      </c>
      <c r="AI15" s="333">
        <f>74000/100</f>
        <v/>
      </c>
      <c r="AJ15" s="333">
        <f>74000/100</f>
        <v/>
      </c>
      <c r="AK15" s="333">
        <f>74000/100</f>
        <v/>
      </c>
      <c r="AL15" s="333">
        <f>74000/100</f>
        <v/>
      </c>
      <c r="AM15" s="333">
        <f>74000/100</f>
        <v/>
      </c>
      <c r="AN15" s="333">
        <f>74000/100</f>
        <v/>
      </c>
      <c r="AO15" s="333">
        <f>74000/100</f>
        <v/>
      </c>
    </row>
    <row r="16" ht="18" customHeight="1" s="308" thickBot="1">
      <c r="B16" s="172" t="n">
        <v>12</v>
      </c>
      <c r="C16" s="331" t="n"/>
      <c r="D16" s="331" t="n"/>
      <c r="E16" s="171" t="inlineStr">
        <is>
          <t>경기</t>
        </is>
      </c>
      <c r="F16" s="171" t="inlineStr">
        <is>
          <t>민락셀프</t>
        </is>
      </c>
      <c r="G16" s="322" t="inlineStr">
        <is>
          <t>경기 의정부시 충의로 91 (용현동)</t>
        </is>
      </c>
      <c r="H16" s="323" t="n">
        <v>1413</v>
      </c>
      <c r="I16" s="324">
        <f>IF(H16="","",H16/3.3058)</f>
        <v/>
      </c>
      <c r="J16" s="325" t="inlineStr">
        <is>
          <t>제1종일반</t>
        </is>
      </c>
      <c r="K16" s="325" t="inlineStr">
        <is>
          <t>-</t>
        </is>
      </c>
      <c r="L16" s="326" t="n">
        <v>466000000</v>
      </c>
      <c r="M16" s="327">
        <f>N16+O16+P16</f>
        <v/>
      </c>
      <c r="N16" s="327" t="n">
        <v>16409000</v>
      </c>
      <c r="O16" s="327" t="n">
        <v>2927000</v>
      </c>
      <c r="P16" s="327" t="n">
        <v>0</v>
      </c>
      <c r="Q16" s="327" t="inlineStr">
        <is>
          <t>-</t>
        </is>
      </c>
      <c r="R16" s="328" t="n">
        <v>0</v>
      </c>
      <c r="S16" s="328" t="n">
        <v>4643791737.94623</v>
      </c>
      <c r="T16" s="328" t="n">
        <v>475000000</v>
      </c>
      <c r="U16" s="328" t="n">
        <v>5153633702.87741</v>
      </c>
      <c r="V16" s="328" t="n">
        <v>4394000000</v>
      </c>
      <c r="W16" s="328" t="n">
        <v>475000000</v>
      </c>
      <c r="X16" s="328" t="n">
        <v>4869000000</v>
      </c>
      <c r="Y16" s="328">
        <f>VLOOKUP(F16,'주유소별가격(담보)'!$C$4:$H$158,6,0)</f>
        <v/>
      </c>
      <c r="Z16" s="329" t="n">
        <v>0.495</v>
      </c>
      <c r="AA16" s="185">
        <f>U16-L16-Y16*Z16</f>
        <v/>
      </c>
      <c r="AB16" s="332" t="inlineStr">
        <is>
          <t>미포함</t>
        </is>
      </c>
      <c r="AD16" s="227" t="inlineStr">
        <is>
          <t>주유소 LTV</t>
        </is>
      </c>
      <c r="AE16" s="335">
        <f>SUMIF($AF$9:$AO$9,$AE$9,$AF16:$AO16)</f>
        <v/>
      </c>
      <c r="AF16" s="335">
        <f>(SUM($AG$21:$AG$23)+AF$13)/($AE$21-AF$17)</f>
        <v/>
      </c>
      <c r="AG16" s="335">
        <f>(SUM($AG$21:$AG$23)+AG$13)/($AE$21-AG$17)</f>
        <v/>
      </c>
      <c r="AH16" s="335">
        <f>(SUM($AG$21:$AG$23)+AH$13)/($AE$21-AH$17)</f>
        <v/>
      </c>
      <c r="AI16" s="335">
        <f>(SUM($AG$21:$AG$23)+AI$13)/($AE$21-AI$17)</f>
        <v/>
      </c>
      <c r="AJ16" s="335">
        <f>(SUM($AG$21:$AG$23)+AJ$13)/($AE$21-AJ$17)</f>
        <v/>
      </c>
      <c r="AK16" s="335">
        <f>(SUM($AG$21:$AG$23)+AK$13)/($AE$21-AK$17)</f>
        <v/>
      </c>
      <c r="AL16" s="335">
        <f>(SUM($AG$21:$AG$23)+AL$13)/($AE$21-AL$17)</f>
        <v/>
      </c>
      <c r="AM16" s="335">
        <f>(SUM($AG$21:$AG$23)+AM$13)/($AE$21-AM$17)</f>
        <v/>
      </c>
      <c r="AN16" s="335">
        <f>(SUM($AG$21:$AG$23)+AN$13)/($AE$21-AN$17)</f>
        <v/>
      </c>
      <c r="AO16" s="335">
        <f>(SUM($AG$21:$AG$23)+AO$13)/($AE$21-AO$17)</f>
        <v/>
      </c>
    </row>
    <row r="17" ht="18" customHeight="1" s="308" thickBot="1">
      <c r="B17" s="172" t="n">
        <v>13</v>
      </c>
      <c r="C17" s="331" t="n"/>
      <c r="D17" s="331" t="n"/>
      <c r="E17" s="171" t="inlineStr">
        <is>
          <t>경기</t>
        </is>
      </c>
      <c r="F17" s="171" t="inlineStr">
        <is>
          <t>성복현대</t>
        </is>
      </c>
      <c r="G17" s="322" t="inlineStr">
        <is>
          <t>경기 용인시 수지구 수지로 137 (성복동)</t>
        </is>
      </c>
      <c r="H17" s="323" t="n">
        <v>1084</v>
      </c>
      <c r="I17" s="324">
        <f>IF(H17="","",H17/3.3058)</f>
        <v/>
      </c>
      <c r="J17" s="325" t="inlineStr">
        <is>
          <t>제2종일반</t>
        </is>
      </c>
      <c r="K17" s="325" t="inlineStr">
        <is>
          <t>-</t>
        </is>
      </c>
      <c r="L17" s="326" t="n">
        <v>559000000</v>
      </c>
      <c r="M17" s="327">
        <f>N17+O17+P17</f>
        <v/>
      </c>
      <c r="N17" s="327" t="n">
        <v>19793000</v>
      </c>
      <c r="O17" s="327" t="n">
        <v>0</v>
      </c>
      <c r="P17" s="327" t="n">
        <v>0</v>
      </c>
      <c r="Q17" s="327" t="inlineStr">
        <is>
          <t>-</t>
        </is>
      </c>
      <c r="R17" s="328" t="n">
        <v>0</v>
      </c>
      <c r="S17" s="328" t="n">
        <v>5761251977.87833</v>
      </c>
      <c r="T17" s="328" t="n">
        <v>386000000</v>
      </c>
      <c r="U17" s="328" t="n">
        <v>6172927098.38396</v>
      </c>
      <c r="V17" s="328" t="n">
        <v>5451000000</v>
      </c>
      <c r="W17" s="328" t="n">
        <v>386000000</v>
      </c>
      <c r="X17" s="328" t="n">
        <v>5837000000</v>
      </c>
      <c r="Y17" s="328">
        <f>VLOOKUP(F17,'주유소별가격(담보)'!$C$4:$H$158,6,0)</f>
        <v/>
      </c>
      <c r="Z17" s="329" t="n">
        <v>0.495</v>
      </c>
      <c r="AA17" s="185">
        <f>U17-L17-Y17*Z17</f>
        <v/>
      </c>
      <c r="AB17" s="332" t="inlineStr">
        <is>
          <t>미포함</t>
        </is>
      </c>
      <c r="AD17" s="227" t="inlineStr">
        <is>
          <t>담보가 차감</t>
        </is>
      </c>
      <c r="AE17" s="333">
        <f>SUMIF($AF$9:$AO$9,$AE$9,$AF17:$AO17)</f>
        <v/>
      </c>
      <c r="AF17" s="333">
        <f>$AE$5*AF$9/100</f>
        <v/>
      </c>
      <c r="AG17" s="333">
        <f>$AE$5*AG$9/100</f>
        <v/>
      </c>
      <c r="AH17" s="333">
        <f>$AE$5*AH$9/100</f>
        <v/>
      </c>
      <c r="AI17" s="333">
        <f>$AE$5*AI$9/100</f>
        <v/>
      </c>
      <c r="AJ17" s="333">
        <f>$AE$5*AJ$9/100</f>
        <v/>
      </c>
      <c r="AK17" s="333">
        <f>$AE$5*AK$9/100</f>
        <v/>
      </c>
      <c r="AL17" s="333">
        <f>$AE$5*AL$9/100</f>
        <v/>
      </c>
      <c r="AM17" s="333">
        <f>$AE$5*AM$9/100</f>
        <v/>
      </c>
      <c r="AN17" s="333">
        <f>$AE$5*AN$9/100</f>
        <v/>
      </c>
      <c r="AO17" s="333">
        <f>$AE$5*AO$9/100</f>
        <v/>
      </c>
    </row>
    <row r="18" ht="18" customHeight="1" s="308">
      <c r="B18" s="172" t="n">
        <v>14</v>
      </c>
      <c r="C18" s="331" t="n"/>
      <c r="D18" s="331" t="n"/>
      <c r="E18" s="171" t="inlineStr">
        <is>
          <t>경기</t>
        </is>
      </c>
      <c r="F18" s="171" t="inlineStr">
        <is>
          <t>새광주셀프</t>
        </is>
      </c>
      <c r="G18" s="322" t="inlineStr">
        <is>
          <t>경기 광주시 경충대로 1515 (쌍령동)</t>
        </is>
      </c>
      <c r="H18" s="323" t="n">
        <v>1442</v>
      </c>
      <c r="I18" s="324">
        <f>IF(H18="","",H18/3.3058)</f>
        <v/>
      </c>
      <c r="J18" s="325" t="inlineStr">
        <is>
          <t>자연녹지</t>
        </is>
      </c>
      <c r="K18" s="325" t="inlineStr">
        <is>
          <t>-</t>
        </is>
      </c>
      <c r="L18" s="326" t="n">
        <v>285000000</v>
      </c>
      <c r="M18" s="327">
        <f>N18+O18+P18</f>
        <v/>
      </c>
      <c r="N18" s="327" t="n">
        <v>9558000</v>
      </c>
      <c r="O18" s="327" t="n">
        <v>0</v>
      </c>
      <c r="P18" s="327" t="n">
        <v>0</v>
      </c>
      <c r="Q18" s="327" t="inlineStr">
        <is>
          <t>-</t>
        </is>
      </c>
      <c r="R18" s="328" t="n">
        <v>0</v>
      </c>
      <c r="S18" s="328" t="n">
        <v>2387554300.77669</v>
      </c>
      <c r="T18" s="328" t="n">
        <v>718000000</v>
      </c>
      <c r="U18" s="328" t="n">
        <v>3147884283.82699</v>
      </c>
      <c r="V18" s="328" t="n">
        <v>2259000000</v>
      </c>
      <c r="W18" s="328" t="n">
        <v>718000000</v>
      </c>
      <c r="X18" s="328" t="n">
        <v>2977000000</v>
      </c>
      <c r="Y18" s="328">
        <f>VLOOKUP(F18,'주유소별가격(담보)'!$C$4:$H$158,6,0)</f>
        <v/>
      </c>
      <c r="Z18" s="329" t="n">
        <v>0.495</v>
      </c>
      <c r="AA18" s="185">
        <f>U18-L18-Y18*Z18</f>
        <v/>
      </c>
      <c r="AB18" s="330" t="inlineStr">
        <is>
          <t>No.8</t>
        </is>
      </c>
    </row>
    <row r="19" ht="18" customHeight="1" s="308">
      <c r="B19" s="172" t="n">
        <v>15</v>
      </c>
      <c r="C19" s="331" t="n"/>
      <c r="D19" s="331" t="n"/>
      <c r="E19" s="171" t="inlineStr">
        <is>
          <t>충북</t>
        </is>
      </c>
      <c r="F19" s="171" t="inlineStr">
        <is>
          <t>제천대로셀프</t>
        </is>
      </c>
      <c r="G19" s="322" t="inlineStr">
        <is>
          <t>충북 제천시 의림대로 226 (장전동)</t>
        </is>
      </c>
      <c r="H19" s="323" t="n">
        <v>1382.7</v>
      </c>
      <c r="I19" s="324">
        <f>IF(H19="","",H19/3.3058)</f>
        <v/>
      </c>
      <c r="J19" s="325" t="inlineStr">
        <is>
          <t>준주거</t>
        </is>
      </c>
      <c r="K19" s="325" t="inlineStr">
        <is>
          <t>-</t>
        </is>
      </c>
      <c r="L19" s="326" t="n">
        <v>189000000</v>
      </c>
      <c r="M19" s="327">
        <f>N19+O19+P19</f>
        <v/>
      </c>
      <c r="N19" s="327" t="n">
        <v>6682000</v>
      </c>
      <c r="O19" s="327" t="n">
        <v>0</v>
      </c>
      <c r="P19" s="327" t="n">
        <v>0</v>
      </c>
      <c r="Q19" s="327" t="inlineStr">
        <is>
          <t>-</t>
        </is>
      </c>
      <c r="R19" s="328" t="n">
        <v>0</v>
      </c>
      <c r="S19" s="328" t="n">
        <v>1688272723.16669</v>
      </c>
      <c r="T19" s="328" t="n">
        <v>378000000</v>
      </c>
      <c r="U19" s="328" t="n">
        <v>2093757344.89</v>
      </c>
      <c r="V19" s="328" t="n">
        <v>1597000000</v>
      </c>
      <c r="W19" s="328" t="n">
        <v>378000000</v>
      </c>
      <c r="X19" s="328" t="n">
        <v>1975000000</v>
      </c>
      <c r="Y19" s="328">
        <f>VLOOKUP(F19,'주유소별가격(담보)'!$C$4:$H$158,6,0)</f>
        <v/>
      </c>
      <c r="Z19" s="329" t="n">
        <v>0.385</v>
      </c>
      <c r="AA19" s="185">
        <f>U19-L19-Y19*Z19</f>
        <v/>
      </c>
      <c r="AB19" s="330" t="inlineStr">
        <is>
          <t>No.10</t>
        </is>
      </c>
    </row>
    <row r="20" ht="18" customHeight="1" s="308">
      <c r="B20" s="172" t="n">
        <v>16</v>
      </c>
      <c r="C20" s="331" t="n"/>
      <c r="D20" s="331" t="n"/>
      <c r="E20" s="171" t="inlineStr">
        <is>
          <t>경기</t>
        </is>
      </c>
      <c r="F20" s="171" t="inlineStr">
        <is>
          <t>둔전셀프</t>
        </is>
      </c>
      <c r="G20" s="322" t="inlineStr">
        <is>
          <t>경기 용인시 처인구 포곡읍 포곡로 177</t>
        </is>
      </c>
      <c r="H20" s="323" t="n">
        <v>1304</v>
      </c>
      <c r="I20" s="324">
        <f>IF(H20="","",H20/3.3058)</f>
        <v/>
      </c>
      <c r="J20" s="325" t="inlineStr">
        <is>
          <t>제2종일반</t>
        </is>
      </c>
      <c r="K20" s="325" t="inlineStr">
        <is>
          <t>-</t>
        </is>
      </c>
      <c r="L20" s="326" t="n">
        <v>251000000</v>
      </c>
      <c r="M20" s="327">
        <f>N20+O20+P20</f>
        <v/>
      </c>
      <c r="N20" s="327" t="n">
        <v>8881000</v>
      </c>
      <c r="O20" s="327" t="n">
        <v>0</v>
      </c>
      <c r="P20" s="327" t="n">
        <v>0</v>
      </c>
      <c r="Q20" s="327" t="inlineStr">
        <is>
          <t>-</t>
        </is>
      </c>
      <c r="R20" s="328" t="n">
        <v>0</v>
      </c>
      <c r="S20" s="328" t="n">
        <v>2167580193.37572</v>
      </c>
      <c r="T20" s="328" t="n">
        <v>566000000</v>
      </c>
      <c r="U20" s="328" t="n">
        <v>2770592639.42167</v>
      </c>
      <c r="V20" s="328" t="n">
        <v>2051000000</v>
      </c>
      <c r="W20" s="328" t="n">
        <v>566000000</v>
      </c>
      <c r="X20" s="328" t="n">
        <v>2617000000</v>
      </c>
      <c r="Y20" s="328">
        <f>VLOOKUP(F20,'주유소별가격(담보)'!$C$4:$H$158,6,0)</f>
        <v/>
      </c>
      <c r="Z20" s="329" t="n">
        <v>0.495</v>
      </c>
      <c r="AA20" s="185">
        <f>U20-L20-Y20*Z20</f>
        <v/>
      </c>
      <c r="AB20" s="330" t="inlineStr">
        <is>
          <t>No.5</t>
        </is>
      </c>
      <c r="AD20" s="232" t="inlineStr">
        <is>
          <t>주유소 자산(리파이낸싱)</t>
        </is>
      </c>
      <c r="AE20" s="233" t="n"/>
      <c r="AF20" s="233" t="n"/>
      <c r="AG20" s="233" t="n"/>
    </row>
    <row r="21" ht="18" customHeight="1" s="308">
      <c r="B21" s="172" t="n">
        <v>17</v>
      </c>
      <c r="C21" s="331" t="n"/>
      <c r="D21" s="331" t="n"/>
      <c r="E21" s="171" t="inlineStr">
        <is>
          <t>인천</t>
        </is>
      </c>
      <c r="F21" s="171" t="inlineStr">
        <is>
          <t>부평공단셀프</t>
        </is>
      </c>
      <c r="G21" s="322" t="inlineStr">
        <is>
          <t>인천 부평구 부평대로 262 (갈산동)</t>
        </is>
      </c>
      <c r="H21" s="323" t="n">
        <v>1826.9</v>
      </c>
      <c r="I21" s="324">
        <f>IF(H21="","",H21/3.3058)</f>
        <v/>
      </c>
      <c r="J21" s="325" t="inlineStr">
        <is>
          <t>준주거</t>
        </is>
      </c>
      <c r="K21" s="325" t="inlineStr">
        <is>
          <t>해당</t>
        </is>
      </c>
      <c r="L21" s="326" t="n">
        <v>608000000</v>
      </c>
      <c r="M21" s="327">
        <f>N21+O21+P21</f>
        <v/>
      </c>
      <c r="N21" s="327" t="n">
        <v>20385000</v>
      </c>
      <c r="O21" s="327" t="n">
        <v>2901000</v>
      </c>
      <c r="P21" s="327" t="n">
        <v>0</v>
      </c>
      <c r="Q21" s="327" t="inlineStr">
        <is>
          <t>-</t>
        </is>
      </c>
      <c r="R21" s="328" t="n">
        <v>0</v>
      </c>
      <c r="S21" s="328" t="n">
        <v>6289397496.95601</v>
      </c>
      <c r="T21" s="328" t="n">
        <v>392000000</v>
      </c>
      <c r="U21" s="328" t="n">
        <v>6710263139.95353</v>
      </c>
      <c r="V21" s="328" t="n">
        <v>5951000000</v>
      </c>
      <c r="W21" s="328" t="n">
        <v>392000000</v>
      </c>
      <c r="X21" s="328" t="n">
        <v>6343000000</v>
      </c>
      <c r="Y21" s="328">
        <f>VLOOKUP(F21,'주유소별가격(담보)'!$C$4:$H$158,6,0)</f>
        <v/>
      </c>
      <c r="Z21" s="329" t="n">
        <v>0.495</v>
      </c>
      <c r="AA21" s="185">
        <f>U21-L21-Y21*Z21</f>
        <v/>
      </c>
      <c r="AB21" s="330" t="inlineStr">
        <is>
          <t>No.3</t>
        </is>
      </c>
      <c r="AD21" s="231" t="inlineStr">
        <is>
          <t>담보가</t>
        </is>
      </c>
      <c r="AE21" s="336">
        <f>1012489803.48/100000</f>
        <v/>
      </c>
      <c r="AF21" s="239" t="inlineStr">
        <is>
          <t>선순위</t>
        </is>
      </c>
      <c r="AG21" s="336">
        <f>458883427.36395/100000</f>
        <v/>
      </c>
    </row>
    <row r="22" ht="18" customHeight="1" s="308">
      <c r="B22" s="172" t="n">
        <v>18</v>
      </c>
      <c r="C22" s="331" t="n"/>
      <c r="D22" s="331" t="n"/>
      <c r="E22" s="171" t="inlineStr">
        <is>
          <t>대구</t>
        </is>
      </c>
      <c r="F22" s="171" t="inlineStr">
        <is>
          <t>경대셀프</t>
        </is>
      </c>
      <c r="G22" s="322" t="inlineStr">
        <is>
          <t>대구 북구 중앙대로 601 (침산동)</t>
        </is>
      </c>
      <c r="H22" s="323" t="n">
        <v>1460</v>
      </c>
      <c r="I22" s="324">
        <f>IF(H22="","",H22/3.3058)</f>
        <v/>
      </c>
      <c r="J22" s="325" t="inlineStr">
        <is>
          <t>근린상업</t>
        </is>
      </c>
      <c r="K22" s="325" t="inlineStr">
        <is>
          <t>해당</t>
        </is>
      </c>
      <c r="L22" s="326" t="n">
        <v>545000000</v>
      </c>
      <c r="M22" s="327">
        <f>N22+O22+P22</f>
        <v/>
      </c>
      <c r="N22" s="327" t="n">
        <v>18270000</v>
      </c>
      <c r="O22" s="327" t="n">
        <v>2764000</v>
      </c>
      <c r="P22" s="327" t="n">
        <v>0</v>
      </c>
      <c r="Q22" s="327" t="inlineStr">
        <is>
          <t>-</t>
        </is>
      </c>
      <c r="R22" s="328" t="n">
        <v>0</v>
      </c>
      <c r="S22" s="328" t="n">
        <v>5414297841.76731</v>
      </c>
      <c r="T22" s="328" t="n">
        <v>568000000</v>
      </c>
      <c r="U22" s="328" t="n">
        <v>6029025001.03903</v>
      </c>
      <c r="V22" s="328" t="n">
        <v>5123000000</v>
      </c>
      <c r="W22" s="328" t="n">
        <v>568000000</v>
      </c>
      <c r="X22" s="328" t="n">
        <v>5691000000</v>
      </c>
      <c r="Y22" s="328">
        <f>VLOOKUP(F22,'주유소별가격(담보)'!$C$4:$H$158,6,0)</f>
        <v/>
      </c>
      <c r="Z22" s="329" t="n">
        <v>0.44</v>
      </c>
      <c r="AA22" s="185">
        <f>U22-L22-Y22*Z22</f>
        <v/>
      </c>
      <c r="AB22" s="330" t="inlineStr">
        <is>
          <t>No.14</t>
        </is>
      </c>
      <c r="AD22" s="234" t="inlineStr">
        <is>
          <t>매각자산차감</t>
        </is>
      </c>
      <c r="AE22" s="337">
        <f>-AE17</f>
        <v/>
      </c>
      <c r="AF22" s="240" t="inlineStr">
        <is>
          <t>후순위</t>
        </is>
      </c>
      <c r="AG22" s="337" t="n">
        <v>200</v>
      </c>
    </row>
    <row r="23" ht="18" customHeight="1" s="308">
      <c r="B23" s="172" t="n">
        <v>19</v>
      </c>
      <c r="C23" s="331" t="n"/>
      <c r="D23" s="331" t="n"/>
      <c r="E23" s="171" t="inlineStr">
        <is>
          <t>충북</t>
        </is>
      </c>
      <c r="F23" s="171" t="inlineStr">
        <is>
          <t>교대셀프</t>
        </is>
      </c>
      <c r="G23" s="322" t="inlineStr">
        <is>
          <t>충북 청주시 서원구 청남로2005번길 2 (분평동)</t>
        </is>
      </c>
      <c r="H23" s="323" t="n">
        <v>3164</v>
      </c>
      <c r="I23" s="324">
        <f>IF(H23="","",H23/3.3058)</f>
        <v/>
      </c>
      <c r="J23" s="325" t="inlineStr">
        <is>
          <t>제2종일반</t>
        </is>
      </c>
      <c r="K23" s="325" t="inlineStr">
        <is>
          <t>-</t>
        </is>
      </c>
      <c r="L23" s="326" t="n">
        <v>602000000</v>
      </c>
      <c r="M23" s="327">
        <f>N23+O23+P23</f>
        <v/>
      </c>
      <c r="N23" s="327" t="n">
        <v>20215000</v>
      </c>
      <c r="O23" s="327" t="n">
        <v>1996000</v>
      </c>
      <c r="P23" s="327" t="n">
        <v>0</v>
      </c>
      <c r="Q23" s="327" t="inlineStr">
        <is>
          <t>-</t>
        </is>
      </c>
      <c r="R23" s="328" t="n">
        <v>0</v>
      </c>
      <c r="S23" s="328" t="n">
        <v>6313858751.36605</v>
      </c>
      <c r="T23" s="328" t="n">
        <v>308000000</v>
      </c>
      <c r="U23" s="328" t="n">
        <v>6645174178.88702</v>
      </c>
      <c r="V23" s="328" t="n">
        <v>5974000000</v>
      </c>
      <c r="W23" s="328" t="n">
        <v>308000000</v>
      </c>
      <c r="X23" s="328" t="n">
        <v>6282000000</v>
      </c>
      <c r="Y23" s="328">
        <f>VLOOKUP(F23,'주유소별가격(담보)'!$C$4:$H$158,6,0)</f>
        <v/>
      </c>
      <c r="Z23" s="329" t="n">
        <v>0.385</v>
      </c>
      <c r="AA23" s="185">
        <f>U23-L23-Y23*Z23</f>
        <v/>
      </c>
      <c r="AB23" s="330" t="inlineStr">
        <is>
          <t>No.12</t>
        </is>
      </c>
      <c r="AD23" s="234" t="n"/>
      <c r="AE23" s="235" t="n"/>
      <c r="AF23" s="240" t="inlineStr">
        <is>
          <t>주식담보대출</t>
        </is>
      </c>
      <c r="AG23" s="337" t="n">
        <v>900</v>
      </c>
      <c r="AH23" s="338">
        <f>SUM(AG21:AG23)/SUM(AE21:AE22)</f>
        <v/>
      </c>
    </row>
    <row r="24" ht="18" customHeight="1" s="308">
      <c r="B24" s="172" t="n">
        <v>20</v>
      </c>
      <c r="C24" s="331" t="n"/>
      <c r="D24" s="331" t="n"/>
      <c r="E24" s="171" t="inlineStr">
        <is>
          <t>대구</t>
        </is>
      </c>
      <c r="F24" s="171" t="inlineStr">
        <is>
          <t>남대구IC셀프</t>
        </is>
      </c>
      <c r="G24" s="322" t="inlineStr">
        <is>
          <t>대구 달서구 성서공단로 372 (월성동)</t>
        </is>
      </c>
      <c r="H24" s="323" t="n">
        <v>2216</v>
      </c>
      <c r="I24" s="324">
        <f>IF(H24="","",H24/3.3058)</f>
        <v/>
      </c>
      <c r="J24" s="325" t="inlineStr">
        <is>
          <t>일반공업</t>
        </is>
      </c>
      <c r="K24" s="325" t="inlineStr">
        <is>
          <t>-</t>
        </is>
      </c>
      <c r="L24" s="326" t="n">
        <v>352000000</v>
      </c>
      <c r="M24" s="327">
        <f>N24+O24+P24</f>
        <v/>
      </c>
      <c r="N24" s="327" t="n">
        <v>12434000</v>
      </c>
      <c r="O24" s="327" t="n">
        <v>0</v>
      </c>
      <c r="P24" s="327" t="n">
        <v>0</v>
      </c>
      <c r="Q24" s="327" t="inlineStr">
        <is>
          <t>-</t>
        </is>
      </c>
      <c r="R24" s="328" t="n">
        <v>0</v>
      </c>
      <c r="S24" s="328" t="n">
        <v>3539558660.84168</v>
      </c>
      <c r="T24" s="328" t="n">
        <v>326000000</v>
      </c>
      <c r="U24" s="328" t="n">
        <v>3891695862.1</v>
      </c>
      <c r="V24" s="328" t="n">
        <v>3349000000</v>
      </c>
      <c r="W24" s="328" t="n">
        <v>326000000</v>
      </c>
      <c r="X24" s="328" t="n">
        <v>3675000000</v>
      </c>
      <c r="Y24" s="328">
        <f>VLOOKUP(F24,'주유소별가격(담보)'!$C$4:$H$158,6,0)</f>
        <v/>
      </c>
      <c r="Z24" s="329" t="n">
        <v>0.44</v>
      </c>
      <c r="AA24" s="185">
        <f>U24-L24-Y24*Z24</f>
        <v/>
      </c>
      <c r="AB24" s="330" t="inlineStr">
        <is>
          <t>No.13</t>
        </is>
      </c>
      <c r="AD24" s="234" t="n"/>
      <c r="AE24" s="234" t="n"/>
      <c r="AF24" s="240" t="inlineStr">
        <is>
          <t>추가대출</t>
        </is>
      </c>
      <c r="AG24" s="337">
        <f>AE13</f>
        <v/>
      </c>
      <c r="AH24" s="338">
        <f>SUM(AG21:AG24)/SUM(AE21:AE23)</f>
        <v/>
      </c>
      <c r="AI24" s="155">
        <f>AH24=AE16</f>
        <v/>
      </c>
    </row>
    <row r="25" ht="18" customHeight="1" s="308">
      <c r="B25" s="172" t="n">
        <v>21</v>
      </c>
      <c r="C25" s="331" t="n"/>
      <c r="D25" s="331" t="n"/>
      <c r="E25" s="171" t="inlineStr">
        <is>
          <t>경북</t>
        </is>
      </c>
      <c r="F25" s="171" t="inlineStr">
        <is>
          <t>새화랑</t>
        </is>
      </c>
      <c r="G25" s="322" t="inlineStr">
        <is>
          <t>경북 경주시 초당길 103 (동천동)</t>
        </is>
      </c>
      <c r="H25" s="323" t="n">
        <v>2390.6</v>
      </c>
      <c r="I25" s="324">
        <f>IF(H25="","",H25/3.3058)</f>
        <v/>
      </c>
      <c r="J25" s="325" t="inlineStr">
        <is>
          <t>제2종일반</t>
        </is>
      </c>
      <c r="K25" s="325" t="inlineStr">
        <is>
          <t>-</t>
        </is>
      </c>
      <c r="L25" s="326" t="n">
        <v>274000000</v>
      </c>
      <c r="M25" s="327">
        <f>N25+O25+P25</f>
        <v/>
      </c>
      <c r="N25" s="327" t="n">
        <v>9727000</v>
      </c>
      <c r="O25" s="327" t="n">
        <v>2977000</v>
      </c>
      <c r="P25" s="327" t="n">
        <v>0</v>
      </c>
      <c r="Q25" s="327" t="inlineStr">
        <is>
          <t>-</t>
        </is>
      </c>
      <c r="R25" s="328" t="n">
        <v>0</v>
      </c>
      <c r="S25" s="328" t="n">
        <v>2743341846.15524</v>
      </c>
      <c r="T25" s="328" t="n">
        <v>264000000</v>
      </c>
      <c r="U25" s="328" t="n">
        <v>3028218401.86032</v>
      </c>
      <c r="V25" s="328" t="n">
        <v>2596000000</v>
      </c>
      <c r="W25" s="328" t="n">
        <v>264000000</v>
      </c>
      <c r="X25" s="328" t="n">
        <v>2860000000</v>
      </c>
      <c r="Y25" s="328">
        <f>VLOOKUP(F25,'주유소별가격(담보)'!$C$4:$H$158,6,0)</f>
        <v/>
      </c>
      <c r="Z25" s="329" t="n">
        <v>0.385</v>
      </c>
      <c r="AA25" s="185">
        <f>U25-L25-Y25*Z25</f>
        <v/>
      </c>
      <c r="AB25" s="330" t="inlineStr">
        <is>
          <t>No.15</t>
        </is>
      </c>
      <c r="AF25" s="240" t="inlineStr">
        <is>
          <t>보증금</t>
        </is>
      </c>
      <c r="AG25" s="337">
        <f>85088196.6126504/100000</f>
        <v/>
      </c>
    </row>
    <row r="26" ht="18" customHeight="1" s="308">
      <c r="B26" s="172" t="n">
        <v>22</v>
      </c>
      <c r="C26" s="331" t="n"/>
      <c r="D26" s="331" t="n"/>
      <c r="E26" s="171" t="inlineStr">
        <is>
          <t>대전</t>
        </is>
      </c>
      <c r="F26" s="171" t="inlineStr">
        <is>
          <t>노은</t>
        </is>
      </c>
      <c r="G26" s="322" t="inlineStr">
        <is>
          <t>대전 유성구 노은동로 79 (노은동)</t>
        </is>
      </c>
      <c r="H26" s="323" t="n">
        <v>1322.9</v>
      </c>
      <c r="I26" s="324">
        <f>IF(H26="","",H26/3.3058)</f>
        <v/>
      </c>
      <c r="J26" s="325" t="inlineStr">
        <is>
          <t>준주거</t>
        </is>
      </c>
      <c r="K26" s="325" t="inlineStr">
        <is>
          <t>해당</t>
        </is>
      </c>
      <c r="L26" s="326" t="n">
        <v>321000000</v>
      </c>
      <c r="M26" s="327">
        <f>N26+O26+P26</f>
        <v/>
      </c>
      <c r="N26" s="327" t="n">
        <v>11334000</v>
      </c>
      <c r="O26" s="327" t="n">
        <v>3612000</v>
      </c>
      <c r="P26" s="327" t="n">
        <v>0</v>
      </c>
      <c r="Q26" s="327" t="inlineStr">
        <is>
          <t>-</t>
        </is>
      </c>
      <c r="R26" s="328" t="n">
        <v>0</v>
      </c>
      <c r="S26" s="328" t="n">
        <v>3230514190.31926</v>
      </c>
      <c r="T26" s="328" t="n">
        <v>294000000</v>
      </c>
      <c r="U26" s="328" t="n">
        <v>3547118946.42</v>
      </c>
      <c r="V26" s="328" t="n">
        <v>3057000000</v>
      </c>
      <c r="W26" s="328" t="n">
        <v>294000000</v>
      </c>
      <c r="X26" s="328" t="n">
        <v>3351000000</v>
      </c>
      <c r="Y26" s="328">
        <f>VLOOKUP(F26,'주유소별가격(담보)'!$C$4:$H$158,6,0)</f>
        <v/>
      </c>
      <c r="Z26" s="329" t="n">
        <v>0.44</v>
      </c>
      <c r="AA26" s="185">
        <f>U26-L26-Y26*Z26</f>
        <v/>
      </c>
      <c r="AB26" s="330" t="inlineStr">
        <is>
          <t>No.9</t>
        </is>
      </c>
    </row>
    <row r="27" ht="18" customHeight="1" s="308">
      <c r="B27" s="172" t="n">
        <v>23</v>
      </c>
      <c r="C27" s="331" t="n"/>
      <c r="D27" s="331" t="n"/>
      <c r="E27" s="171" t="inlineStr">
        <is>
          <t>경남</t>
        </is>
      </c>
      <c r="F27" s="171" t="inlineStr">
        <is>
          <t>밀양현대</t>
        </is>
      </c>
      <c r="G27" s="322" t="inlineStr">
        <is>
          <t>경남 밀양시 밀양대로 1811 (삼문동)</t>
        </is>
      </c>
      <c r="H27" s="323" t="n">
        <v>1497</v>
      </c>
      <c r="I27" s="324">
        <f>IF(H27="","",H27/3.3058)</f>
        <v/>
      </c>
      <c r="J27" s="325" t="inlineStr">
        <is>
          <t>제2종일반</t>
        </is>
      </c>
      <c r="K27" s="325" t="inlineStr">
        <is>
          <t>-</t>
        </is>
      </c>
      <c r="L27" s="326" t="n">
        <v>194000000</v>
      </c>
      <c r="M27" s="327">
        <f>N27+O27+P27</f>
        <v/>
      </c>
      <c r="N27" s="327" t="n">
        <v>6513000</v>
      </c>
      <c r="O27" s="327" t="n">
        <v>1480000</v>
      </c>
      <c r="P27" s="327" t="n">
        <v>0</v>
      </c>
      <c r="Q27" s="327" t="inlineStr">
        <is>
          <t>-</t>
        </is>
      </c>
      <c r="R27" s="328" t="n">
        <v>0</v>
      </c>
      <c r="S27" s="328" t="n">
        <v>1820961142.94155</v>
      </c>
      <c r="T27" s="328" t="n">
        <v>307000000</v>
      </c>
      <c r="U27" s="328" t="n">
        <v>2150652757.95</v>
      </c>
      <c r="V27" s="328" t="n">
        <v>1723000000</v>
      </c>
      <c r="W27" s="328" t="n">
        <v>307000000</v>
      </c>
      <c r="X27" s="328" t="n">
        <v>2030000000</v>
      </c>
      <c r="Y27" s="328">
        <f>VLOOKUP(F27,'주유소별가격(담보)'!$C$4:$H$158,6,0)</f>
        <v/>
      </c>
      <c r="Z27" s="329" t="n">
        <v>0.385</v>
      </c>
      <c r="AA27" s="185">
        <f>U27-L27-Y27*Z27</f>
        <v/>
      </c>
      <c r="AB27" s="330" t="inlineStr">
        <is>
          <t>No.19</t>
        </is>
      </c>
    </row>
    <row r="28" ht="18" customHeight="1" s="308">
      <c r="B28" s="172" t="n">
        <v>24</v>
      </c>
      <c r="C28" s="314" t="n"/>
      <c r="D28" s="314" t="n"/>
      <c r="E28" s="171" t="inlineStr">
        <is>
          <t>경북</t>
        </is>
      </c>
      <c r="F28" s="171" t="inlineStr">
        <is>
          <t>열린</t>
        </is>
      </c>
      <c r="G28" s="322" t="inlineStr">
        <is>
          <t>경북 포항시 남구 연일읍 연일로 168</t>
        </is>
      </c>
      <c r="H28" s="323" t="n">
        <v>2141</v>
      </c>
      <c r="I28" s="324">
        <f>IF(H28="","",H28/3.3058)</f>
        <v/>
      </c>
      <c r="J28" s="325" t="inlineStr">
        <is>
          <t>준주거</t>
        </is>
      </c>
      <c r="K28" s="325" t="inlineStr">
        <is>
          <t>-</t>
        </is>
      </c>
      <c r="L28" s="326" t="n">
        <v>190000000</v>
      </c>
      <c r="M28" s="327">
        <f>N28+O28+P28</f>
        <v/>
      </c>
      <c r="N28" s="327" t="n">
        <v>6344000</v>
      </c>
      <c r="O28" s="327" t="n">
        <v>0</v>
      </c>
      <c r="P28" s="327" t="n">
        <v>0</v>
      </c>
      <c r="Q28" s="327" t="inlineStr">
        <is>
          <t>-</t>
        </is>
      </c>
      <c r="R28" s="328" t="n">
        <v>0</v>
      </c>
      <c r="S28" s="328" t="n">
        <v>1948977642.14246</v>
      </c>
      <c r="T28" s="328" t="n">
        <v>138000000</v>
      </c>
      <c r="U28" s="328" t="n">
        <v>2098435590.66</v>
      </c>
      <c r="V28" s="328" t="n">
        <v>1844000000</v>
      </c>
      <c r="W28" s="328" t="n">
        <v>138000000</v>
      </c>
      <c r="X28" s="328" t="n">
        <v>1982000000</v>
      </c>
      <c r="Y28" s="328">
        <f>VLOOKUP(F28,'주유소별가격(담보)'!$C$4:$H$158,6,0)</f>
        <v/>
      </c>
      <c r="Z28" s="329" t="n">
        <v>0.385</v>
      </c>
      <c r="AA28" s="185">
        <f>U28-L28-Y28*Z28</f>
        <v/>
      </c>
      <c r="AB28" s="330" t="inlineStr">
        <is>
          <t>No.16</t>
        </is>
      </c>
    </row>
    <row r="29">
      <c r="B29" s="339" t="inlineStr">
        <is>
          <t>신규 소계</t>
        </is>
      </c>
      <c r="C29" s="340" t="n"/>
      <c r="D29" s="340" t="n"/>
      <c r="E29" s="340" t="n"/>
      <c r="F29" s="341" t="n"/>
      <c r="G29" s="342" t="n"/>
      <c r="H29" s="342">
        <f>SUM(H5:H28)</f>
        <v/>
      </c>
      <c r="I29" s="343">
        <f>SUM(I5:I28)</f>
        <v/>
      </c>
      <c r="J29" s="344" t="n"/>
      <c r="K29" s="344" t="n"/>
      <c r="L29" s="345">
        <f>SUM(L5:L28)</f>
        <v/>
      </c>
      <c r="M29" s="346">
        <f>SUM(M5:M28)</f>
        <v/>
      </c>
      <c r="N29" s="174">
        <f>SUM(N5:N28)</f>
        <v/>
      </c>
      <c r="O29" s="174">
        <f>SUM(O5:O28)</f>
        <v/>
      </c>
      <c r="P29" s="174">
        <f>SUM(P5:P28)</f>
        <v/>
      </c>
      <c r="Q29" s="173" t="n"/>
      <c r="R29" s="173" t="n"/>
      <c r="S29" s="347">
        <f>SUM(S5:S28)</f>
        <v/>
      </c>
      <c r="T29" s="347">
        <f>SUM(T5:T28)</f>
        <v/>
      </c>
      <c r="U29" s="347">
        <f>SUM(U5:U28)</f>
        <v/>
      </c>
      <c r="V29" s="347">
        <f>SUM(V5:V28)</f>
        <v/>
      </c>
      <c r="W29" s="347">
        <f>SUM(W5:W28)</f>
        <v/>
      </c>
      <c r="X29" s="347">
        <f>SUM(X5:X28)</f>
        <v/>
      </c>
      <c r="Y29" s="347">
        <f>SUM(Y5:Y28)</f>
        <v/>
      </c>
      <c r="Z29" s="348" t="n"/>
      <c r="AA29" s="186">
        <f>SUM(AA5:AA28)</f>
        <v/>
      </c>
      <c r="AB29" s="349">
        <f>COUNTIF(AB5:AB28,"No.*")</f>
        <v/>
      </c>
    </row>
    <row r="30">
      <c r="B30" s="172" t="n">
        <v>1</v>
      </c>
      <c r="C30" s="172" t="inlineStr">
        <is>
          <t>미매각</t>
        </is>
      </c>
      <c r="D30" s="309" t="n"/>
      <c r="E30" s="171" t="inlineStr">
        <is>
          <t>경기</t>
        </is>
      </c>
      <c r="F30" s="171" t="inlineStr">
        <is>
          <t>마평현대셀프</t>
        </is>
      </c>
      <c r="G30" s="322" t="inlineStr">
        <is>
          <t>경기도 용인시 처인구 중부대로 1560</t>
        </is>
      </c>
      <c r="H30" s="323" t="n">
        <v>1314</v>
      </c>
      <c r="I30" s="324">
        <f>H30/3.3058</f>
        <v/>
      </c>
      <c r="J30" s="350" t="inlineStr">
        <is>
          <t>자연녹지</t>
        </is>
      </c>
      <c r="K30" s="325" t="inlineStr">
        <is>
          <t>-</t>
        </is>
      </c>
      <c r="L30" s="326" t="n">
        <v>254000000</v>
      </c>
      <c r="M30" s="327" t="n">
        <v>8413000</v>
      </c>
      <c r="N30" s="327" t="n">
        <v>8413000</v>
      </c>
      <c r="O30" s="327" t="inlineStr">
        <is>
          <t>-</t>
        </is>
      </c>
      <c r="P30" s="327" t="inlineStr">
        <is>
          <t>-</t>
        </is>
      </c>
      <c r="Q30" s="327" t="inlineStr">
        <is>
          <t>-</t>
        </is>
      </c>
      <c r="R30" s="328" t="n">
        <v>0</v>
      </c>
      <c r="S30" s="328" t="n">
        <v>2484995379.51873</v>
      </c>
      <c r="T30" s="328" t="n">
        <v>306000000</v>
      </c>
      <c r="U30" s="328" t="n">
        <v>2810204405.41045</v>
      </c>
      <c r="V30" s="328" t="n">
        <v>2351000000</v>
      </c>
      <c r="W30" s="328" t="n">
        <v>306000000</v>
      </c>
      <c r="X30" s="328" t="n">
        <v>2657000000</v>
      </c>
      <c r="Y30" s="328">
        <f>VLOOKUP(F30,'주유소별가격(담보)'!$C$4:$H$158,6,0)</f>
        <v/>
      </c>
      <c r="Z30" s="329" t="n">
        <v>0.495</v>
      </c>
      <c r="AA30" s="185">
        <f>U30-L30-Y30*Z30</f>
        <v/>
      </c>
      <c r="AB30" s="332" t="inlineStr">
        <is>
          <t>미포함</t>
        </is>
      </c>
    </row>
    <row r="31">
      <c r="B31" s="172" t="n">
        <v>2</v>
      </c>
      <c r="C31" s="351" t="n"/>
      <c r="D31" s="352" t="n"/>
      <c r="E31" s="171" t="inlineStr">
        <is>
          <t>인천</t>
        </is>
      </c>
      <c r="F31" s="171" t="inlineStr">
        <is>
          <t>서인천셀프</t>
        </is>
      </c>
      <c r="G31" s="322" t="inlineStr">
        <is>
          <t>인천광역시 서구 서곶로 346</t>
        </is>
      </c>
      <c r="H31" s="323" t="n">
        <v>1660</v>
      </c>
      <c r="I31" s="324">
        <f>H31/3.3058</f>
        <v/>
      </c>
      <c r="J31" s="350" t="inlineStr">
        <is>
          <t>제2종일반주거</t>
        </is>
      </c>
      <c r="K31" s="325" t="inlineStr">
        <is>
          <t>-</t>
        </is>
      </c>
      <c r="L31" s="326" t="n">
        <v>510500000</v>
      </c>
      <c r="M31" s="327" t="n">
        <v>20170000</v>
      </c>
      <c r="N31" s="327" t="n">
        <v>16587000</v>
      </c>
      <c r="O31" s="327" t="n">
        <v>3050000</v>
      </c>
      <c r="P31" s="327" t="n">
        <v>533000</v>
      </c>
      <c r="Q31" s="327" t="inlineStr">
        <is>
          <t>-</t>
        </is>
      </c>
      <c r="R31" s="328" t="n">
        <v>0</v>
      </c>
      <c r="S31" s="328" t="n">
        <v>4723964428.79363</v>
      </c>
      <c r="T31" s="328" t="n">
        <v>784000000</v>
      </c>
      <c r="U31" s="328" t="n">
        <v>5565460071.45549</v>
      </c>
      <c r="V31" s="328" t="n">
        <v>4470000000</v>
      </c>
      <c r="W31" s="328" t="n">
        <v>784000000</v>
      </c>
      <c r="X31" s="328" t="n">
        <v>5254000000</v>
      </c>
      <c r="Y31" s="328">
        <f>VLOOKUP(F31,'주유소별가격(담보)'!$C$4:$H$158,6,0)</f>
        <v/>
      </c>
      <c r="Z31" s="329" t="n">
        <v>0.495</v>
      </c>
      <c r="AA31" s="185">
        <f>U31-L31-Y31*Z31</f>
        <v/>
      </c>
      <c r="AB31" s="332" t="inlineStr">
        <is>
          <t>미포함</t>
        </is>
      </c>
    </row>
    <row r="32">
      <c r="B32" s="172" t="n">
        <v>3</v>
      </c>
      <c r="C32" s="351" t="n"/>
      <c r="D32" s="352" t="n"/>
      <c r="E32" s="171" t="inlineStr">
        <is>
          <t>인천</t>
        </is>
      </c>
      <c r="F32" s="171" t="inlineStr">
        <is>
          <t>미추홀셀프</t>
        </is>
      </c>
      <c r="G32" s="322" t="inlineStr">
        <is>
          <t>인천광역시 미추홀구 인주대로 394</t>
        </is>
      </c>
      <c r="H32" s="323" t="n">
        <v>1062</v>
      </c>
      <c r="I32" s="324">
        <f>H32/3.3058</f>
        <v/>
      </c>
      <c r="J32" s="350" t="inlineStr">
        <is>
          <t>준주거</t>
        </is>
      </c>
      <c r="K32" s="325" t="inlineStr">
        <is>
          <t>-</t>
        </is>
      </c>
      <c r="L32" s="326" t="n">
        <v>391000000</v>
      </c>
      <c r="M32" s="327" t="n">
        <v>13663000</v>
      </c>
      <c r="N32" s="327" t="n">
        <v>13663000</v>
      </c>
      <c r="O32" s="327" t="inlineStr">
        <is>
          <t>-</t>
        </is>
      </c>
      <c r="P32" s="327" t="inlineStr">
        <is>
          <t>-</t>
        </is>
      </c>
      <c r="Q32" s="327" t="inlineStr">
        <is>
          <t>-</t>
        </is>
      </c>
      <c r="R32" s="328" t="n">
        <v>0</v>
      </c>
      <c r="S32" s="328" t="n">
        <v>4026591462.47726</v>
      </c>
      <c r="T32" s="328" t="n">
        <v>271000000</v>
      </c>
      <c r="U32" s="328" t="n">
        <v>4315653671.24545</v>
      </c>
      <c r="V32" s="328" t="n">
        <v>3810000000</v>
      </c>
      <c r="W32" s="328" t="n">
        <v>271000000</v>
      </c>
      <c r="X32" s="328" t="n">
        <v>4081000000</v>
      </c>
      <c r="Y32" s="328">
        <f>VLOOKUP(F32,'주유소별가격(담보)'!$C$4:$H$158,6,0)</f>
        <v/>
      </c>
      <c r="Z32" s="329" t="n">
        <v>0.495</v>
      </c>
      <c r="AA32" s="185">
        <f>U32-L32-Y32*Z32</f>
        <v/>
      </c>
      <c r="AB32" s="332" t="inlineStr">
        <is>
          <t>미포함</t>
        </is>
      </c>
    </row>
    <row r="33">
      <c r="B33" s="172" t="n">
        <v>4</v>
      </c>
      <c r="C33" s="351" t="n"/>
      <c r="D33" s="352" t="n"/>
      <c r="E33" s="171" t="inlineStr">
        <is>
          <t>대전</t>
        </is>
      </c>
      <c r="F33" s="171" t="inlineStr">
        <is>
          <t>동원</t>
        </is>
      </c>
      <c r="G33" s="322" t="inlineStr">
        <is>
          <t>대전광역시 동구 옥천로 355-3</t>
        </is>
      </c>
      <c r="H33" s="323" t="n">
        <v>433</v>
      </c>
      <c r="I33" s="324">
        <f>H33/3.3058</f>
        <v/>
      </c>
      <c r="J33" s="350" t="inlineStr">
        <is>
          <t>자연녹지</t>
        </is>
      </c>
      <c r="K33" s="325" t="inlineStr">
        <is>
          <t>-</t>
        </is>
      </c>
      <c r="L33" s="326" t="n">
        <v>82200000</v>
      </c>
      <c r="M33" s="327" t="n">
        <v>2750000</v>
      </c>
      <c r="N33" s="327" t="n">
        <v>2750000</v>
      </c>
      <c r="O33" s="327" t="inlineStr">
        <is>
          <t>-</t>
        </is>
      </c>
      <c r="P33" s="327" t="inlineStr">
        <is>
          <t>-</t>
        </is>
      </c>
      <c r="Q33" s="327" t="inlineStr">
        <is>
          <t>-</t>
        </is>
      </c>
      <c r="R33" s="328" t="n">
        <v>0</v>
      </c>
      <c r="S33" s="328" t="n">
        <v>690282920.611411</v>
      </c>
      <c r="T33" s="328" t="n">
        <v>164000000</v>
      </c>
      <c r="U33" s="328" t="n">
        <v>866780172.62888</v>
      </c>
      <c r="V33" s="328" t="n">
        <v>672000000</v>
      </c>
      <c r="W33" s="328" t="n">
        <v>164000000</v>
      </c>
      <c r="X33" s="328" t="n">
        <v>836000000</v>
      </c>
      <c r="Y33" s="328">
        <f>VLOOKUP(F33,'주유소별가격(담보)'!$C$4:$H$158,6,0)</f>
        <v/>
      </c>
      <c r="Z33" s="329" t="n">
        <v>0.44</v>
      </c>
      <c r="AA33" s="185">
        <f>U33-L33-Y33*Z33</f>
        <v/>
      </c>
      <c r="AB33" s="332" t="inlineStr">
        <is>
          <t>미포함</t>
        </is>
      </c>
    </row>
    <row r="34">
      <c r="B34" s="172" t="n">
        <v>5</v>
      </c>
      <c r="C34" s="351" t="n"/>
      <c r="D34" s="352" t="n"/>
      <c r="E34" s="171" t="inlineStr">
        <is>
          <t>대구</t>
        </is>
      </c>
      <c r="F34" s="171" t="inlineStr">
        <is>
          <t>송현셀프</t>
        </is>
      </c>
      <c r="G34" s="322" t="inlineStr">
        <is>
          <t>대구광역시 달서구 구마로 219</t>
        </is>
      </c>
      <c r="H34" s="323" t="n">
        <v>1546</v>
      </c>
      <c r="I34" s="324">
        <f>H34/3.3058</f>
        <v/>
      </c>
      <c r="J34" s="350" t="inlineStr">
        <is>
          <t>근린상업, 제2종일반주거</t>
        </is>
      </c>
      <c r="K34" s="325" t="inlineStr">
        <is>
          <t>-</t>
        </is>
      </c>
      <c r="L34" s="326" t="n">
        <v>452000000</v>
      </c>
      <c r="M34" s="327" t="n">
        <v>17756000</v>
      </c>
      <c r="N34" s="327" t="n">
        <v>14663000</v>
      </c>
      <c r="O34" s="327" t="n">
        <v>2688000</v>
      </c>
      <c r="P34" s="327" t="n">
        <v>405000</v>
      </c>
      <c r="Q34" s="327" t="inlineStr">
        <is>
          <t>-</t>
        </is>
      </c>
      <c r="R34" s="328" t="n">
        <v>0</v>
      </c>
      <c r="S34" s="328" t="n">
        <v>4359510557.96449</v>
      </c>
      <c r="T34" s="328" t="n">
        <v>492000000</v>
      </c>
      <c r="U34" s="328" t="n">
        <v>4890454198.36402</v>
      </c>
      <c r="V34" s="328" t="n">
        <v>4125000000</v>
      </c>
      <c r="W34" s="328" t="n">
        <v>492000000</v>
      </c>
      <c r="X34" s="328" t="n">
        <v>4617000000</v>
      </c>
      <c r="Y34" s="328">
        <f>VLOOKUP(F34,'주유소별가격(담보)'!$C$4:$H$158,6,0)</f>
        <v/>
      </c>
      <c r="Z34" s="329" t="n">
        <v>0.44</v>
      </c>
      <c r="AA34" s="185">
        <f>U34-L34-Y34*Z34</f>
        <v/>
      </c>
      <c r="AB34" s="332" t="inlineStr">
        <is>
          <t>미포함</t>
        </is>
      </c>
    </row>
    <row r="35">
      <c r="B35" s="172" t="n">
        <v>6</v>
      </c>
      <c r="C35" s="351" t="n"/>
      <c r="D35" s="352" t="n"/>
      <c r="E35" s="171" t="inlineStr">
        <is>
          <t>대구</t>
        </is>
      </c>
      <c r="F35" s="171" t="inlineStr">
        <is>
          <t>중앙셀프</t>
        </is>
      </c>
      <c r="G35" s="322" t="inlineStr">
        <is>
          <t>대구광역시 북구 동북로 315</t>
        </is>
      </c>
      <c r="H35" s="323" t="n">
        <v>1823</v>
      </c>
      <c r="I35" s="324">
        <f>H35/3.3058</f>
        <v/>
      </c>
      <c r="J35" s="350" t="inlineStr">
        <is>
          <t>제2종일반주거</t>
        </is>
      </c>
      <c r="K35" s="325" t="inlineStr">
        <is>
          <t>-</t>
        </is>
      </c>
      <c r="L35" s="326" t="n">
        <v>579000000</v>
      </c>
      <c r="M35" s="327" t="n">
        <v>22526000</v>
      </c>
      <c r="N35" s="327" t="n">
        <v>20163000</v>
      </c>
      <c r="O35" s="327" t="n">
        <v>2363000</v>
      </c>
      <c r="P35" s="327" t="inlineStr">
        <is>
          <t>-</t>
        </is>
      </c>
      <c r="Q35" s="327" t="inlineStr">
        <is>
          <t>-</t>
        </is>
      </c>
      <c r="R35" s="328" t="n">
        <v>0</v>
      </c>
      <c r="S35" s="328" t="n">
        <v>5624503972.17737</v>
      </c>
      <c r="T35" s="328" t="n">
        <v>725000000</v>
      </c>
      <c r="U35" s="328" t="n">
        <v>6403511072.99759</v>
      </c>
      <c r="V35" s="328" t="n">
        <v>5322000000</v>
      </c>
      <c r="W35" s="328" t="n">
        <v>725000000</v>
      </c>
      <c r="X35" s="328" t="n">
        <v>6047000000</v>
      </c>
      <c r="Y35" s="328">
        <f>VLOOKUP(F35,'주유소별가격(담보)'!$C$4:$H$158,6,0)</f>
        <v/>
      </c>
      <c r="Z35" s="329" t="n">
        <v>0.44</v>
      </c>
      <c r="AA35" s="185">
        <f>U35-L35-Y35*Z35</f>
        <v/>
      </c>
      <c r="AB35" s="332" t="inlineStr">
        <is>
          <t>미포함</t>
        </is>
      </c>
    </row>
    <row r="36">
      <c r="B36" s="172" t="n">
        <v>7</v>
      </c>
      <c r="C36" s="351" t="n"/>
      <c r="D36" s="352" t="n"/>
      <c r="E36" s="171" t="inlineStr">
        <is>
          <t>경남</t>
        </is>
      </c>
      <c r="F36" s="171" t="inlineStr">
        <is>
          <t>고현셀프</t>
        </is>
      </c>
      <c r="G36" s="322" t="inlineStr">
        <is>
          <t>경상남도 거제시 고현동 963-4</t>
        </is>
      </c>
      <c r="H36" s="323" t="n">
        <v>1653</v>
      </c>
      <c r="I36" s="324">
        <f>H36/3.3058</f>
        <v/>
      </c>
      <c r="J36" s="350" t="inlineStr">
        <is>
          <t>제2종일반주거</t>
        </is>
      </c>
      <c r="K36" s="325" t="inlineStr">
        <is>
          <t>-</t>
        </is>
      </c>
      <c r="L36" s="326" t="n">
        <v>419000000</v>
      </c>
      <c r="M36" s="327" t="n">
        <v>14667000</v>
      </c>
      <c r="N36" s="327" t="n">
        <v>14667000</v>
      </c>
      <c r="O36" s="327" t="inlineStr">
        <is>
          <t>-</t>
        </is>
      </c>
      <c r="P36" s="327" t="inlineStr">
        <is>
          <t>-</t>
        </is>
      </c>
      <c r="Q36" s="327" t="inlineStr">
        <is>
          <t>-</t>
        </is>
      </c>
      <c r="R36" s="328" t="n">
        <v>0</v>
      </c>
      <c r="S36" s="328" t="n">
        <v>4157515403.70168</v>
      </c>
      <c r="T36" s="328" t="n">
        <v>444000000</v>
      </c>
      <c r="U36" s="328" t="n">
        <v>4633573491.69305</v>
      </c>
      <c r="V36" s="328" t="n">
        <v>3934000000</v>
      </c>
      <c r="W36" s="328" t="n">
        <v>444000000</v>
      </c>
      <c r="X36" s="328" t="n">
        <v>4378000000</v>
      </c>
      <c r="Y36" s="328">
        <f>VLOOKUP(F36,'주유소별가격(담보)'!$C$4:$H$158,6,0)</f>
        <v/>
      </c>
      <c r="Z36" s="329" t="n">
        <v>0.385</v>
      </c>
      <c r="AA36" s="185">
        <f>U36-L36-Y36*Z36</f>
        <v/>
      </c>
      <c r="AB36" s="332" t="inlineStr">
        <is>
          <t>미포함</t>
        </is>
      </c>
    </row>
    <row r="37">
      <c r="B37" s="172" t="n">
        <v>8</v>
      </c>
      <c r="C37" s="351" t="n"/>
      <c r="D37" s="352" t="n"/>
      <c r="E37" s="171" t="inlineStr">
        <is>
          <t>경남</t>
        </is>
      </c>
      <c r="F37" s="171" t="inlineStr">
        <is>
          <t>진주셀프</t>
        </is>
      </c>
      <c r="G37" s="322" t="inlineStr">
        <is>
          <t>경상남도 진주시 평거동 194-2</t>
        </is>
      </c>
      <c r="H37" s="323" t="n">
        <v>1163</v>
      </c>
      <c r="I37" s="324">
        <f>H37/3.3058</f>
        <v/>
      </c>
      <c r="J37" s="350" t="inlineStr">
        <is>
          <t>일반상업</t>
        </is>
      </c>
      <c r="K37" s="325" t="inlineStr">
        <is>
          <t>해당</t>
        </is>
      </c>
      <c r="L37" s="326" t="n">
        <v>437000000</v>
      </c>
      <c r="M37" s="327" t="n">
        <v>17583000</v>
      </c>
      <c r="N37" s="327" t="n">
        <v>15250000</v>
      </c>
      <c r="O37" s="327" t="n">
        <v>2333000</v>
      </c>
      <c r="P37" s="327" t="inlineStr">
        <is>
          <t>-</t>
        </is>
      </c>
      <c r="Q37" s="327" t="inlineStr">
        <is>
          <t>-</t>
        </is>
      </c>
      <c r="R37" s="328" t="n">
        <v>0</v>
      </c>
      <c r="S37" s="328" t="n">
        <v>4418691278.71093</v>
      </c>
      <c r="T37" s="328" t="n">
        <v>379000000</v>
      </c>
      <c r="U37" s="328" t="n">
        <v>4823555181.68921</v>
      </c>
      <c r="V37" s="328" t="n">
        <v>4181000000</v>
      </c>
      <c r="W37" s="328" t="n">
        <v>379000000</v>
      </c>
      <c r="X37" s="328" t="n">
        <v>4560000000</v>
      </c>
      <c r="Y37" s="328">
        <f>VLOOKUP(F37,'주유소별가격(담보)'!$C$4:$H$158,6,0)</f>
        <v/>
      </c>
      <c r="Z37" s="329" t="n">
        <v>0.385</v>
      </c>
      <c r="AA37" s="185">
        <f>U37-L37-Y37*Z37</f>
        <v/>
      </c>
      <c r="AB37" s="332" t="inlineStr">
        <is>
          <t>미포함</t>
        </is>
      </c>
    </row>
    <row r="38">
      <c r="B38" s="172" t="n">
        <v>9</v>
      </c>
      <c r="C38" s="351" t="n"/>
      <c r="D38" s="352" t="n"/>
      <c r="E38" s="171" t="inlineStr">
        <is>
          <t>경기</t>
        </is>
      </c>
      <c r="F38" s="171" t="inlineStr">
        <is>
          <t>드림셀프</t>
        </is>
      </c>
      <c r="G38" s="322" t="inlineStr">
        <is>
          <t>경기도 양주시 광사동 659-3</t>
        </is>
      </c>
      <c r="H38" s="323" t="n">
        <v>1411</v>
      </c>
      <c r="I38" s="324">
        <f>H38/3.3058</f>
        <v/>
      </c>
      <c r="J38" s="350" t="inlineStr">
        <is>
          <t>제2종일반주거</t>
        </is>
      </c>
      <c r="K38" s="325" t="inlineStr">
        <is>
          <t>해당</t>
        </is>
      </c>
      <c r="L38" s="326" t="n">
        <v>274000000</v>
      </c>
      <c r="M38" s="327" t="n">
        <v>9083000</v>
      </c>
      <c r="N38" s="327" t="n">
        <v>9083000</v>
      </c>
      <c r="O38" s="327" t="inlineStr">
        <is>
          <t>-</t>
        </is>
      </c>
      <c r="P38" s="327" t="inlineStr">
        <is>
          <t>-</t>
        </is>
      </c>
      <c r="Q38" s="327" t="inlineStr">
        <is>
          <t>-</t>
        </is>
      </c>
      <c r="R38" s="328" t="n">
        <v>0</v>
      </c>
      <c r="S38" s="328" t="n">
        <v>2823481487.45643</v>
      </c>
      <c r="T38" s="328" t="n">
        <v>192000000</v>
      </c>
      <c r="U38" s="328" t="n">
        <v>3031722759.17561</v>
      </c>
      <c r="V38" s="328" t="n">
        <v>2672000000</v>
      </c>
      <c r="W38" s="328" t="n">
        <v>192000000</v>
      </c>
      <c r="X38" s="328" t="n">
        <v>2864000000</v>
      </c>
      <c r="Y38" s="328">
        <f>VLOOKUP(F38,'주유소별가격(담보)'!$C$4:$H$158,6,0)</f>
        <v/>
      </c>
      <c r="Z38" s="329" t="n">
        <v>0.495</v>
      </c>
      <c r="AA38" s="185">
        <f>U38-L38-Y38*Z38</f>
        <v/>
      </c>
      <c r="AB38" s="332" t="inlineStr">
        <is>
          <t>미포함</t>
        </is>
      </c>
    </row>
    <row r="39">
      <c r="B39" s="172" t="n">
        <v>10</v>
      </c>
      <c r="C39" s="351" t="n"/>
      <c r="D39" s="352" t="n"/>
      <c r="E39" s="171" t="inlineStr">
        <is>
          <t>경기</t>
        </is>
      </c>
      <c r="F39" s="171" t="inlineStr">
        <is>
          <t>향남현대</t>
        </is>
      </c>
      <c r="G39" s="322" t="inlineStr">
        <is>
          <t>경기도 화성군 향남면 제암리 286-4</t>
        </is>
      </c>
      <c r="H39" s="323" t="n">
        <v>2031</v>
      </c>
      <c r="I39" s="324">
        <f>H39/3.3058</f>
        <v/>
      </c>
      <c r="J39" s="350" t="inlineStr">
        <is>
          <t>자연녹지</t>
        </is>
      </c>
      <c r="K39" s="325" t="inlineStr">
        <is>
          <t>-</t>
        </is>
      </c>
      <c r="L39" s="326" t="n">
        <v>258000000</v>
      </c>
      <c r="M39" s="327" t="n">
        <v>8583000</v>
      </c>
      <c r="N39" s="327" t="n">
        <v>8583000</v>
      </c>
      <c r="O39" s="327" t="inlineStr">
        <is>
          <t>-</t>
        </is>
      </c>
      <c r="P39" s="327" t="inlineStr">
        <is>
          <t>-</t>
        </is>
      </c>
      <c r="Q39" s="327" t="inlineStr">
        <is>
          <t>-</t>
        </is>
      </c>
      <c r="R39" s="328" t="n">
        <v>0</v>
      </c>
      <c r="S39" s="328" t="n">
        <v>2681227060.13973</v>
      </c>
      <c r="T39" s="328" t="n">
        <v>158000000</v>
      </c>
      <c r="U39" s="328" t="n">
        <v>2849775078.98811</v>
      </c>
      <c r="V39" s="328" t="n">
        <v>2537000000</v>
      </c>
      <c r="W39" s="328" t="n">
        <v>158000000</v>
      </c>
      <c r="X39" s="328" t="n">
        <v>2695000000</v>
      </c>
      <c r="Y39" s="328">
        <f>VLOOKUP(F39,'주유소별가격(담보)'!$C$4:$H$158,6,0)</f>
        <v/>
      </c>
      <c r="Z39" s="329" t="n">
        <v>0.495</v>
      </c>
      <c r="AA39" s="185">
        <f>U39-L39-Y39*Z39</f>
        <v/>
      </c>
      <c r="AB39" s="332" t="inlineStr">
        <is>
          <t>미포함</t>
        </is>
      </c>
    </row>
    <row r="40">
      <c r="B40" s="172" t="n">
        <v>11</v>
      </c>
      <c r="C40" s="351" t="n"/>
      <c r="D40" s="352" t="n"/>
      <c r="E40" s="171" t="inlineStr">
        <is>
          <t>경기</t>
        </is>
      </c>
      <c r="F40" s="171" t="inlineStr">
        <is>
          <t>중동대로셀프</t>
        </is>
      </c>
      <c r="G40" s="322" t="inlineStr">
        <is>
          <t>경기도 부천시 원미구 약대동 192-3</t>
        </is>
      </c>
      <c r="H40" s="323" t="n">
        <v>2000</v>
      </c>
      <c r="I40" s="324">
        <f>H40/3.3058</f>
        <v/>
      </c>
      <c r="J40" s="350" t="inlineStr">
        <is>
          <t>근린상업</t>
        </is>
      </c>
      <c r="K40" s="325" t="inlineStr">
        <is>
          <t>해당</t>
        </is>
      </c>
      <c r="L40" s="326" t="n">
        <v>719000000</v>
      </c>
      <c r="M40" s="327" t="n">
        <v>21967000</v>
      </c>
      <c r="N40" s="327" t="n">
        <v>16250000</v>
      </c>
      <c r="O40" s="327" t="n">
        <v>5717000</v>
      </c>
      <c r="P40" s="327" t="inlineStr">
        <is>
          <t>-</t>
        </is>
      </c>
      <c r="Q40" s="327" t="inlineStr">
        <is>
          <t>-</t>
        </is>
      </c>
      <c r="R40" s="328" t="n">
        <v>0</v>
      </c>
      <c r="S40" s="328" t="n">
        <v>7454508756.22206</v>
      </c>
      <c r="T40" s="328" t="n">
        <v>454000000</v>
      </c>
      <c r="U40" s="328" t="n">
        <v>7942020541.093</v>
      </c>
      <c r="V40" s="328" t="n">
        <v>7054000000</v>
      </c>
      <c r="W40" s="328" t="n">
        <v>454000000</v>
      </c>
      <c r="X40" s="328" t="n">
        <v>7508000000</v>
      </c>
      <c r="Y40" s="328">
        <f>VLOOKUP(F40,'주유소별가격(담보)'!$C$4:$H$158,6,0)</f>
        <v/>
      </c>
      <c r="Z40" s="329" t="n">
        <v>0.495</v>
      </c>
      <c r="AA40" s="185">
        <f>U40-L40-Y40*Z40</f>
        <v/>
      </c>
      <c r="AB40" s="332" t="inlineStr">
        <is>
          <t>미포함</t>
        </is>
      </c>
    </row>
    <row r="41">
      <c r="B41" s="172" t="n">
        <v>12</v>
      </c>
      <c r="C41" s="351" t="n"/>
      <c r="D41" s="352" t="n"/>
      <c r="E41" s="171" t="inlineStr">
        <is>
          <t>대구</t>
        </is>
      </c>
      <c r="F41" s="171" t="inlineStr">
        <is>
          <t>공단제일</t>
        </is>
      </c>
      <c r="G41" s="322" t="inlineStr">
        <is>
          <t>대구광역시 달서구 호산동 720-2</t>
        </is>
      </c>
      <c r="H41" s="323" t="n">
        <v>2140</v>
      </c>
      <c r="I41" s="324">
        <f>H41/3.3058</f>
        <v/>
      </c>
      <c r="J41" s="350" t="inlineStr">
        <is>
          <t>일반상업</t>
        </is>
      </c>
      <c r="K41" s="325" t="inlineStr">
        <is>
          <t>-</t>
        </is>
      </c>
      <c r="L41" s="326" t="n">
        <v>1109000000</v>
      </c>
      <c r="M41" s="327" t="n">
        <v>43141110.88888889</v>
      </c>
      <c r="N41" s="327" t="n">
        <v>23833000</v>
      </c>
      <c r="O41" s="327" t="n">
        <v>1758000</v>
      </c>
      <c r="P41" s="327" t="n">
        <v>17550110.88888889</v>
      </c>
      <c r="Q41" s="327" t="inlineStr">
        <is>
          <t>-</t>
        </is>
      </c>
      <c r="R41" s="328" t="n">
        <v>0</v>
      </c>
      <c r="S41" s="328" t="n">
        <v>11667068179.1362</v>
      </c>
      <c r="T41" s="328" t="n">
        <v>543000000</v>
      </c>
      <c r="U41" s="328" t="n">
        <v>12256360012.9341</v>
      </c>
      <c r="V41" s="328" t="n">
        <v>11040000000</v>
      </c>
      <c r="W41" s="328" t="n">
        <v>543000000</v>
      </c>
      <c r="X41" s="328" t="n">
        <v>11583000000</v>
      </c>
      <c r="Y41" s="328">
        <f>VLOOKUP(F41,'주유소별가격(담보)'!$C$4:$H$158,6,0)</f>
        <v/>
      </c>
      <c r="Z41" s="329" t="n">
        <v>0.44</v>
      </c>
      <c r="AA41" s="185">
        <f>U41-L41-Y41*Z41</f>
        <v/>
      </c>
      <c r="AB41" s="332" t="inlineStr">
        <is>
          <t>미포함</t>
        </is>
      </c>
    </row>
    <row r="42">
      <c r="B42" s="172" t="n">
        <v>13</v>
      </c>
      <c r="C42" s="351" t="n"/>
      <c r="D42" s="352" t="n"/>
      <c r="E42" s="171" t="inlineStr">
        <is>
          <t>광주</t>
        </is>
      </c>
      <c r="F42" s="171" t="inlineStr">
        <is>
          <t>하남제일</t>
        </is>
      </c>
      <c r="G42" s="322" t="inlineStr">
        <is>
          <t>광주광역시 광산구 도천동 259-1, 259-19</t>
        </is>
      </c>
      <c r="H42" s="323" t="n">
        <v>3477</v>
      </c>
      <c r="I42" s="324">
        <f>H42/3.3058</f>
        <v/>
      </c>
      <c r="J42" s="350" t="inlineStr">
        <is>
          <t>자연녹지</t>
        </is>
      </c>
      <c r="K42" s="325" t="inlineStr">
        <is>
          <t>-</t>
        </is>
      </c>
      <c r="L42" s="326" t="n">
        <v>397000000</v>
      </c>
      <c r="M42" s="327" t="n">
        <v>13833000</v>
      </c>
      <c r="N42" s="327" t="n">
        <v>13833000</v>
      </c>
      <c r="O42" s="327" t="inlineStr">
        <is>
          <t>-</t>
        </is>
      </c>
      <c r="P42" s="327" t="inlineStr">
        <is>
          <t>-</t>
        </is>
      </c>
      <c r="Q42" s="327" t="inlineStr">
        <is>
          <t>-</t>
        </is>
      </c>
      <c r="R42" s="328" t="n">
        <v>0</v>
      </c>
      <c r="S42" s="328" t="n">
        <v>4053884879.38889</v>
      </c>
      <c r="T42" s="328" t="n">
        <v>308000000</v>
      </c>
      <c r="U42" s="328" t="n">
        <v>4386440569.85848</v>
      </c>
      <c r="V42" s="328" t="n">
        <v>3836000000</v>
      </c>
      <c r="W42" s="328" t="n">
        <v>308000000</v>
      </c>
      <c r="X42" s="328" t="n">
        <v>4144000000</v>
      </c>
      <c r="Y42" s="328">
        <f>VLOOKUP(F42,'주유소별가격(담보)'!$C$4:$H$158,6,0)</f>
        <v/>
      </c>
      <c r="Z42" s="329" t="n">
        <v>0.44</v>
      </c>
      <c r="AA42" s="185">
        <f>U42-L42-Y42*Z42</f>
        <v/>
      </c>
      <c r="AB42" s="332" t="inlineStr">
        <is>
          <t>미포함</t>
        </is>
      </c>
    </row>
    <row r="43">
      <c r="B43" s="172" t="n">
        <v>14</v>
      </c>
      <c r="C43" s="351" t="n"/>
      <c r="D43" s="352" t="n"/>
      <c r="E43" s="171" t="inlineStr">
        <is>
          <t>부산</t>
        </is>
      </c>
      <c r="F43" s="171" t="inlineStr">
        <is>
          <t>부경셀프</t>
        </is>
      </c>
      <c r="G43" s="322" t="inlineStr">
        <is>
          <t>부산광역시 남구 대연동 574-2</t>
        </is>
      </c>
      <c r="H43" s="323" t="n">
        <v>3224</v>
      </c>
      <c r="I43" s="324">
        <f>H43/3.3058</f>
        <v/>
      </c>
      <c r="J43" s="350" t="inlineStr">
        <is>
          <t>제2종일반주거</t>
        </is>
      </c>
      <c r="K43" s="325" t="inlineStr">
        <is>
          <t>-</t>
        </is>
      </c>
      <c r="L43" s="326" t="n">
        <v>1344000000</v>
      </c>
      <c r="M43" s="327" t="n">
        <v>35803000</v>
      </c>
      <c r="N43" s="327" t="n">
        <v>35803000</v>
      </c>
      <c r="O43" s="327" t="inlineStr">
        <is>
          <t>-</t>
        </is>
      </c>
      <c r="P43" s="327" t="inlineStr">
        <is>
          <t>-</t>
        </is>
      </c>
      <c r="Q43" s="327" t="inlineStr">
        <is>
          <t>-</t>
        </is>
      </c>
      <c r="R43" s="328" t="n">
        <v>0</v>
      </c>
      <c r="S43" s="328" t="n">
        <v>14700015854.3848</v>
      </c>
      <c r="T43" s="328" t="n">
        <v>124000000</v>
      </c>
      <c r="U43" s="328" t="n">
        <v>14831466433.2717</v>
      </c>
      <c r="V43" s="328" t="n">
        <v>13910000000</v>
      </c>
      <c r="W43" s="328" t="n">
        <v>124000000</v>
      </c>
      <c r="X43" s="328" t="n">
        <v>14034000000</v>
      </c>
      <c r="Y43" s="328">
        <f>VLOOKUP(F43,'주유소별가격(담보)'!$C$4:$H$158,6,0)</f>
        <v/>
      </c>
      <c r="Z43" s="329" t="n">
        <v>0.44</v>
      </c>
      <c r="AA43" s="185">
        <f>U43-L43-Y43*Z43</f>
        <v/>
      </c>
      <c r="AB43" s="332" t="inlineStr">
        <is>
          <t>미포함</t>
        </is>
      </c>
    </row>
    <row r="44">
      <c r="B44" s="172" t="n">
        <v>15</v>
      </c>
      <c r="C44" s="351" t="n"/>
      <c r="D44" s="352" t="n"/>
      <c r="E44" s="171" t="inlineStr">
        <is>
          <t>울산</t>
        </is>
      </c>
      <c r="F44" s="171" t="inlineStr">
        <is>
          <t>함월셀프</t>
        </is>
      </c>
      <c r="G44" s="322" t="inlineStr">
        <is>
          <t>울산광역시 중구 성안동 826-13</t>
        </is>
      </c>
      <c r="H44" s="323" t="n">
        <v>1199</v>
      </c>
      <c r="I44" s="324">
        <f>H44/3.3058</f>
        <v/>
      </c>
      <c r="J44" s="350" t="inlineStr">
        <is>
          <t>제2종일반주거</t>
        </is>
      </c>
      <c r="K44" s="325" t="inlineStr">
        <is>
          <t>-</t>
        </is>
      </c>
      <c r="L44" s="326" t="n">
        <v>268000000</v>
      </c>
      <c r="M44" s="327" t="n">
        <v>8913000</v>
      </c>
      <c r="N44" s="327" t="n">
        <v>8913000</v>
      </c>
      <c r="O44" s="327" t="inlineStr">
        <is>
          <t>-</t>
        </is>
      </c>
      <c r="P44" s="327" t="inlineStr">
        <is>
          <t>-</t>
        </is>
      </c>
      <c r="Q44" s="327" t="inlineStr">
        <is>
          <t>-</t>
        </is>
      </c>
      <c r="R44" s="328" t="n">
        <v>0</v>
      </c>
      <c r="S44" s="328" t="n">
        <v>2618871746.87124</v>
      </c>
      <c r="T44" s="328" t="n">
        <v>318000000</v>
      </c>
      <c r="U44" s="328" t="n">
        <v>2960880592.53658</v>
      </c>
      <c r="V44" s="328" t="n">
        <v>2478000000</v>
      </c>
      <c r="W44" s="328" t="n">
        <v>318000000</v>
      </c>
      <c r="X44" s="328" t="n">
        <v>2796000000</v>
      </c>
      <c r="Y44" s="328">
        <f>VLOOKUP(F44,'주유소별가격(담보)'!$C$4:$H$158,6,0)</f>
        <v/>
      </c>
      <c r="Z44" s="329" t="n">
        <v>0.44</v>
      </c>
      <c r="AA44" s="185">
        <f>U44-L44-Y44*Z44</f>
        <v/>
      </c>
      <c r="AB44" s="332" t="inlineStr">
        <is>
          <t>미포함</t>
        </is>
      </c>
    </row>
    <row r="45">
      <c r="B45" s="172" t="n">
        <v>16</v>
      </c>
      <c r="C45" s="351" t="n"/>
      <c r="D45" s="352" t="n"/>
      <c r="E45" s="171" t="inlineStr">
        <is>
          <t>강원</t>
        </is>
      </c>
      <c r="F45" s="171" t="inlineStr">
        <is>
          <t>평원현대</t>
        </is>
      </c>
      <c r="G45" s="322" t="inlineStr">
        <is>
          <t>강원도 원주시 평원동 184-3</t>
        </is>
      </c>
      <c r="H45" s="323" t="n">
        <v>1191</v>
      </c>
      <c r="I45" s="324">
        <f>H45/3.3058</f>
        <v/>
      </c>
      <c r="J45" s="350" t="inlineStr">
        <is>
          <t>일반상업</t>
        </is>
      </c>
      <c r="K45" s="325" t="inlineStr">
        <is>
          <t>-</t>
        </is>
      </c>
      <c r="L45" s="326" t="n">
        <v>459000000</v>
      </c>
      <c r="M45" s="327" t="n">
        <v>9858000</v>
      </c>
      <c r="N45" s="327" t="n">
        <v>9858000</v>
      </c>
      <c r="O45" s="327" t="inlineStr">
        <is>
          <t>-</t>
        </is>
      </c>
      <c r="P45" s="327" t="inlineStr">
        <is>
          <t>-</t>
        </is>
      </c>
      <c r="Q45" s="327" t="inlineStr">
        <is>
          <t>-</t>
        </is>
      </c>
      <c r="R45" s="328" t="n">
        <v>0</v>
      </c>
      <c r="S45" s="328" t="n">
        <v>4864356146.96423</v>
      </c>
      <c r="T45" s="328" t="n">
        <v>184000000</v>
      </c>
      <c r="U45" s="328" t="n">
        <v>5063158302.85928</v>
      </c>
      <c r="V45" s="328" t="n">
        <v>4603000000</v>
      </c>
      <c r="W45" s="328" t="n">
        <v>184000000</v>
      </c>
      <c r="X45" s="328" t="n">
        <v>4787000000</v>
      </c>
      <c r="Y45" s="328">
        <f>VLOOKUP(F45,'주유소별가격(담보)'!$C$4:$H$158,6,0)</f>
        <v/>
      </c>
      <c r="Z45" s="329" t="n">
        <v>0.385</v>
      </c>
      <c r="AA45" s="185">
        <f>U45-L45-Y45*Z45</f>
        <v/>
      </c>
      <c r="AB45" s="332" t="inlineStr">
        <is>
          <t>미포함</t>
        </is>
      </c>
    </row>
    <row r="46">
      <c r="B46" s="172" t="n">
        <v>17</v>
      </c>
      <c r="C46" s="351" t="n"/>
      <c r="D46" s="352" t="n"/>
      <c r="E46" s="171" t="inlineStr">
        <is>
          <t>강원</t>
        </is>
      </c>
      <c r="F46" s="171" t="inlineStr">
        <is>
          <t>개나리셀프</t>
        </is>
      </c>
      <c r="G46" s="322" t="inlineStr">
        <is>
          <t>강원도 춘천시 석사동 818-6</t>
        </is>
      </c>
      <c r="H46" s="323" t="n">
        <v>1484</v>
      </c>
      <c r="I46" s="324">
        <f>H46/3.3058</f>
        <v/>
      </c>
      <c r="J46" s="350" t="inlineStr">
        <is>
          <t>준주거</t>
        </is>
      </c>
      <c r="K46" s="325" t="inlineStr">
        <is>
          <t>-</t>
        </is>
      </c>
      <c r="L46" s="326" t="n">
        <v>404000000</v>
      </c>
      <c r="M46" s="327" t="n">
        <v>12162000</v>
      </c>
      <c r="N46" s="327" t="n">
        <v>9154000</v>
      </c>
      <c r="O46" s="327" t="n">
        <v>3008000</v>
      </c>
      <c r="P46" s="327" t="inlineStr">
        <is>
          <t>-</t>
        </is>
      </c>
      <c r="Q46" s="327" t="inlineStr">
        <is>
          <t>-</t>
        </is>
      </c>
      <c r="R46" s="328" t="n">
        <v>0</v>
      </c>
      <c r="S46" s="328" t="n">
        <v>3895081809.85056</v>
      </c>
      <c r="T46" s="328" t="n">
        <v>533000000</v>
      </c>
      <c r="U46" s="328" t="n">
        <v>4466175013.87129</v>
      </c>
      <c r="V46" s="328" t="n">
        <v>3686000000</v>
      </c>
      <c r="W46" s="328" t="n">
        <v>533000000</v>
      </c>
      <c r="X46" s="328" t="n">
        <v>4219000000</v>
      </c>
      <c r="Y46" s="328">
        <f>VLOOKUP(F46,'주유소별가격(담보)'!$C$4:$H$158,6,0)</f>
        <v/>
      </c>
      <c r="Z46" s="329" t="n">
        <v>0.385</v>
      </c>
      <c r="AA46" s="185">
        <f>U46-L46-Y46*Z46</f>
        <v/>
      </c>
      <c r="AB46" s="332" t="inlineStr">
        <is>
          <t>미포함</t>
        </is>
      </c>
      <c r="AD46" s="228" t="n"/>
    </row>
    <row r="47">
      <c r="B47" s="172" t="n">
        <v>18</v>
      </c>
      <c r="C47" s="315" t="n"/>
      <c r="D47" s="316" t="n"/>
      <c r="E47" s="171" t="inlineStr">
        <is>
          <t>경북</t>
        </is>
      </c>
      <c r="F47" s="171" t="inlineStr">
        <is>
          <t>포항제일</t>
        </is>
      </c>
      <c r="G47" s="322" t="inlineStr">
        <is>
          <t>경북 포항시 대신동 949-3</t>
        </is>
      </c>
      <c r="H47" s="323" t="n">
        <v>1907</v>
      </c>
      <c r="I47" s="324">
        <f>H47/3.3058</f>
        <v/>
      </c>
      <c r="J47" s="350" t="inlineStr">
        <is>
          <t>제2종일반주거</t>
        </is>
      </c>
      <c r="K47" s="325" t="inlineStr">
        <is>
          <t>-</t>
        </is>
      </c>
      <c r="L47" s="326" t="n">
        <v>251000000</v>
      </c>
      <c r="M47" s="327" t="n">
        <v>6992000</v>
      </c>
      <c r="N47" s="327" t="n">
        <v>5417000</v>
      </c>
      <c r="O47" s="327" t="n">
        <v>1575000</v>
      </c>
      <c r="P47" s="327" t="inlineStr">
        <is>
          <t>-</t>
        </is>
      </c>
      <c r="Q47" s="327" t="inlineStr">
        <is>
          <t>-</t>
        </is>
      </c>
      <c r="R47" s="328" t="n">
        <v>0</v>
      </c>
      <c r="S47" s="328" t="n">
        <v>2372039374.91706</v>
      </c>
      <c r="T47" s="328" t="n">
        <v>372000000</v>
      </c>
      <c r="U47" s="328" t="n">
        <v>2772541049.40831</v>
      </c>
      <c r="V47" s="328" t="n">
        <v>2244000000</v>
      </c>
      <c r="W47" s="328" t="n">
        <v>372000000</v>
      </c>
      <c r="X47" s="328" t="n">
        <v>2616000000</v>
      </c>
      <c r="Y47" s="328">
        <f>VLOOKUP(F47,'주유소별가격(담보)'!$C$4:$H$158,6,0)</f>
        <v/>
      </c>
      <c r="Z47" s="329" t="n">
        <v>0.385</v>
      </c>
      <c r="AA47" s="185">
        <f>U47-L47-Y47*Z47</f>
        <v/>
      </c>
      <c r="AB47" s="332" t="inlineStr">
        <is>
          <t>미포함</t>
        </is>
      </c>
    </row>
    <row r="48">
      <c r="B48" s="339" t="inlineStr">
        <is>
          <t>미매각 소계</t>
        </is>
      </c>
      <c r="C48" s="340" t="n"/>
      <c r="D48" s="340" t="n"/>
      <c r="E48" s="340" t="n"/>
      <c r="F48" s="341" t="n"/>
      <c r="G48" s="342" t="n"/>
      <c r="H48" s="342">
        <f>SUM(H30:H47)</f>
        <v/>
      </c>
      <c r="I48" s="343">
        <f>SUM(I30:I47)</f>
        <v/>
      </c>
      <c r="J48" s="344" t="n"/>
      <c r="K48" s="344" t="n"/>
      <c r="L48" s="345">
        <f>SUM(L30:L47)</f>
        <v/>
      </c>
      <c r="M48" s="346">
        <f>SUM(M30:M47)</f>
        <v/>
      </c>
      <c r="N48" s="353">
        <f>SUM(N30:N47)</f>
        <v/>
      </c>
      <c r="O48" s="353">
        <f>SUM(O30:O47)</f>
        <v/>
      </c>
      <c r="P48" s="353">
        <f>SUM(P30:P47)</f>
        <v/>
      </c>
      <c r="Q48" s="353">
        <f>SUM(Q30:Q47)</f>
        <v/>
      </c>
      <c r="R48" s="353">
        <f>SUM(R30:R47)</f>
        <v/>
      </c>
      <c r="S48" s="347">
        <f>SUM(S30:S47)</f>
        <v/>
      </c>
      <c r="T48" s="347">
        <f>SUM(T30:T47)</f>
        <v/>
      </c>
      <c r="U48" s="347">
        <f>SUM(U30:U47)</f>
        <v/>
      </c>
      <c r="V48" s="347">
        <f>SUM(V30:V47)</f>
        <v/>
      </c>
      <c r="W48" s="347">
        <f>SUM(W30:W47)</f>
        <v/>
      </c>
      <c r="X48" s="347">
        <f>SUM(X30:X47)</f>
        <v/>
      </c>
      <c r="Y48" s="347">
        <f>SUM(Y30:Y47)</f>
        <v/>
      </c>
      <c r="Z48" s="348" t="n"/>
      <c r="AA48" s="186">
        <f>SUM(AA30:AA47)</f>
        <v/>
      </c>
      <c r="AB48" s="349">
        <f>COUNTIF(AB30:AB47,"No.*")</f>
        <v/>
      </c>
    </row>
    <row r="49" ht="17.25" customHeight="1" s="308" thickBot="1">
      <c r="B49" s="339" t="inlineStr">
        <is>
          <t>총계</t>
        </is>
      </c>
      <c r="C49" s="340" t="n"/>
      <c r="D49" s="340" t="n"/>
      <c r="E49" s="340" t="n"/>
      <c r="F49" s="341" t="n"/>
      <c r="G49" s="342" t="n"/>
      <c r="H49" s="342">
        <f>H29+H48</f>
        <v/>
      </c>
      <c r="I49" s="343">
        <f>I29+I48</f>
        <v/>
      </c>
      <c r="J49" s="344" t="n"/>
      <c r="K49" s="344" t="n"/>
      <c r="L49" s="345">
        <f>L29+L48</f>
        <v/>
      </c>
      <c r="M49" s="346">
        <f>M29+M48</f>
        <v/>
      </c>
      <c r="N49" s="346">
        <f>N29+N48</f>
        <v/>
      </c>
      <c r="O49" s="346">
        <f>O29+O48</f>
        <v/>
      </c>
      <c r="P49" s="346">
        <f>P29+P48</f>
        <v/>
      </c>
      <c r="Q49" s="346">
        <f>Q29+Q48</f>
        <v/>
      </c>
      <c r="R49" s="346">
        <f>R29+R48</f>
        <v/>
      </c>
      <c r="S49" s="347">
        <f>S29+S48</f>
        <v/>
      </c>
      <c r="T49" s="347">
        <f>T29+T48</f>
        <v/>
      </c>
      <c r="U49" s="347">
        <f>U29+U48</f>
        <v/>
      </c>
      <c r="V49" s="347">
        <f>V29+V48</f>
        <v/>
      </c>
      <c r="W49" s="347">
        <f>W29+W48</f>
        <v/>
      </c>
      <c r="X49" s="347">
        <f>X29+X48</f>
        <v/>
      </c>
      <c r="Y49" s="347">
        <f>Y29+Y48</f>
        <v/>
      </c>
      <c r="Z49" s="348" t="n"/>
      <c r="AA49" s="187">
        <f>SUM(AA29,AA48)</f>
        <v/>
      </c>
      <c r="AB49" s="354">
        <f>AB29+AB48</f>
        <v/>
      </c>
    </row>
  </sheetData>
  <autoFilter ref="A4:M29"/>
  <mergeCells count="25">
    <mergeCell ref="L3:L4"/>
    <mergeCell ref="B3:B4"/>
    <mergeCell ref="B1:G1"/>
    <mergeCell ref="F3:F4"/>
    <mergeCell ref="C5:C28"/>
    <mergeCell ref="Z3:Z4"/>
    <mergeCell ref="B48:F48"/>
    <mergeCell ref="C30:D47"/>
    <mergeCell ref="G3:G4"/>
    <mergeCell ref="M3:M4"/>
    <mergeCell ref="I3:I4"/>
    <mergeCell ref="D5:D13"/>
    <mergeCell ref="C3:D4"/>
    <mergeCell ref="B29:F29"/>
    <mergeCell ref="AA3:AA4"/>
    <mergeCell ref="N3:Q3"/>
    <mergeCell ref="R3:R4"/>
    <mergeCell ref="H3:H4"/>
    <mergeCell ref="V3:X3"/>
    <mergeCell ref="AB3:AB4"/>
    <mergeCell ref="B49:F49"/>
    <mergeCell ref="J3:K3"/>
    <mergeCell ref="E3:E4"/>
    <mergeCell ref="D14:D28"/>
    <mergeCell ref="S3:U3"/>
  </mergeCells>
  <conditionalFormatting sqref="F1:F1048576">
    <cfRule type="duplicateValues" priority="1" dxfId="0"/>
  </conditionalFormatting>
  <pageMargins left="0.7086614173228347" right="0.7086614173228347" top="0.7480314960629921" bottom="0.7480314960629921" header="0.3149606299212598" footer="0.3149606299212598"/>
  <pageSetup orientation="landscape" paperSize="9" scale="24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R15"/>
  <sheetViews>
    <sheetView showGridLines="0" topLeftCell="D1" workbookViewId="0">
      <selection activeCell="O14" sqref="O14"/>
    </sheetView>
  </sheetViews>
  <sheetFormatPr baseColWidth="8" defaultRowHeight="11.25" customHeight="1"/>
  <cols>
    <col width="2.125" customWidth="1" style="308" min="1" max="1"/>
    <col width="15.875" customWidth="1" style="308" min="2" max="17"/>
  </cols>
  <sheetData>
    <row r="2" ht="11.25" customHeight="1" s="308">
      <c r="A2" s="155" t="n"/>
      <c r="B2" s="278" t="inlineStr">
        <is>
          <t>No.</t>
        </is>
      </c>
      <c r="C2" s="279" t="inlineStr">
        <is>
          <t>지역</t>
        </is>
      </c>
      <c r="D2" s="274" t="inlineStr">
        <is>
          <t>주유소명</t>
        </is>
      </c>
      <c r="E2" s="274" t="inlineStr">
        <is>
          <t>상세주소</t>
        </is>
      </c>
      <c r="F2" s="274" t="inlineStr">
        <is>
          <t>담보가</t>
        </is>
      </c>
      <c r="G2" s="340" t="n"/>
      <c r="H2" s="341" t="n"/>
      <c r="I2" s="274" t="inlineStr">
        <is>
          <t>상환비율</t>
        </is>
      </c>
      <c r="J2" s="274" t="inlineStr">
        <is>
          <t>차입금 반환</t>
        </is>
      </c>
      <c r="K2" s="274" t="inlineStr">
        <is>
          <t>보증금</t>
        </is>
      </c>
      <c r="L2" s="274" t="inlineStr">
        <is>
          <t>매매대금</t>
        </is>
      </c>
      <c r="M2" s="340" t="n"/>
      <c r="N2" s="341" t="n"/>
      <c r="O2" s="274" t="inlineStr">
        <is>
          <t>소유권이전</t>
        </is>
      </c>
      <c r="P2" s="341" t="n"/>
      <c r="Q2" s="155" t="n"/>
      <c r="R2" s="155" t="n"/>
    </row>
    <row r="3" ht="11.25" customHeight="1" s="308">
      <c r="A3" s="155" t="n"/>
      <c r="B3" s="314" t="n"/>
      <c r="C3" s="314" t="n"/>
      <c r="D3" s="314" t="n"/>
      <c r="E3" s="314" t="n"/>
      <c r="F3" s="274" t="inlineStr">
        <is>
          <t>토지</t>
        </is>
      </c>
      <c r="G3" s="274" t="inlineStr">
        <is>
          <t>건축물 등</t>
        </is>
      </c>
      <c r="H3" s="274" t="inlineStr">
        <is>
          <t>계</t>
        </is>
      </c>
      <c r="I3" s="314" t="n"/>
      <c r="J3" s="314" t="n"/>
      <c r="K3" s="314" t="n"/>
      <c r="L3" s="274" t="inlineStr">
        <is>
          <t>합 계</t>
        </is>
      </c>
      <c r="M3" s="274" t="inlineStr">
        <is>
          <t>계약금</t>
        </is>
      </c>
      <c r="N3" s="274" t="inlineStr">
        <is>
          <t>잔금</t>
        </is>
      </c>
      <c r="O3" s="274" t="inlineStr">
        <is>
          <t>계약체결일</t>
        </is>
      </c>
      <c r="P3" s="274" t="inlineStr">
        <is>
          <t>잔금일</t>
        </is>
      </c>
      <c r="Q3" s="274" t="inlineStr">
        <is>
          <t>회수 원본</t>
        </is>
      </c>
      <c r="R3" s="155" t="n"/>
    </row>
    <row r="4" ht="11.25" customHeight="1" s="308">
      <c r="A4" s="191" t="n"/>
      <c r="B4" s="192" t="n">
        <v>1</v>
      </c>
      <c r="C4" s="193" t="inlineStr">
        <is>
          <t>경기</t>
        </is>
      </c>
      <c r="D4" s="194" t="inlineStr">
        <is>
          <t>동양</t>
        </is>
      </c>
      <c r="E4" s="194" t="inlineStr">
        <is>
          <t>경기 안산시 단원구 신길동 1743</t>
        </is>
      </c>
      <c r="F4" s="355" t="n">
        <v>3340590000</v>
      </c>
      <c r="G4" s="355" t="n">
        <v>25493000</v>
      </c>
      <c r="H4" s="355" t="n">
        <v>3366083000</v>
      </c>
      <c r="I4" s="196" t="n">
        <v>0.495</v>
      </c>
      <c r="J4" s="355" t="n">
        <v>1666211085</v>
      </c>
      <c r="K4" s="355" t="n">
        <v>223000000</v>
      </c>
      <c r="L4" s="355" t="n">
        <v>2955000000</v>
      </c>
      <c r="M4" s="355" t="n">
        <v>295500000</v>
      </c>
      <c r="N4" s="355" t="n">
        <v>2659500000</v>
      </c>
      <c r="O4" s="197" t="inlineStr">
        <is>
          <t>2026.04.01.</t>
        </is>
      </c>
      <c r="P4" s="356" t="inlineStr">
        <is>
          <t>2026.04.30.</t>
        </is>
      </c>
      <c r="Q4" s="357" t="n">
        <v>770288915</v>
      </c>
      <c r="R4" s="155" t="n"/>
    </row>
    <row r="5" ht="11.25" customHeight="1" s="308">
      <c r="A5" s="200" t="n"/>
      <c r="B5" s="192" t="n">
        <v>2</v>
      </c>
      <c r="C5" s="193" t="inlineStr">
        <is>
          <t>광주</t>
        </is>
      </c>
      <c r="D5" s="194" t="inlineStr">
        <is>
          <t>빛고을로셀프</t>
        </is>
      </c>
      <c r="E5" s="194" t="inlineStr">
        <is>
          <t>광주 북구 용두동 1043-1</t>
        </is>
      </c>
      <c r="F5" s="355" t="n">
        <v>1559520000</v>
      </c>
      <c r="G5" s="355" t="n">
        <v>123891370</v>
      </c>
      <c r="H5" s="355" t="n">
        <v>1683411370</v>
      </c>
      <c r="I5" s="196" t="n">
        <v>0.44</v>
      </c>
      <c r="J5" s="355" t="n">
        <v>740701002.8</v>
      </c>
      <c r="K5" s="355" t="n">
        <v>138000000</v>
      </c>
      <c r="L5" s="355" t="n">
        <v>1200000000</v>
      </c>
      <c r="M5" s="355" t="n">
        <v>120000000</v>
      </c>
      <c r="N5" s="355" t="n">
        <v>1080000000</v>
      </c>
      <c r="O5" s="197" t="inlineStr">
        <is>
          <t>2026.04.01.</t>
        </is>
      </c>
      <c r="P5" s="356" t="inlineStr">
        <is>
          <t>2026.04.30.</t>
        </is>
      </c>
      <c r="Q5" s="357" t="n">
        <v>201298997.2</v>
      </c>
      <c r="R5" s="155" t="n"/>
    </row>
    <row r="6" ht="11.25" customHeight="1" s="308">
      <c r="A6" s="200" t="n"/>
      <c r="B6" s="192" t="n">
        <v>3</v>
      </c>
      <c r="C6" s="193" t="inlineStr">
        <is>
          <t>경북</t>
        </is>
      </c>
      <c r="D6" s="194" t="inlineStr">
        <is>
          <t>진량현대</t>
        </is>
      </c>
      <c r="E6" s="194" t="inlineStr">
        <is>
          <t>경북 경산시 진량읍 신상리 1083</t>
        </is>
      </c>
      <c r="F6" s="355" t="n">
        <v>2433190000</v>
      </c>
      <c r="G6" s="355" t="n">
        <v>212060200</v>
      </c>
      <c r="H6" s="355" t="n">
        <v>2645250200</v>
      </c>
      <c r="I6" s="196" t="n">
        <v>0.385</v>
      </c>
      <c r="J6" s="355" t="n">
        <v>1018421327</v>
      </c>
      <c r="K6" s="355" t="n">
        <v>237000000</v>
      </c>
      <c r="L6" s="355" t="n">
        <v>2000000000</v>
      </c>
      <c r="M6" s="355" t="n">
        <v>200000000</v>
      </c>
      <c r="N6" s="355" t="n">
        <v>1800000000</v>
      </c>
      <c r="O6" s="197" t="inlineStr">
        <is>
          <t>2026.04.14.</t>
        </is>
      </c>
      <c r="P6" s="356" t="inlineStr">
        <is>
          <t>2026.05.15.</t>
        </is>
      </c>
      <c r="Q6" s="357" t="n">
        <v>544578673</v>
      </c>
      <c r="R6" s="155" t="n">
        <v>148</v>
      </c>
    </row>
    <row r="7" ht="11.25" customHeight="1" s="308">
      <c r="A7" s="201" t="n"/>
      <c r="B7" s="202" t="n">
        <v>4</v>
      </c>
      <c r="C7" s="203" t="inlineStr">
        <is>
          <t>광주</t>
        </is>
      </c>
      <c r="D7" s="204" t="inlineStr">
        <is>
          <t>양산</t>
        </is>
      </c>
      <c r="E7" s="204" t="inlineStr">
        <is>
          <t>광주 북구 양산동 610-17</t>
        </is>
      </c>
      <c r="F7" s="358" t="n">
        <v>2641320000</v>
      </c>
      <c r="G7" s="358" t="n">
        <v>46143350</v>
      </c>
      <c r="H7" s="358" t="n">
        <v>2687463350</v>
      </c>
      <c r="I7" s="206" t="n">
        <v>0.44</v>
      </c>
      <c r="J7" s="358" t="n">
        <v>1182483874</v>
      </c>
      <c r="K7" s="358" t="n">
        <v>192000000</v>
      </c>
      <c r="L7" s="358" t="n">
        <v>1800000000</v>
      </c>
      <c r="M7" s="358" t="n">
        <v>180000000</v>
      </c>
      <c r="N7" s="358" t="n">
        <v>1620000000</v>
      </c>
      <c r="O7" s="207" t="inlineStr">
        <is>
          <t>2026.04.01.</t>
        </is>
      </c>
      <c r="P7" s="208" t="inlineStr">
        <is>
          <t>2026.06.10</t>
        </is>
      </c>
      <c r="Q7" s="209" t="n">
        <v>245516126</v>
      </c>
      <c r="R7" s="210" t="n"/>
    </row>
    <row r="8" ht="11.25" customHeight="1" s="308">
      <c r="A8" s="211" t="n"/>
      <c r="B8" s="202" t="n">
        <v>5</v>
      </c>
      <c r="C8" s="203" t="inlineStr">
        <is>
          <t>부산</t>
        </is>
      </c>
      <c r="D8" s="204" t="inlineStr">
        <is>
          <t>낙동로</t>
        </is>
      </c>
      <c r="E8" s="204" t="inlineStr">
        <is>
          <t>부산 사상구 삼락동 409-1</t>
        </is>
      </c>
      <c r="F8" s="358" t="n">
        <v>7138354000</v>
      </c>
      <c r="G8" s="358" t="n">
        <v>248388680</v>
      </c>
      <c r="H8" s="358" t="n">
        <v>7386742680</v>
      </c>
      <c r="I8" s="206" t="n">
        <v>0.44</v>
      </c>
      <c r="J8" s="358" t="n">
        <v>3250166779.2</v>
      </c>
      <c r="K8" s="358" t="n">
        <v>625000000</v>
      </c>
      <c r="L8" s="358" t="n">
        <v>6700000000</v>
      </c>
      <c r="M8" s="358" t="n"/>
      <c r="N8" s="358" t="n">
        <v>6700000000</v>
      </c>
      <c r="O8" s="207" t="inlineStr">
        <is>
          <t>2025.04.02</t>
        </is>
      </c>
      <c r="P8" s="359" t="inlineStr">
        <is>
          <t>2026.06.29</t>
        </is>
      </c>
      <c r="Q8" s="360" t="n">
        <v>2824833220.8</v>
      </c>
      <c r="R8" s="214" t="n"/>
    </row>
    <row r="9" ht="11.25" customHeight="1" s="308">
      <c r="A9" s="211" t="n"/>
      <c r="B9" s="202" t="n">
        <v>6</v>
      </c>
      <c r="C9" s="203" t="inlineStr">
        <is>
          <t>경기</t>
        </is>
      </c>
      <c r="D9" s="204" t="inlineStr">
        <is>
          <t>남문</t>
        </is>
      </c>
      <c r="E9" s="204" t="inlineStr">
        <is>
          <t>경기 성남시 수정구 태평동 6539 외 4필지</t>
        </is>
      </c>
      <c r="F9" s="358" t="n">
        <v>2142884500</v>
      </c>
      <c r="G9" s="358" t="n">
        <v>92253010</v>
      </c>
      <c r="H9" s="358" t="n">
        <v>2235137510</v>
      </c>
      <c r="I9" s="206" t="n">
        <v>0.495</v>
      </c>
      <c r="J9" s="358" t="n">
        <v>1106393067.45</v>
      </c>
      <c r="K9" s="358" t="n">
        <v>186000000</v>
      </c>
      <c r="L9" s="358" t="n">
        <v>1500000000</v>
      </c>
      <c r="M9" s="358" t="n">
        <v>150000000</v>
      </c>
      <c r="N9" s="358" t="n">
        <v>1350000000</v>
      </c>
      <c r="O9" s="207" t="inlineStr">
        <is>
          <t>2026.04.01.</t>
        </is>
      </c>
      <c r="P9" s="359" t="inlineStr">
        <is>
          <t>2026.07.01.</t>
        </is>
      </c>
      <c r="Q9" s="360" t="n">
        <v>57606932.54999995</v>
      </c>
      <c r="R9" s="155" t="n"/>
    </row>
    <row r="10" ht="11.25" customHeight="1" s="308">
      <c r="A10" s="211" t="n"/>
      <c r="B10" s="202" t="n">
        <v>7</v>
      </c>
      <c r="C10" s="203" t="inlineStr">
        <is>
          <t>광주</t>
        </is>
      </c>
      <c r="D10" s="204" t="inlineStr">
        <is>
          <t>장덕셀프</t>
        </is>
      </c>
      <c r="E10" s="204" t="inlineStr">
        <is>
          <t>광주 광산구 장덕동 85-3</t>
        </is>
      </c>
      <c r="F10" s="358" t="n">
        <v>2027810000</v>
      </c>
      <c r="G10" s="358" t="n">
        <v>127343310</v>
      </c>
      <c r="H10" s="358" t="n">
        <v>2155153310</v>
      </c>
      <c r="I10" s="206" t="n">
        <v>0.44</v>
      </c>
      <c r="J10" s="358" t="n">
        <v>948267456.4</v>
      </c>
      <c r="K10" s="358" t="n">
        <v>119000000</v>
      </c>
      <c r="L10" s="358" t="n">
        <v>1300000000</v>
      </c>
      <c r="M10" s="358" t="n">
        <v>130000000</v>
      </c>
      <c r="N10" s="358" t="n">
        <v>1170000000</v>
      </c>
      <c r="O10" s="207" t="inlineStr">
        <is>
          <t>2026.04.01.</t>
        </is>
      </c>
      <c r="P10" s="359" t="inlineStr">
        <is>
          <t>2026.07.01.</t>
        </is>
      </c>
      <c r="Q10" s="360" t="n">
        <v>102732543.6</v>
      </c>
      <c r="R10" s="155" t="n"/>
    </row>
    <row r="11" ht="11.25" customHeight="1" s="308">
      <c r="A11" s="211" t="n"/>
      <c r="B11" s="202" t="n">
        <v>8</v>
      </c>
      <c r="C11" s="203" t="inlineStr">
        <is>
          <t>경기</t>
        </is>
      </c>
      <c r="D11" s="204" t="inlineStr">
        <is>
          <t>죽전현대셀프</t>
        </is>
      </c>
      <c r="E11" s="204" t="inlineStr">
        <is>
          <t>경기 용인시 수지구 죽전동 889 (용구대로 2751)</t>
        </is>
      </c>
      <c r="F11" s="358" t="n">
        <v>8782200000</v>
      </c>
      <c r="G11" s="358" t="n">
        <v>373725100</v>
      </c>
      <c r="H11" s="358" t="n">
        <v>9155925100</v>
      </c>
      <c r="I11" s="206" t="n">
        <v>0.495</v>
      </c>
      <c r="J11" s="358" t="n">
        <v>4532182924.5</v>
      </c>
      <c r="K11" s="358" t="n">
        <v>671000000</v>
      </c>
      <c r="L11" s="358" t="n">
        <v>7500000000</v>
      </c>
      <c r="M11" s="358" t="n">
        <v>750000000</v>
      </c>
      <c r="N11" s="358" t="n">
        <v>6750000000</v>
      </c>
      <c r="O11" s="207" t="inlineStr">
        <is>
          <t>2026.05.11.</t>
        </is>
      </c>
      <c r="P11" s="359" t="inlineStr">
        <is>
          <t>2026.07.13.</t>
        </is>
      </c>
      <c r="Q11" s="360" t="n">
        <v>1546817075.5</v>
      </c>
      <c r="R11" s="155" t="n"/>
    </row>
    <row r="12" ht="11.25" customHeight="1" s="308">
      <c r="A12" s="211" t="n"/>
      <c r="B12" s="202" t="n">
        <v>9</v>
      </c>
      <c r="C12" s="203" t="inlineStr">
        <is>
          <t>인천</t>
        </is>
      </c>
      <c r="D12" s="204" t="inlineStr">
        <is>
          <t>유화셀프</t>
        </is>
      </c>
      <c r="E12" s="204" t="inlineStr">
        <is>
          <t>인천 계양구 효성동 206-9</t>
        </is>
      </c>
      <c r="F12" s="358" t="n">
        <v>7311969000</v>
      </c>
      <c r="G12" s="358" t="n">
        <v>169466100</v>
      </c>
      <c r="H12" s="358" t="n">
        <v>7481435100</v>
      </c>
      <c r="I12" s="206" t="n">
        <v>0.495</v>
      </c>
      <c r="J12" s="358" t="n">
        <v>3703310374.5</v>
      </c>
      <c r="K12" s="358" t="n">
        <v>493000000</v>
      </c>
      <c r="L12" s="358" t="n">
        <v>5400000000</v>
      </c>
      <c r="M12" s="358" t="n">
        <v>270000000</v>
      </c>
      <c r="N12" s="358" t="n">
        <v>5130000000</v>
      </c>
      <c r="O12" s="207" t="inlineStr">
        <is>
          <t>2026.04.14.</t>
        </is>
      </c>
      <c r="P12" s="359" t="inlineStr">
        <is>
          <t>2026.07.14.</t>
        </is>
      </c>
      <c r="Q12" s="360" t="n">
        <v>933689625.5</v>
      </c>
      <c r="R12" s="155" t="n"/>
    </row>
    <row r="13" ht="11.25" customHeight="1" s="308">
      <c r="A13" s="155" t="n"/>
      <c r="B13" s="361" t="inlineStr">
        <is>
          <t>기 계약 합계</t>
        </is>
      </c>
      <c r="C13" s="340" t="n"/>
      <c r="D13" s="340" t="n"/>
      <c r="E13" s="362" t="n"/>
      <c r="F13" s="363" t="n"/>
      <c r="G13" s="363" t="n"/>
      <c r="H13" s="363" t="n"/>
      <c r="I13" s="216" t="n"/>
      <c r="J13" s="363" t="n"/>
      <c r="K13" s="363" t="n"/>
      <c r="L13" s="363" t="n"/>
      <c r="M13" s="363" t="n"/>
      <c r="N13" s="363" t="n"/>
      <c r="O13" s="217" t="n"/>
      <c r="P13" s="364" t="n"/>
      <c r="Q13" s="365" t="n">
        <v>7227362109.150001</v>
      </c>
      <c r="R13" s="155" t="n"/>
    </row>
    <row r="14" ht="11.25" customHeight="1" s="308">
      <c r="A14" s="155" t="n"/>
      <c r="B14" s="278" t="n"/>
      <c r="C14" s="279" t="inlineStr">
        <is>
          <t>서울</t>
        </is>
      </c>
      <c r="D14" s="274" t="inlineStr">
        <is>
          <t>양천</t>
        </is>
      </c>
      <c r="E14" s="274" t="inlineStr">
        <is>
          <t>서울특별시 양천구 목동 122-2</t>
        </is>
      </c>
      <c r="F14" s="366" t="n">
        <v>24067200000</v>
      </c>
      <c r="G14" s="366" t="n">
        <v>216216170</v>
      </c>
      <c r="H14" s="366" t="n">
        <v>24283416170</v>
      </c>
      <c r="I14" s="221" t="n">
        <v>0.495</v>
      </c>
      <c r="J14" s="366" t="n">
        <v>12020291004.15</v>
      </c>
      <c r="K14" s="366" t="n">
        <v>1388000000</v>
      </c>
      <c r="L14" s="366" t="n">
        <v>23700000000</v>
      </c>
      <c r="M14" s="366" t="n"/>
      <c r="N14" s="366" t="n">
        <v>23700000000</v>
      </c>
      <c r="O14" s="222" t="inlineStr">
        <is>
          <t>2025.04.02</t>
        </is>
      </c>
      <c r="P14" s="367" t="n"/>
      <c r="Q14" s="368" t="inlineStr">
        <is>
          <t>계약해제</t>
        </is>
      </c>
      <c r="R14" s="155" t="n"/>
    </row>
    <row r="15" ht="11.25" customHeight="1" s="308">
      <c r="A15" s="155" t="n"/>
      <c r="B15" s="361" t="inlineStr">
        <is>
          <t>Pipeline 합계</t>
        </is>
      </c>
      <c r="C15" s="340" t="n"/>
      <c r="D15" s="340" t="n"/>
      <c r="E15" s="362" t="n"/>
      <c r="F15" s="363" t="n"/>
      <c r="G15" s="363" t="n"/>
      <c r="H15" s="363" t="n"/>
      <c r="I15" s="216" t="n"/>
      <c r="J15" s="363" t="n"/>
      <c r="K15" s="363" t="n"/>
      <c r="L15" s="363" t="n"/>
      <c r="M15" s="363" t="n"/>
      <c r="N15" s="363" t="n"/>
      <c r="O15" s="217" t="n"/>
      <c r="P15" s="364" t="n"/>
      <c r="Q15" s="365">
        <f>Q13</f>
        <v/>
      </c>
      <c r="R15" s="155" t="n"/>
    </row>
  </sheetData>
  <mergeCells count="12">
    <mergeCell ref="O2:P2"/>
    <mergeCell ref="C2:C3"/>
    <mergeCell ref="B13:E13"/>
    <mergeCell ref="J2:J3"/>
    <mergeCell ref="B15:E15"/>
    <mergeCell ref="F2:H2"/>
    <mergeCell ref="B2:B3"/>
    <mergeCell ref="D2:D3"/>
    <mergeCell ref="L2:N2"/>
    <mergeCell ref="E2:E3"/>
    <mergeCell ref="K2:K3"/>
    <mergeCell ref="I2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P5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308" min="1" max="1"/>
    <col width="7" customWidth="1" style="308" min="2" max="2"/>
    <col width="13" customWidth="1" style="308" min="3" max="3"/>
    <col width="14" customWidth="1" style="308" min="4" max="4"/>
    <col width="6" customWidth="1" style="308" min="5" max="5"/>
    <col width="7" customWidth="1" style="308" min="6" max="6"/>
    <col width="40" customWidth="1" style="308" min="7" max="7"/>
    <col width="11" customWidth="1" style="308" min="8" max="8"/>
    <col width="10" customWidth="1" style="308" min="9" max="9"/>
    <col width="11" customWidth="1" style="308" min="10" max="10"/>
    <col width="10" customWidth="1" style="308" min="11" max="11"/>
    <col width="14" customWidth="1" style="308" min="12" max="12"/>
    <col width="16" customWidth="1" style="308" min="13" max="13"/>
    <col width="16" customWidth="1" style="308" min="14" max="14"/>
    <col width="9" customWidth="1" style="308" min="15" max="15"/>
    <col width="16" customWidth="1" style="308" min="16" max="16"/>
  </cols>
  <sheetData>
    <row r="1">
      <c r="B1" s="369" t="inlineStr">
        <is>
          <t>■ KLI 보유 주유소 매각 입찰공고 반영 (공고일 2026.10.14)</t>
        </is>
      </c>
    </row>
    <row r="2">
      <c r="B2" s="370" t="inlineStr">
        <is>
          <t>출처: (주)코람코라이프인프라위탁관리부동산투자회사 「입찰 공고문 — 보유 자산 매각」(2026.10.14). 금액·면적은 2026(예정) 시트 값을 수식으로 참조함.</t>
        </is>
      </c>
    </row>
    <row r="4">
      <c r="B4" s="371" t="inlineStr">
        <is>
          <t>1. 매각 개요</t>
        </is>
      </c>
    </row>
    <row r="5" ht="18" customHeight="1" s="308">
      <c r="B5" s="372" t="inlineStr">
        <is>
          <t>매도자</t>
        </is>
      </c>
      <c r="C5" s="373" t="inlineStr">
        <is>
          <t>(주)코람코라이프인프라위탁관리부동산투자회사</t>
        </is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  <c r="M5" s="374" t="n"/>
      <c r="N5" s="374" t="n"/>
      <c r="O5" s="374" t="n"/>
    </row>
    <row r="6" ht="18" customHeight="1" s="308">
      <c r="B6" s="372" t="inlineStr">
        <is>
          <t>매각 방식</t>
        </is>
      </c>
      <c r="C6" s="373" t="inlineStr">
        <is>
          <t>경쟁입찰(매수의향서 LOI 제출), 개별 매각 19개 자산. 유찰 시 수의계약 전환 가능</t>
        </is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  <c r="M6" s="374" t="n"/>
      <c r="N6" s="374" t="n"/>
      <c r="O6" s="374" t="n"/>
    </row>
    <row r="7" ht="30" customHeight="1" s="308">
      <c r="B7" s="372" t="inlineStr">
        <is>
          <t>예상 일정</t>
        </is>
      </c>
      <c r="C7" s="373" t="inlineStr">
        <is>
          <t>입찰공고 2026.10.14(수) → 입찰마감 2026.11.19(목) → 우선협상대상자 선정 2026.11월 중 → 매매계약 체결 2026.12월 말 → 소유권이전 2027.01월 이후 (매도자 사정에 따라 변경 가능)</t>
        </is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  <c r="M7" s="374" t="n"/>
      <c r="N7" s="374" t="n"/>
      <c r="O7" s="374" t="n"/>
    </row>
    <row r="8" ht="30" customHeight="1" s="308">
      <c r="B8" s="372" t="inlineStr">
        <is>
          <t>LOI 제출</t>
        </is>
      </c>
      <c r="C8" s="373" t="inlineStr">
        <is>
          <t>방문: 2026.11.19(목) 13:00~16:00, 코람코자산신탁 본사 8층 회의실 / 우편: 2026.11.19(목) 18:00 이전 도착분</t>
        </is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  <c r="M8" s="374" t="n"/>
      <c r="N8" s="374" t="n"/>
      <c r="O8" s="374" t="n"/>
    </row>
    <row r="9" ht="18" customHeight="1" s="308">
      <c r="B9" s="372" t="inlineStr">
        <is>
          <t>LOI 기재사항</t>
        </is>
      </c>
      <c r="C9" s="373" t="inlineStr">
        <is>
          <t>입찰참여자 정보, 희망 매수금액(건물분 VAT 별도), 자금조달계획(증빙), 매입 후 사용계획, 기타 매매조건·지급방법·일정</t>
        </is>
      </c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  <c r="M9" s="374" t="n"/>
      <c r="N9" s="374" t="n"/>
      <c r="O9" s="374" t="n"/>
    </row>
    <row r="10" ht="30" customHeight="1" s="308">
      <c r="B10" s="372" t="inlineStr">
        <is>
          <t>입찰보증금</t>
        </is>
      </c>
      <c r="C10" s="373" t="inlineStr">
        <is>
          <t>건당 1억원(100,000,000원), 하나은행 183-910051-83204(예금주 KLI). 이행(입찰)보증보험(보증기간 최소 10개월)으로 대체 가능. 미납 시 LOI 무효, 우협 선정 후 계약 미체결·해제 시 미반환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  <c r="M10" s="374" t="n"/>
      <c r="N10" s="374" t="n"/>
      <c r="O10" s="374" t="n"/>
    </row>
    <row r="11" ht="18" customHeight="1" s="308">
      <c r="B11" s="372" t="inlineStr">
        <is>
          <t>계약금 등</t>
        </is>
      </c>
      <c r="C11" s="373" t="inlineStr">
        <is>
          <t>매매계약 시 매매금액의 10% 계약금. MOU 체결 시 매매금액의 5% 이행보증금(우협 입찰보증금은 이행보증금에 충당)</t>
        </is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  <c r="M11" s="374" t="n"/>
      <c r="N11" s="374" t="n"/>
      <c r="O11" s="374" t="n"/>
    </row>
    <row r="12" ht="30" customHeight="1" s="308">
      <c r="B12" s="372" t="inlineStr">
        <is>
          <t>특약</t>
        </is>
      </c>
      <c r="C12" s="373" t="inlineStr">
        <is>
          <t>매매계약 체결과 동시에 임차인 에이치디현대오일뱅크㈜와 「토양오염검사 및 그 후속조치에 관한 합의서」 체결. 토지거래허가구역 소재 자산은 허가 후 계약</t>
        </is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  <c r="M12" s="374" t="n"/>
      <c r="N12" s="374" t="n"/>
      <c r="O12" s="374" t="n"/>
    </row>
    <row r="13" ht="30" customHeight="1" s="308">
      <c r="B13" s="372" t="inlineStr">
        <is>
          <t>매각주관사</t>
        </is>
      </c>
      <c r="C13" s="373" t="inlineStr">
        <is>
          <t>세빌스코리아(신규원 차장 010-7231-8291), (주)부동산플래닛(김재희 이사 010-5500-8779), 쿠시먼앤드웨이크필드코리아(정예원 차장 010-8695-6466) — CA·개인정보동의서는 3개사 중 택1 제출</t>
        </is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  <c r="M13" s="374" t="n"/>
      <c r="N13" s="374" t="n"/>
      <c r="O13" s="374" t="n"/>
    </row>
    <row r="15">
      <c r="B15" s="371" t="inlineStr">
        <is>
          <t>2. 입찰공고 대상 자산 (19개) ↔ 2026(예정) 시트 대조</t>
        </is>
      </c>
    </row>
    <row r="16" ht="30" customHeight="1" s="308">
      <c r="B16" s="372" t="inlineStr">
        <is>
          <t>공고
No.</t>
        </is>
      </c>
      <c r="C16" s="372" t="inlineStr">
        <is>
          <t>공고 자산명</t>
        </is>
      </c>
      <c r="D16" s="372" t="inlineStr">
        <is>
          <t>시트 주유소명</t>
        </is>
      </c>
      <c r="E16" s="372" t="inlineStr">
        <is>
          <t>시트
NO</t>
        </is>
      </c>
      <c r="F16" s="372" t="inlineStr">
        <is>
          <t>지역</t>
        </is>
      </c>
      <c r="G16" s="372" t="inlineStr">
        <is>
          <t>공고 상세주소(지번)</t>
        </is>
      </c>
      <c r="H16" s="372" t="inlineStr">
        <is>
          <t>공고
대지면적(㎡)</t>
        </is>
      </c>
      <c r="I16" s="372" t="inlineStr">
        <is>
          <t>공고
대지면적(평)</t>
        </is>
      </c>
      <c r="J16" s="372" t="inlineStr">
        <is>
          <t>시트
대지면적(㎡)</t>
        </is>
      </c>
      <c r="K16" s="372" t="inlineStr">
        <is>
          <t>면적 차이
(㎡)</t>
        </is>
      </c>
      <c r="L16" s="372" t="inlineStr">
        <is>
          <t>보증금</t>
        </is>
      </c>
      <c r="M16" s="372" t="inlineStr">
        <is>
          <t>장부가(계)</t>
        </is>
      </c>
      <c r="N16" s="372" t="inlineStr">
        <is>
          <t>감정평가(담보)</t>
        </is>
      </c>
      <c r="O16" s="372" t="inlineStr">
        <is>
          <t>상환비율</t>
        </is>
      </c>
      <c r="P16" s="372" t="inlineStr">
        <is>
          <t>회수 원본</t>
        </is>
      </c>
    </row>
    <row r="17">
      <c r="B17" s="375" t="n">
        <v>1</v>
      </c>
      <c r="C17" s="375" t="inlineStr">
        <is>
          <t>공단1</t>
        </is>
      </c>
      <c r="D17" s="375" t="inlineStr">
        <is>
          <t>공단1</t>
        </is>
      </c>
      <c r="E17" s="375">
        <f>'2026(예정)'!B5</f>
        <v/>
      </c>
      <c r="F17" s="375">
        <f>'2026(예정)'!E5</f>
        <v/>
      </c>
      <c r="G17" s="373" t="inlineStr">
        <is>
          <t>인천광역시 남동구 남촌동 624</t>
        </is>
      </c>
      <c r="H17" s="376" t="n">
        <v>3302</v>
      </c>
      <c r="I17" s="376" t="n">
        <v>999</v>
      </c>
      <c r="J17" s="377">
        <f>'2026(예정)'!H5</f>
        <v/>
      </c>
      <c r="K17" s="378">
        <f>J17-H17</f>
        <v/>
      </c>
      <c r="L17" s="379">
        <f>'2026(예정)'!L5</f>
        <v/>
      </c>
      <c r="M17" s="379">
        <f>'2026(예정)'!U5</f>
        <v/>
      </c>
      <c r="N17" s="379">
        <f>'2026(예정)'!Y5</f>
        <v/>
      </c>
      <c r="O17" s="380">
        <f>'2026(예정)'!Z5</f>
        <v/>
      </c>
      <c r="P17" s="379">
        <f>'2026(예정)'!AA5</f>
        <v/>
      </c>
    </row>
    <row r="18">
      <c r="B18" s="375" t="n">
        <v>2</v>
      </c>
      <c r="C18" s="375" t="inlineStr">
        <is>
          <t>공단2</t>
        </is>
      </c>
      <c r="D18" s="375" t="inlineStr">
        <is>
          <t>공단2</t>
        </is>
      </c>
      <c r="E18" s="375">
        <f>'2026(예정)'!B6</f>
        <v/>
      </c>
      <c r="F18" s="375">
        <f>'2026(예정)'!E6</f>
        <v/>
      </c>
      <c r="G18" s="373" t="inlineStr">
        <is>
          <t>인천광역시 남동구 고잔동 673-10</t>
        </is>
      </c>
      <c r="H18" s="376" t="n">
        <v>3636</v>
      </c>
      <c r="I18" s="376" t="n">
        <v>1100</v>
      </c>
      <c r="J18" s="377">
        <f>'2026(예정)'!H6</f>
        <v/>
      </c>
      <c r="K18" s="378">
        <f>J18-H18</f>
        <v/>
      </c>
      <c r="L18" s="379">
        <f>'2026(예정)'!L6</f>
        <v/>
      </c>
      <c r="M18" s="379">
        <f>'2026(예정)'!U6</f>
        <v/>
      </c>
      <c r="N18" s="379">
        <f>'2026(예정)'!Y6</f>
        <v/>
      </c>
      <c r="O18" s="380">
        <f>'2026(예정)'!Z6</f>
        <v/>
      </c>
      <c r="P18" s="379">
        <f>'2026(예정)'!AA6</f>
        <v/>
      </c>
    </row>
    <row r="19">
      <c r="B19" s="375" t="n">
        <v>3</v>
      </c>
      <c r="C19" s="375" t="inlineStr">
        <is>
          <t>부평공단</t>
        </is>
      </c>
      <c r="D19" s="375" t="inlineStr">
        <is>
          <t>부평공단셀프</t>
        </is>
      </c>
      <c r="E19" s="375">
        <f>'2026(예정)'!B21</f>
        <v/>
      </c>
      <c r="F19" s="375">
        <f>'2026(예정)'!E21</f>
        <v/>
      </c>
      <c r="G19" s="373" t="inlineStr">
        <is>
          <t>인천광역시 부평구 갈산동 181-8</t>
        </is>
      </c>
      <c r="H19" s="376" t="n">
        <v>1827</v>
      </c>
      <c r="I19" s="376" t="n">
        <v>553</v>
      </c>
      <c r="J19" s="377">
        <f>'2026(예정)'!H21</f>
        <v/>
      </c>
      <c r="K19" s="378">
        <f>J19-H19</f>
        <v/>
      </c>
      <c r="L19" s="379">
        <f>'2026(예정)'!L21</f>
        <v/>
      </c>
      <c r="M19" s="379">
        <f>'2026(예정)'!U21</f>
        <v/>
      </c>
      <c r="N19" s="379">
        <f>'2026(예정)'!Y21</f>
        <v/>
      </c>
      <c r="O19" s="380">
        <f>'2026(예정)'!Z21</f>
        <v/>
      </c>
      <c r="P19" s="379">
        <f>'2026(예정)'!AA21</f>
        <v/>
      </c>
    </row>
    <row r="20">
      <c r="B20" s="375" t="n">
        <v>4</v>
      </c>
      <c r="C20" s="375" t="inlineStr">
        <is>
          <t>산곡셀프</t>
        </is>
      </c>
      <c r="D20" s="375" t="inlineStr">
        <is>
          <t>산곡셀프</t>
        </is>
      </c>
      <c r="E20" s="375">
        <f>'2026(예정)'!B9</f>
        <v/>
      </c>
      <c r="F20" s="375">
        <f>'2026(예정)'!E9</f>
        <v/>
      </c>
      <c r="G20" s="373" t="inlineStr">
        <is>
          <t>인천광역시 부평구 산곡동 411-16</t>
        </is>
      </c>
      <c r="H20" s="376" t="n">
        <v>1292</v>
      </c>
      <c r="I20" s="376" t="n">
        <v>391</v>
      </c>
      <c r="J20" s="377">
        <f>'2026(예정)'!H9</f>
        <v/>
      </c>
      <c r="K20" s="378">
        <f>J20-H20</f>
        <v/>
      </c>
      <c r="L20" s="379">
        <f>'2026(예정)'!L9</f>
        <v/>
      </c>
      <c r="M20" s="379">
        <f>'2026(예정)'!U9</f>
        <v/>
      </c>
      <c r="N20" s="379">
        <f>'2026(예정)'!Y9</f>
        <v/>
      </c>
      <c r="O20" s="380">
        <f>'2026(예정)'!Z9</f>
        <v/>
      </c>
      <c r="P20" s="379">
        <f>'2026(예정)'!AA9</f>
        <v/>
      </c>
    </row>
    <row r="21">
      <c r="B21" s="375" t="n">
        <v>5</v>
      </c>
      <c r="C21" s="375" t="inlineStr">
        <is>
          <t>둔전셀프</t>
        </is>
      </c>
      <c r="D21" s="375" t="inlineStr">
        <is>
          <t>둔전셀프</t>
        </is>
      </c>
      <c r="E21" s="375">
        <f>'2026(예정)'!B20</f>
        <v/>
      </c>
      <c r="F21" s="375">
        <f>'2026(예정)'!E20</f>
        <v/>
      </c>
      <c r="G21" s="373" t="inlineStr">
        <is>
          <t>경기도 용인시 처인구 둔전리 52-1, 11, 15, 18, 19</t>
        </is>
      </c>
      <c r="H21" s="376" t="n">
        <v>1304</v>
      </c>
      <c r="I21" s="376" t="n">
        <v>394</v>
      </c>
      <c r="J21" s="377">
        <f>'2026(예정)'!H20</f>
        <v/>
      </c>
      <c r="K21" s="378">
        <f>J21-H21</f>
        <v/>
      </c>
      <c r="L21" s="379">
        <f>'2026(예정)'!L20</f>
        <v/>
      </c>
      <c r="M21" s="379">
        <f>'2026(예정)'!U20</f>
        <v/>
      </c>
      <c r="N21" s="379">
        <f>'2026(예정)'!Y20</f>
        <v/>
      </c>
      <c r="O21" s="380">
        <f>'2026(예정)'!Z20</f>
        <v/>
      </c>
      <c r="P21" s="379">
        <f>'2026(예정)'!AA20</f>
        <v/>
      </c>
    </row>
    <row r="22">
      <c r="B22" s="375" t="n">
        <v>6</v>
      </c>
      <c r="C22" s="375" t="inlineStr">
        <is>
          <t>프리미엄셀프</t>
        </is>
      </c>
      <c r="D22" s="375" t="inlineStr">
        <is>
          <t>프리미엄셀프</t>
        </is>
      </c>
      <c r="E22" s="375">
        <f>'2026(예정)'!B7</f>
        <v/>
      </c>
      <c r="F22" s="375">
        <f>'2026(예정)'!E7</f>
        <v/>
      </c>
      <c r="G22" s="373" t="inlineStr">
        <is>
          <t>경기도 화성시 동탄구 석우동 3-6</t>
        </is>
      </c>
      <c r="H22" s="376" t="n">
        <v>1676</v>
      </c>
      <c r="I22" s="376" t="n">
        <v>507</v>
      </c>
      <c r="J22" s="377">
        <f>'2026(예정)'!H7</f>
        <v/>
      </c>
      <c r="K22" s="378">
        <f>J22-H22</f>
        <v/>
      </c>
      <c r="L22" s="379">
        <f>'2026(예정)'!L7</f>
        <v/>
      </c>
      <c r="M22" s="379">
        <f>'2026(예정)'!U7</f>
        <v/>
      </c>
      <c r="N22" s="379">
        <f>'2026(예정)'!Y7</f>
        <v/>
      </c>
      <c r="O22" s="380">
        <f>'2026(예정)'!Z7</f>
        <v/>
      </c>
      <c r="P22" s="379">
        <f>'2026(예정)'!AA7</f>
        <v/>
      </c>
    </row>
    <row r="23">
      <c r="B23" s="375" t="n">
        <v>7</v>
      </c>
      <c r="C23" s="375" t="inlineStr">
        <is>
          <t>송탄제일</t>
        </is>
      </c>
      <c r="D23" s="375" t="inlineStr">
        <is>
          <t>송탄제일셀프</t>
        </is>
      </c>
      <c r="E23" s="375">
        <f>'2026(예정)'!B8</f>
        <v/>
      </c>
      <c r="F23" s="375">
        <f>'2026(예정)'!E8</f>
        <v/>
      </c>
      <c r="G23" s="373" t="inlineStr">
        <is>
          <t>경기도 평택시 장당동 477-2, 4, 6</t>
        </is>
      </c>
      <c r="H23" s="376" t="n">
        <v>1173</v>
      </c>
      <c r="I23" s="376" t="n">
        <v>355</v>
      </c>
      <c r="J23" s="377">
        <f>'2026(예정)'!H8</f>
        <v/>
      </c>
      <c r="K23" s="378">
        <f>J23-H23</f>
        <v/>
      </c>
      <c r="L23" s="379">
        <f>'2026(예정)'!L8</f>
        <v/>
      </c>
      <c r="M23" s="379">
        <f>'2026(예정)'!U8</f>
        <v/>
      </c>
      <c r="N23" s="379">
        <f>'2026(예정)'!Y8</f>
        <v/>
      </c>
      <c r="O23" s="380">
        <f>'2026(예정)'!Z8</f>
        <v/>
      </c>
      <c r="P23" s="379">
        <f>'2026(예정)'!AA8</f>
        <v/>
      </c>
    </row>
    <row r="24">
      <c r="B24" s="375" t="n">
        <v>8</v>
      </c>
      <c r="C24" s="375" t="inlineStr">
        <is>
          <t>새광주</t>
        </is>
      </c>
      <c r="D24" s="375" t="inlineStr">
        <is>
          <t>새광주셀프</t>
        </is>
      </c>
      <c r="E24" s="375">
        <f>'2026(예정)'!B18</f>
        <v/>
      </c>
      <c r="F24" s="375">
        <f>'2026(예정)'!E18</f>
        <v/>
      </c>
      <c r="G24" s="373" t="inlineStr">
        <is>
          <t>경기도 광주시 쌍령동 113-8</t>
        </is>
      </c>
      <c r="H24" s="376" t="n">
        <v>1442</v>
      </c>
      <c r="I24" s="376" t="n">
        <v>436</v>
      </c>
      <c r="J24" s="377">
        <f>'2026(예정)'!H18</f>
        <v/>
      </c>
      <c r="K24" s="378">
        <f>J24-H24</f>
        <v/>
      </c>
      <c r="L24" s="379">
        <f>'2026(예정)'!L18</f>
        <v/>
      </c>
      <c r="M24" s="379">
        <f>'2026(예정)'!U18</f>
        <v/>
      </c>
      <c r="N24" s="379">
        <f>'2026(예정)'!Y18</f>
        <v/>
      </c>
      <c r="O24" s="380">
        <f>'2026(예정)'!Z18</f>
        <v/>
      </c>
      <c r="P24" s="379">
        <f>'2026(예정)'!AA18</f>
        <v/>
      </c>
    </row>
    <row r="25">
      <c r="B25" s="375" t="n">
        <v>9</v>
      </c>
      <c r="C25" s="375" t="inlineStr">
        <is>
          <t>노은</t>
        </is>
      </c>
      <c r="D25" s="375" t="inlineStr">
        <is>
          <t>노은</t>
        </is>
      </c>
      <c r="E25" s="375">
        <f>'2026(예정)'!B26</f>
        <v/>
      </c>
      <c r="F25" s="375">
        <f>'2026(예정)'!E26</f>
        <v/>
      </c>
      <c r="G25" s="373" t="inlineStr">
        <is>
          <t>대전광역시 유성구 노은동 534-11, 12</t>
        </is>
      </c>
      <c r="H25" s="376" t="n">
        <v>1323</v>
      </c>
      <c r="I25" s="376" t="n">
        <v>400</v>
      </c>
      <c r="J25" s="377">
        <f>'2026(예정)'!H26</f>
        <v/>
      </c>
      <c r="K25" s="378">
        <f>J25-H25</f>
        <v/>
      </c>
      <c r="L25" s="379">
        <f>'2026(예정)'!L26</f>
        <v/>
      </c>
      <c r="M25" s="379">
        <f>'2026(예정)'!U26</f>
        <v/>
      </c>
      <c r="N25" s="379">
        <f>'2026(예정)'!Y26</f>
        <v/>
      </c>
      <c r="O25" s="380">
        <f>'2026(예정)'!Z26</f>
        <v/>
      </c>
      <c r="P25" s="379">
        <f>'2026(예정)'!AA26</f>
        <v/>
      </c>
    </row>
    <row r="26">
      <c r="B26" s="375" t="n">
        <v>10</v>
      </c>
      <c r="C26" s="375" t="inlineStr">
        <is>
          <t>제천대로</t>
        </is>
      </c>
      <c r="D26" s="375" t="inlineStr">
        <is>
          <t>제천대로셀프</t>
        </is>
      </c>
      <c r="E26" s="375">
        <f>'2026(예정)'!B19</f>
        <v/>
      </c>
      <c r="F26" s="375">
        <f>'2026(예정)'!E19</f>
        <v/>
      </c>
      <c r="G26" s="373" t="inlineStr">
        <is>
          <t>충청북도 제천시 청전동 125-12</t>
        </is>
      </c>
      <c r="H26" s="376" t="n">
        <v>1383</v>
      </c>
      <c r="I26" s="376" t="n">
        <v>418</v>
      </c>
      <c r="J26" s="377">
        <f>'2026(예정)'!H19</f>
        <v/>
      </c>
      <c r="K26" s="378">
        <f>J26-H26</f>
        <v/>
      </c>
      <c r="L26" s="379">
        <f>'2026(예정)'!L19</f>
        <v/>
      </c>
      <c r="M26" s="379">
        <f>'2026(예정)'!U19</f>
        <v/>
      </c>
      <c r="N26" s="379">
        <f>'2026(예정)'!Y19</f>
        <v/>
      </c>
      <c r="O26" s="380">
        <f>'2026(예정)'!Z19</f>
        <v/>
      </c>
      <c r="P26" s="379">
        <f>'2026(예정)'!AA19</f>
        <v/>
      </c>
    </row>
    <row r="27">
      <c r="B27" s="375" t="n">
        <v>11</v>
      </c>
      <c r="C27" s="375" t="inlineStr">
        <is>
          <t>조양</t>
        </is>
      </c>
      <c r="D27" s="375" t="inlineStr">
        <is>
          <t>조양</t>
        </is>
      </c>
      <c r="E27" s="375">
        <f>'2026(예정)'!B13</f>
        <v/>
      </c>
      <c r="F27" s="375">
        <f>'2026(예정)'!E13</f>
        <v/>
      </c>
      <c r="G27" s="373" t="inlineStr">
        <is>
          <t>충청북도 제천시 천남동 30-3, 4, 5, 9, 16, 9-12</t>
        </is>
      </c>
      <c r="H27" s="376" t="n">
        <v>4886</v>
      </c>
      <c r="I27" s="376" t="n">
        <v>1478</v>
      </c>
      <c r="J27" s="377">
        <f>'2026(예정)'!H13</f>
        <v/>
      </c>
      <c r="K27" s="378">
        <f>J27-H27</f>
        <v/>
      </c>
      <c r="L27" s="379">
        <f>'2026(예정)'!L13</f>
        <v/>
      </c>
      <c r="M27" s="379">
        <f>'2026(예정)'!U13</f>
        <v/>
      </c>
      <c r="N27" s="379">
        <f>'2026(예정)'!Y13</f>
        <v/>
      </c>
      <c r="O27" s="380">
        <f>'2026(예정)'!Z13</f>
        <v/>
      </c>
      <c r="P27" s="379">
        <f>'2026(예정)'!AA13</f>
        <v/>
      </c>
    </row>
    <row r="28">
      <c r="B28" s="375" t="n">
        <v>12</v>
      </c>
      <c r="C28" s="375" t="inlineStr">
        <is>
          <t>교대셀프</t>
        </is>
      </c>
      <c r="D28" s="375" t="inlineStr">
        <is>
          <t>교대셀프</t>
        </is>
      </c>
      <c r="E28" s="375">
        <f>'2026(예정)'!B23</f>
        <v/>
      </c>
      <c r="F28" s="375">
        <f>'2026(예정)'!E23</f>
        <v/>
      </c>
      <c r="G28" s="373" t="inlineStr">
        <is>
          <t>충청북도 청주시 분평동 246-3, 33</t>
        </is>
      </c>
      <c r="H28" s="376" t="n">
        <v>3164</v>
      </c>
      <c r="I28" s="376" t="n">
        <v>957</v>
      </c>
      <c r="J28" s="377">
        <f>'2026(예정)'!H23</f>
        <v/>
      </c>
      <c r="K28" s="378">
        <f>J28-H28</f>
        <v/>
      </c>
      <c r="L28" s="379">
        <f>'2026(예정)'!L23</f>
        <v/>
      </c>
      <c r="M28" s="379">
        <f>'2026(예정)'!U23</f>
        <v/>
      </c>
      <c r="N28" s="379">
        <f>'2026(예정)'!Y23</f>
        <v/>
      </c>
      <c r="O28" s="380">
        <f>'2026(예정)'!Z23</f>
        <v/>
      </c>
      <c r="P28" s="379">
        <f>'2026(예정)'!AA23</f>
        <v/>
      </c>
    </row>
    <row r="29">
      <c r="B29" s="375" t="n">
        <v>13</v>
      </c>
      <c r="C29" s="375" t="inlineStr">
        <is>
          <t>남대구IC</t>
        </is>
      </c>
      <c r="D29" s="375" t="inlineStr">
        <is>
          <t>남대구IC셀프</t>
        </is>
      </c>
      <c r="E29" s="375">
        <f>'2026(예정)'!B24</f>
        <v/>
      </c>
      <c r="F29" s="375">
        <f>'2026(예정)'!E24</f>
        <v/>
      </c>
      <c r="G29" s="373" t="inlineStr">
        <is>
          <t>대구광역시 달서구 월성동 210, 210-6</t>
        </is>
      </c>
      <c r="H29" s="376" t="n">
        <v>2216</v>
      </c>
      <c r="I29" s="376" t="n">
        <v>670</v>
      </c>
      <c r="J29" s="377">
        <f>'2026(예정)'!H24</f>
        <v/>
      </c>
      <c r="K29" s="378">
        <f>J29-H29</f>
        <v/>
      </c>
      <c r="L29" s="379">
        <f>'2026(예정)'!L24</f>
        <v/>
      </c>
      <c r="M29" s="379">
        <f>'2026(예정)'!U24</f>
        <v/>
      </c>
      <c r="N29" s="379">
        <f>'2026(예정)'!Y24</f>
        <v/>
      </c>
      <c r="O29" s="380">
        <f>'2026(예정)'!Z24</f>
        <v/>
      </c>
      <c r="P29" s="379">
        <f>'2026(예정)'!AA24</f>
        <v/>
      </c>
    </row>
    <row r="30">
      <c r="B30" s="375" t="n">
        <v>14</v>
      </c>
      <c r="C30" s="375" t="inlineStr">
        <is>
          <t>경대셀프</t>
        </is>
      </c>
      <c r="D30" s="375" t="inlineStr">
        <is>
          <t>경대셀프</t>
        </is>
      </c>
      <c r="E30" s="375">
        <f>'2026(예정)'!B22</f>
        <v/>
      </c>
      <c r="F30" s="375">
        <f>'2026(예정)'!E22</f>
        <v/>
      </c>
      <c r="G30" s="373" t="inlineStr">
        <is>
          <t>대구광역시 북구 침산동 13-49, 50, 109, 117</t>
        </is>
      </c>
      <c r="H30" s="376" t="n">
        <v>1460</v>
      </c>
      <c r="I30" s="376" t="n">
        <v>442</v>
      </c>
      <c r="J30" s="377">
        <f>'2026(예정)'!H22</f>
        <v/>
      </c>
      <c r="K30" s="378">
        <f>J30-H30</f>
        <v/>
      </c>
      <c r="L30" s="379">
        <f>'2026(예정)'!L22</f>
        <v/>
      </c>
      <c r="M30" s="379">
        <f>'2026(예정)'!U22</f>
        <v/>
      </c>
      <c r="N30" s="379">
        <f>'2026(예정)'!Y22</f>
        <v/>
      </c>
      <c r="O30" s="380">
        <f>'2026(예정)'!Z22</f>
        <v/>
      </c>
      <c r="P30" s="379">
        <f>'2026(예정)'!AA22</f>
        <v/>
      </c>
    </row>
    <row r="31">
      <c r="B31" s="375" t="n">
        <v>15</v>
      </c>
      <c r="C31" s="375" t="inlineStr">
        <is>
          <t>새화랑</t>
        </is>
      </c>
      <c r="D31" s="375" t="inlineStr">
        <is>
          <t>새화랑</t>
        </is>
      </c>
      <c r="E31" s="375">
        <f>'2026(예정)'!B25</f>
        <v/>
      </c>
      <c r="F31" s="375">
        <f>'2026(예정)'!E25</f>
        <v/>
      </c>
      <c r="G31" s="373" t="inlineStr">
        <is>
          <t>경상북도 경주시 동천동 936</t>
        </is>
      </c>
      <c r="H31" s="376" t="n">
        <v>2391</v>
      </c>
      <c r="I31" s="376" t="n">
        <v>723</v>
      </c>
      <c r="J31" s="377">
        <f>'2026(예정)'!H25</f>
        <v/>
      </c>
      <c r="K31" s="378">
        <f>J31-H31</f>
        <v/>
      </c>
      <c r="L31" s="379">
        <f>'2026(예정)'!L25</f>
        <v/>
      </c>
      <c r="M31" s="379">
        <f>'2026(예정)'!U25</f>
        <v/>
      </c>
      <c r="N31" s="379">
        <f>'2026(예정)'!Y25</f>
        <v/>
      </c>
      <c r="O31" s="380">
        <f>'2026(예정)'!Z25</f>
        <v/>
      </c>
      <c r="P31" s="379">
        <f>'2026(예정)'!AA25</f>
        <v/>
      </c>
    </row>
    <row r="32">
      <c r="B32" s="375" t="n">
        <v>16</v>
      </c>
      <c r="C32" s="375" t="inlineStr">
        <is>
          <t>열린</t>
        </is>
      </c>
      <c r="D32" s="375" t="inlineStr">
        <is>
          <t>열린</t>
        </is>
      </c>
      <c r="E32" s="375">
        <f>'2026(예정)'!B28</f>
        <v/>
      </c>
      <c r="F32" s="375">
        <f>'2026(예정)'!E28</f>
        <v/>
      </c>
      <c r="G32" s="373" t="inlineStr">
        <is>
          <t>경상북도 포항시 남구 연일읍 생지리 379-1, 5, 6, 8</t>
        </is>
      </c>
      <c r="H32" s="376" t="n">
        <v>2141</v>
      </c>
      <c r="I32" s="376" t="n">
        <v>648</v>
      </c>
      <c r="J32" s="377">
        <f>'2026(예정)'!H28</f>
        <v/>
      </c>
      <c r="K32" s="378">
        <f>J32-H32</f>
        <v/>
      </c>
      <c r="L32" s="379">
        <f>'2026(예정)'!L28</f>
        <v/>
      </c>
      <c r="M32" s="379">
        <f>'2026(예정)'!U28</f>
        <v/>
      </c>
      <c r="N32" s="379">
        <f>'2026(예정)'!Y28</f>
        <v/>
      </c>
      <c r="O32" s="380">
        <f>'2026(예정)'!Z28</f>
        <v/>
      </c>
      <c r="P32" s="379">
        <f>'2026(예정)'!AA28</f>
        <v/>
      </c>
    </row>
    <row r="33">
      <c r="B33" s="375" t="n">
        <v>17</v>
      </c>
      <c r="C33" s="375" t="inlineStr">
        <is>
          <t>양산대로</t>
        </is>
      </c>
      <c r="D33" s="375" t="inlineStr">
        <is>
          <t>양산대로</t>
        </is>
      </c>
      <c r="E33" s="375">
        <f>'2026(예정)'!B11</f>
        <v/>
      </c>
      <c r="F33" s="375">
        <f>'2026(예정)'!E11</f>
        <v/>
      </c>
      <c r="G33" s="373" t="inlineStr">
        <is>
          <t>경상남도 양산시 상북면 소토리 563</t>
        </is>
      </c>
      <c r="H33" s="376" t="n">
        <v>1850</v>
      </c>
      <c r="I33" s="376" t="n">
        <v>560</v>
      </c>
      <c r="J33" s="377">
        <f>'2026(예정)'!H11</f>
        <v/>
      </c>
      <c r="K33" s="378">
        <f>J33-H33</f>
        <v/>
      </c>
      <c r="L33" s="379">
        <f>'2026(예정)'!L11</f>
        <v/>
      </c>
      <c r="M33" s="379">
        <f>'2026(예정)'!U11</f>
        <v/>
      </c>
      <c r="N33" s="379">
        <f>'2026(예정)'!Y11</f>
        <v/>
      </c>
      <c r="O33" s="380">
        <f>'2026(예정)'!Z11</f>
        <v/>
      </c>
      <c r="P33" s="379">
        <f>'2026(예정)'!AA11</f>
        <v/>
      </c>
    </row>
    <row r="34">
      <c r="B34" s="375" t="n">
        <v>18</v>
      </c>
      <c r="C34" s="375" t="inlineStr">
        <is>
          <t>극동셀프</t>
        </is>
      </c>
      <c r="D34" s="375" t="inlineStr">
        <is>
          <t>극동셀프</t>
        </is>
      </c>
      <c r="E34" s="375">
        <f>'2026(예정)'!B12</f>
        <v/>
      </c>
      <c r="F34" s="375">
        <f>'2026(예정)'!E12</f>
        <v/>
      </c>
      <c r="G34" s="373" t="inlineStr">
        <is>
          <t>경상남도 창원시 마산회원구 석전동 270-32</t>
        </is>
      </c>
      <c r="H34" s="376" t="n">
        <v>2082</v>
      </c>
      <c r="I34" s="376" t="n">
        <v>630</v>
      </c>
      <c r="J34" s="377">
        <f>'2026(예정)'!H12</f>
        <v/>
      </c>
      <c r="K34" s="378">
        <f>J34-H34</f>
        <v/>
      </c>
      <c r="L34" s="379">
        <f>'2026(예정)'!L12</f>
        <v/>
      </c>
      <c r="M34" s="379">
        <f>'2026(예정)'!U12</f>
        <v/>
      </c>
      <c r="N34" s="379">
        <f>'2026(예정)'!Y12</f>
        <v/>
      </c>
      <c r="O34" s="380">
        <f>'2026(예정)'!Z12</f>
        <v/>
      </c>
      <c r="P34" s="379">
        <f>'2026(예정)'!AA12</f>
        <v/>
      </c>
    </row>
    <row r="35">
      <c r="B35" s="375" t="n">
        <v>19</v>
      </c>
      <c r="C35" s="375" t="inlineStr">
        <is>
          <t>밀양현대</t>
        </is>
      </c>
      <c r="D35" s="375" t="inlineStr">
        <is>
          <t>밀양현대</t>
        </is>
      </c>
      <c r="E35" s="375">
        <f>'2026(예정)'!B27</f>
        <v/>
      </c>
      <c r="F35" s="375">
        <f>'2026(예정)'!E27</f>
        <v/>
      </c>
      <c r="G35" s="373" t="inlineStr">
        <is>
          <t>경상남도 밀양시 삼문동 358-110</t>
        </is>
      </c>
      <c r="H35" s="376" t="n">
        <v>1497</v>
      </c>
      <c r="I35" s="376" t="n">
        <v>453</v>
      </c>
      <c r="J35" s="377">
        <f>'2026(예정)'!H27</f>
        <v/>
      </c>
      <c r="K35" s="378">
        <f>J35-H35</f>
        <v/>
      </c>
      <c r="L35" s="379">
        <f>'2026(예정)'!L27</f>
        <v/>
      </c>
      <c r="M35" s="379">
        <f>'2026(예정)'!U27</f>
        <v/>
      </c>
      <c r="N35" s="379">
        <f>'2026(예정)'!Y27</f>
        <v/>
      </c>
      <c r="O35" s="380">
        <f>'2026(예정)'!Z27</f>
        <v/>
      </c>
      <c r="P35" s="379">
        <f>'2026(예정)'!AA27</f>
        <v/>
      </c>
    </row>
    <row r="36">
      <c r="B36" s="381" t="inlineStr">
        <is>
          <t>합계 (19개)</t>
        </is>
      </c>
      <c r="C36" s="382" t="n"/>
      <c r="D36" s="382" t="n"/>
      <c r="E36" s="382" t="n"/>
      <c r="F36" s="382" t="n"/>
      <c r="G36" s="382" t="n"/>
      <c r="H36" s="383">
        <f>SUM(H17:H35)</f>
        <v/>
      </c>
      <c r="I36" s="383">
        <f>SUM(I17:I35)</f>
        <v/>
      </c>
      <c r="J36" s="384">
        <f>SUM(J17:J35)</f>
        <v/>
      </c>
      <c r="K36" s="385">
        <f>SUM(K17:K35)</f>
        <v/>
      </c>
      <c r="L36" s="386">
        <f>SUM(L17:L35)</f>
        <v/>
      </c>
      <c r="M36" s="386">
        <f>SUM(M17:M35)</f>
        <v/>
      </c>
      <c r="N36" s="386">
        <f>SUM(N17:N35)</f>
        <v/>
      </c>
      <c r="O36" s="381" t="inlineStr"/>
      <c r="P36" s="386">
        <f>SUM(P17:P35)</f>
        <v/>
      </c>
    </row>
    <row r="38">
      <c r="B38" s="371" t="inlineStr">
        <is>
          <t>3. 2026(예정) '신규' 중 이번 공고에 미포함된 자산</t>
        </is>
      </c>
    </row>
    <row r="39" ht="30" customHeight="1" s="308">
      <c r="B39" s="372" t="inlineStr">
        <is>
          <t>시트
NO</t>
        </is>
      </c>
      <c r="C39" s="372" t="inlineStr">
        <is>
          <t>지역</t>
        </is>
      </c>
      <c r="D39" s="372" t="inlineStr">
        <is>
          <t>시트 주유소명</t>
        </is>
      </c>
      <c r="E39" s="372" t="inlineStr">
        <is>
          <t>상세주소</t>
        </is>
      </c>
      <c r="F39" s="387" t="n"/>
      <c r="G39" s="387" t="n"/>
      <c r="H39" s="387" t="n"/>
      <c r="I39" s="387" t="n"/>
      <c r="J39" s="387" t="n"/>
      <c r="K39" s="387" t="n"/>
      <c r="L39" s="372" t="inlineStr">
        <is>
          <t>보증금</t>
        </is>
      </c>
      <c r="M39" s="372" t="inlineStr">
        <is>
          <t>장부가(계)</t>
        </is>
      </c>
      <c r="N39" s="372" t="inlineStr">
        <is>
          <t>감정평가(담보)</t>
        </is>
      </c>
      <c r="P39" s="372" t="inlineStr">
        <is>
          <t>회수 원본</t>
        </is>
      </c>
    </row>
    <row r="40">
      <c r="B40" s="375">
        <f>'2026(예정)'!B10</f>
        <v/>
      </c>
      <c r="C40" s="375">
        <f>'2026(예정)'!E10</f>
        <v/>
      </c>
      <c r="D40" s="375">
        <f>'2026(예정)'!F10</f>
        <v/>
      </c>
      <c r="E40" s="373">
        <f>'2026(예정)'!G10</f>
        <v/>
      </c>
      <c r="F40" s="374" t="n"/>
      <c r="G40" s="374" t="n"/>
      <c r="H40" s="374" t="n"/>
      <c r="I40" s="374" t="n"/>
      <c r="J40" s="374" t="n"/>
      <c r="K40" s="374" t="n"/>
      <c r="L40" s="379">
        <f>'2026(예정)'!L10</f>
        <v/>
      </c>
      <c r="M40" s="379">
        <f>'2026(예정)'!U10</f>
        <v/>
      </c>
      <c r="N40" s="379">
        <f>'2026(예정)'!Y10</f>
        <v/>
      </c>
      <c r="P40" s="379">
        <f>'2026(예정)'!AA10</f>
        <v/>
      </c>
    </row>
    <row r="41">
      <c r="B41" s="375">
        <f>'2026(예정)'!B14</f>
        <v/>
      </c>
      <c r="C41" s="375">
        <f>'2026(예정)'!E14</f>
        <v/>
      </c>
      <c r="D41" s="375">
        <f>'2026(예정)'!F14</f>
        <v/>
      </c>
      <c r="E41" s="373">
        <f>'2026(예정)'!G14</f>
        <v/>
      </c>
      <c r="F41" s="374" t="n"/>
      <c r="G41" s="374" t="n"/>
      <c r="H41" s="374" t="n"/>
      <c r="I41" s="374" t="n"/>
      <c r="J41" s="374" t="n"/>
      <c r="K41" s="374" t="n"/>
      <c r="L41" s="379">
        <f>'2026(예정)'!L14</f>
        <v/>
      </c>
      <c r="M41" s="379">
        <f>'2026(예정)'!U14</f>
        <v/>
      </c>
      <c r="N41" s="379">
        <f>'2026(예정)'!Y14</f>
        <v/>
      </c>
      <c r="P41" s="379">
        <f>'2026(예정)'!AA14</f>
        <v/>
      </c>
    </row>
    <row r="42">
      <c r="B42" s="375">
        <f>'2026(예정)'!B15</f>
        <v/>
      </c>
      <c r="C42" s="375">
        <f>'2026(예정)'!E15</f>
        <v/>
      </c>
      <c r="D42" s="375">
        <f>'2026(예정)'!F15</f>
        <v/>
      </c>
      <c r="E42" s="373">
        <f>'2026(예정)'!G15</f>
        <v/>
      </c>
      <c r="F42" s="374" t="n"/>
      <c r="G42" s="374" t="n"/>
      <c r="H42" s="374" t="n"/>
      <c r="I42" s="374" t="n"/>
      <c r="J42" s="374" t="n"/>
      <c r="K42" s="374" t="n"/>
      <c r="L42" s="379">
        <f>'2026(예정)'!L15</f>
        <v/>
      </c>
      <c r="M42" s="379">
        <f>'2026(예정)'!U15</f>
        <v/>
      </c>
      <c r="N42" s="379">
        <f>'2026(예정)'!Y15</f>
        <v/>
      </c>
      <c r="P42" s="379">
        <f>'2026(예정)'!AA15</f>
        <v/>
      </c>
    </row>
    <row r="43">
      <c r="B43" s="375">
        <f>'2026(예정)'!B16</f>
        <v/>
      </c>
      <c r="C43" s="375">
        <f>'2026(예정)'!E16</f>
        <v/>
      </c>
      <c r="D43" s="375">
        <f>'2026(예정)'!F16</f>
        <v/>
      </c>
      <c r="E43" s="373">
        <f>'2026(예정)'!G16</f>
        <v/>
      </c>
      <c r="F43" s="374" t="n"/>
      <c r="G43" s="374" t="n"/>
      <c r="H43" s="374" t="n"/>
      <c r="I43" s="374" t="n"/>
      <c r="J43" s="374" t="n"/>
      <c r="K43" s="374" t="n"/>
      <c r="L43" s="379">
        <f>'2026(예정)'!L16</f>
        <v/>
      </c>
      <c r="M43" s="379">
        <f>'2026(예정)'!U16</f>
        <v/>
      </c>
      <c r="N43" s="379">
        <f>'2026(예정)'!Y16</f>
        <v/>
      </c>
      <c r="P43" s="379">
        <f>'2026(예정)'!AA16</f>
        <v/>
      </c>
    </row>
    <row r="44">
      <c r="B44" s="375">
        <f>'2026(예정)'!B17</f>
        <v/>
      </c>
      <c r="C44" s="375">
        <f>'2026(예정)'!E17</f>
        <v/>
      </c>
      <c r="D44" s="375">
        <f>'2026(예정)'!F17</f>
        <v/>
      </c>
      <c r="E44" s="373">
        <f>'2026(예정)'!G17</f>
        <v/>
      </c>
      <c r="F44" s="374" t="n"/>
      <c r="G44" s="374" t="n"/>
      <c r="H44" s="374" t="n"/>
      <c r="I44" s="374" t="n"/>
      <c r="J44" s="374" t="n"/>
      <c r="K44" s="374" t="n"/>
      <c r="L44" s="379">
        <f>'2026(예정)'!L17</f>
        <v/>
      </c>
      <c r="M44" s="379">
        <f>'2026(예정)'!U17</f>
        <v/>
      </c>
      <c r="N44" s="379">
        <f>'2026(예정)'!Y17</f>
        <v/>
      </c>
      <c r="P44" s="379">
        <f>'2026(예정)'!AA17</f>
        <v/>
      </c>
    </row>
    <row r="45">
      <c r="B45" s="381" t="inlineStr">
        <is>
          <t>합계 (5개)</t>
        </is>
      </c>
      <c r="C45" s="382" t="n"/>
      <c r="D45" s="382" t="n"/>
      <c r="E45" s="382" t="n"/>
      <c r="F45" s="382" t="n"/>
      <c r="G45" s="382" t="n"/>
      <c r="H45" s="382" t="n"/>
      <c r="I45" s="382" t="n"/>
      <c r="J45" s="382" t="n"/>
      <c r="K45" s="382" t="n"/>
      <c r="L45" s="386">
        <f>SUM(L40:L44)</f>
        <v/>
      </c>
      <c r="M45" s="386">
        <f>SUM(M40:M44)</f>
        <v/>
      </c>
      <c r="N45" s="386">
        <f>SUM(N40:N44)</f>
        <v/>
      </c>
      <c r="P45" s="386">
        <f>SUM(P40:P44)</f>
        <v/>
      </c>
    </row>
    <row r="47">
      <c r="B47" s="370" t="inlineStr">
        <is>
          <t>※ '미매각' 18개 자산은 이번 공고 대상에 없음.</t>
        </is>
      </c>
    </row>
    <row r="48">
      <c r="B48" s="370" t="inlineStr">
        <is>
          <t>※ 공고 대지면적은 소수점 이하 반올림 표기. 시트 대지면적과의 차이는 모두 ±0.4㎡ 이내(반올림 차이).</t>
        </is>
      </c>
    </row>
    <row r="49">
      <c r="B49" s="370" t="inlineStr">
        <is>
          <t>※ 공고 주소는 지번, 시트 주소는 도로명 기준. 자산명 표기 차이: 부평공단↔부평공단셀프, 송탄제일↔송탄제일셀프, 새광주↔새광주셀프, 제천대로↔제천대로셀프, 남대구IC↔남대구IC셀프.</t>
        </is>
      </c>
    </row>
    <row r="50">
      <c r="B50" s="370" t="inlineStr">
        <is>
          <t>※ 회수 원본 = 장부가 − 보증금 − 감정평가(담보) × 상환비율 (2026(예정) 시트 AA열 산식). 실제 회수액은 낙찰가·정산에 따라 달라짐.</t>
        </is>
      </c>
    </row>
  </sheetData>
  <mergeCells count="17">
    <mergeCell ref="E41:K41"/>
    <mergeCell ref="B45:K45"/>
    <mergeCell ref="E39:K39"/>
    <mergeCell ref="C5:O5"/>
    <mergeCell ref="C13:O13"/>
    <mergeCell ref="C9:O9"/>
    <mergeCell ref="B36:G36"/>
    <mergeCell ref="E40:K40"/>
    <mergeCell ref="C8:O8"/>
    <mergeCell ref="E44:K44"/>
    <mergeCell ref="E43:K43"/>
    <mergeCell ref="C12:O12"/>
    <mergeCell ref="C7:O7"/>
    <mergeCell ref="E42:K42"/>
    <mergeCell ref="C11:O11"/>
    <mergeCell ref="C6:O6"/>
    <mergeCell ref="C10:O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93"/>
  <sheetViews>
    <sheetView workbookViewId="0">
      <selection activeCell="A1" sqref="A1"/>
    </sheetView>
  </sheetViews>
  <sheetFormatPr baseColWidth="8" defaultColWidth="9" defaultRowHeight="11.25"/>
  <cols>
    <col width="1.625" customWidth="1" style="1" min="1" max="1"/>
    <col width="3.75" bestFit="1" customWidth="1" style="1" min="2" max="2"/>
    <col width="5.25" customWidth="1" style="1" min="3" max="3"/>
    <col hidden="1" width="13.625" customWidth="1" style="1" min="4" max="4"/>
    <col width="11.125" bestFit="1" customWidth="1" style="1" min="5" max="5"/>
    <col width="9.75" customWidth="1" style="1" min="6" max="6"/>
    <col width="4.25" customWidth="1" style="1" min="7" max="7"/>
    <col width="33.125" customWidth="1" style="1" min="8" max="8"/>
    <col width="2.25" customWidth="1" style="1" min="9" max="10"/>
    <col hidden="1" width="14.625" customWidth="1" style="1" min="11" max="11"/>
    <col hidden="1" width="9" customWidth="1" style="1" min="12" max="12"/>
    <col hidden="1" width="13.625" customWidth="1" style="1" min="13" max="13"/>
    <col hidden="1" width="9" customWidth="1" style="1" min="14" max="14"/>
    <col hidden="1" width="13.625" customWidth="1" style="1" min="15" max="15"/>
    <col hidden="1" width="9" customWidth="1" style="1" min="16" max="16"/>
    <col hidden="1" width="11.75" customWidth="1" style="1" min="17" max="17"/>
    <col width="15.125" customWidth="1" style="1" min="18" max="18"/>
    <col width="2.25" customWidth="1" style="1" min="19" max="19"/>
    <col hidden="1" width="11.25" customWidth="1" style="1" min="20" max="20"/>
    <col hidden="1" width="10.75" customWidth="1" style="1" min="21" max="23"/>
    <col width="15.125" customWidth="1" style="1" min="24" max="24"/>
    <col width="9" customWidth="1" style="1" min="25" max="16384"/>
  </cols>
  <sheetData>
    <row r="1" ht="12" customHeight="1" s="308" thickBot="1"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</row>
    <row r="2" ht="16.5" customHeight="1" s="308">
      <c r="B2" s="388" t="inlineStr">
        <is>
          <t>NO</t>
        </is>
      </c>
      <c r="C2" s="389" t="inlineStr">
        <is>
          <t>SSM</t>
        </is>
      </c>
      <c r="D2" s="390" t="inlineStr">
        <is>
          <t>구 Name
(SKN 운영)</t>
        </is>
      </c>
      <c r="E2" s="390" t="inlineStr">
        <is>
          <t>신 Name
(HDO 운영)</t>
        </is>
      </c>
      <c r="F2" s="389" t="inlineStr">
        <is>
          <t>운영/개발</t>
        </is>
      </c>
      <c r="G2" s="389" t="inlineStr">
        <is>
          <t>지역</t>
        </is>
      </c>
      <c r="H2" s="391" t="inlineStr">
        <is>
          <t>주소</t>
        </is>
      </c>
      <c r="K2" s="392" t="inlineStr">
        <is>
          <t>부동산 장부가액 안분</t>
        </is>
      </c>
      <c r="L2" s="393" t="n"/>
      <c r="M2" s="393" t="n"/>
      <c r="N2" s="393" t="n"/>
      <c r="O2" s="393" t="n"/>
      <c r="P2" s="393" t="n"/>
      <c r="Q2" s="393" t="n"/>
      <c r="R2" s="394" t="n"/>
      <c r="T2" s="287" t="inlineStr">
        <is>
          <t>매매대금 배분</t>
        </is>
      </c>
      <c r="U2" s="393" t="n"/>
      <c r="V2" s="393" t="n"/>
      <c r="W2" s="393" t="n"/>
      <c r="X2" s="395" t="n"/>
    </row>
    <row r="3" ht="16.5" customHeight="1" s="308">
      <c r="B3" s="396" t="n"/>
      <c r="C3" s="397" t="n"/>
      <c r="D3" s="397" t="n"/>
      <c r="E3" s="397" t="n"/>
      <c r="F3" s="397" t="n"/>
      <c r="G3" s="397" t="n"/>
      <c r="H3" s="398" t="n"/>
      <c r="K3" s="13" t="inlineStr">
        <is>
          <t>토지</t>
        </is>
      </c>
      <c r="L3" s="399" t="n"/>
      <c r="M3" s="15" t="inlineStr">
        <is>
          <t>건물</t>
        </is>
      </c>
      <c r="N3" s="399" t="n"/>
      <c r="O3" s="15" t="inlineStr">
        <is>
          <t>구축물</t>
        </is>
      </c>
      <c r="P3" s="399" t="n"/>
      <c r="Q3" s="5" t="n"/>
      <c r="R3" s="6" t="inlineStr">
        <is>
          <t>매입장부가</t>
        </is>
      </c>
      <c r="T3" s="7" t="n"/>
      <c r="U3" s="8" t="n"/>
      <c r="V3" s="8" t="n"/>
      <c r="W3" s="3" t="n"/>
      <c r="X3" s="4" t="inlineStr">
        <is>
          <t>매입가</t>
        </is>
      </c>
    </row>
    <row r="4" ht="12" customHeight="1" s="308" thickBot="1">
      <c r="B4" s="400" t="n"/>
      <c r="C4" s="401" t="n"/>
      <c r="D4" s="401" t="n"/>
      <c r="E4" s="401" t="n"/>
      <c r="F4" s="401" t="n"/>
      <c r="G4" s="401" t="n"/>
      <c r="H4" s="402" t="n"/>
      <c r="K4" s="13" t="inlineStr">
        <is>
          <t>토지가액</t>
        </is>
      </c>
      <c r="L4" s="292" t="inlineStr">
        <is>
          <t>비율</t>
        </is>
      </c>
      <c r="M4" s="15" t="inlineStr">
        <is>
          <t>건물가액</t>
        </is>
      </c>
      <c r="N4" s="292" t="inlineStr">
        <is>
          <t>비율</t>
        </is>
      </c>
      <c r="O4" s="15" t="inlineStr">
        <is>
          <t>구축물가액</t>
        </is>
      </c>
      <c r="P4" s="292" t="inlineStr">
        <is>
          <t>비율</t>
        </is>
      </c>
      <c r="Q4" s="293" t="inlineStr">
        <is>
          <t>건물등 소계</t>
        </is>
      </c>
      <c r="R4" s="17" t="inlineStr">
        <is>
          <t>합계</t>
        </is>
      </c>
      <c r="T4" s="9" t="inlineStr">
        <is>
          <t>토지</t>
        </is>
      </c>
      <c r="U4" s="10" t="inlineStr">
        <is>
          <t>건물</t>
        </is>
      </c>
      <c r="V4" s="10" t="inlineStr">
        <is>
          <t>구축물 등</t>
        </is>
      </c>
      <c r="W4" s="11" t="inlineStr">
        <is>
          <t>건물등 소계</t>
        </is>
      </c>
      <c r="X4" s="12" t="inlineStr">
        <is>
          <t>합계</t>
        </is>
      </c>
    </row>
    <row r="5" ht="11.25" customHeight="1" s="308">
      <c r="B5" s="18" t="n">
        <v>1</v>
      </c>
      <c r="C5" s="19" t="n">
        <v>10427</v>
      </c>
      <c r="D5" s="20" t="inlineStr">
        <is>
          <t>고속</t>
        </is>
      </c>
      <c r="E5" s="21" t="inlineStr">
        <is>
          <t>고속셀프</t>
        </is>
      </c>
      <c r="F5" s="22" t="inlineStr">
        <is>
          <t>운영</t>
        </is>
      </c>
      <c r="G5" s="22" t="inlineStr">
        <is>
          <t>서울</t>
        </is>
      </c>
      <c r="H5" s="23" t="inlineStr">
        <is>
          <t>서울 강동구 둔촌동 600-1, 600</t>
        </is>
      </c>
      <c r="K5" s="403">
        <f>$K$192*L5</f>
        <v/>
      </c>
      <c r="L5" s="25" t="n">
        <v>0.01281140546432482</v>
      </c>
      <c r="M5" s="404">
        <f>$M$192*N5</f>
        <v/>
      </c>
      <c r="N5" s="27" t="n">
        <v>0.004924983570583466</v>
      </c>
      <c r="O5" s="404">
        <f>$O$192*P5</f>
        <v/>
      </c>
      <c r="P5" s="28" t="n">
        <v>0.007192262666598996</v>
      </c>
      <c r="Q5" s="405">
        <f>M5+O5</f>
        <v/>
      </c>
      <c r="R5" s="406">
        <f>K5+Q5</f>
        <v/>
      </c>
      <c r="T5" s="403" t="n">
        <v>11243000000</v>
      </c>
      <c r="U5" s="404" t="n">
        <v>224000000</v>
      </c>
      <c r="V5" s="404" t="n">
        <v>276000000</v>
      </c>
      <c r="W5" s="405">
        <f>SUM(U5:V5)</f>
        <v/>
      </c>
      <c r="X5" s="406">
        <f>SUM(T5,W5)</f>
        <v/>
      </c>
    </row>
    <row r="6" ht="11.25" customFormat="1" customHeight="1" s="37">
      <c r="B6" s="31" t="n">
        <v>2</v>
      </c>
      <c r="C6" s="32" t="n">
        <v>15067</v>
      </c>
      <c r="D6" s="33" t="inlineStr">
        <is>
          <t>명일</t>
        </is>
      </c>
      <c r="E6" s="34" t="inlineStr">
        <is>
          <t>명일셀프</t>
        </is>
      </c>
      <c r="F6" s="35" t="inlineStr">
        <is>
          <t>운영</t>
        </is>
      </c>
      <c r="G6" s="35" t="inlineStr">
        <is>
          <t>서울</t>
        </is>
      </c>
      <c r="H6" s="36" t="inlineStr">
        <is>
          <t>서울 강동구 명일동 305-51</t>
        </is>
      </c>
      <c r="K6" s="407">
        <f>$K$192*L6</f>
        <v/>
      </c>
      <c r="L6" s="39" t="n">
        <v>0.008846559182675125</v>
      </c>
      <c r="M6" s="408">
        <f>$M$192*N6</f>
        <v/>
      </c>
      <c r="N6" s="41" t="n">
        <v>0.01252209609728174</v>
      </c>
      <c r="O6" s="408">
        <f>$O$192*P6</f>
        <v/>
      </c>
      <c r="P6" s="42" t="n">
        <v>0.001449158526496579</v>
      </c>
      <c r="Q6" s="409">
        <f>M6+O6</f>
        <v/>
      </c>
      <c r="R6" s="410">
        <f>K6+Q6</f>
        <v/>
      </c>
      <c r="T6" s="403" t="n">
        <v>7763000000</v>
      </c>
      <c r="U6" s="404" t="n">
        <v>569000000</v>
      </c>
      <c r="V6" s="404" t="n">
        <v>56000000</v>
      </c>
      <c r="W6" s="405">
        <f>SUM(U6:V6)</f>
        <v/>
      </c>
      <c r="X6" s="406">
        <f>SUM(T6,W6)</f>
        <v/>
      </c>
    </row>
    <row r="7" ht="11.25" customHeight="1" s="308">
      <c r="B7" s="45" t="n">
        <v>3</v>
      </c>
      <c r="C7" s="46" t="n">
        <v>10092</v>
      </c>
      <c r="D7" s="80" t="inlineStr">
        <is>
          <t>해바라기(서울강서)</t>
        </is>
      </c>
      <c r="E7" s="81" t="inlineStr">
        <is>
          <t>강서제일셀프</t>
        </is>
      </c>
      <c r="F7" s="49" t="inlineStr">
        <is>
          <t>운영</t>
        </is>
      </c>
      <c r="G7" s="49" t="inlineStr">
        <is>
          <t>서울</t>
        </is>
      </c>
      <c r="H7" s="50" t="inlineStr">
        <is>
          <t>서울 강서구 화곡동 983-1</t>
        </is>
      </c>
      <c r="K7" s="403">
        <f>$K$192*L7</f>
        <v/>
      </c>
      <c r="L7" s="25" t="n">
        <v>0.008059908430532154</v>
      </c>
      <c r="M7" s="404">
        <f>$M$192*N7</f>
        <v/>
      </c>
      <c r="N7" s="27" t="n">
        <v>0.003368571266075214</v>
      </c>
      <c r="O7" s="404">
        <f>$O$192*P7</f>
        <v/>
      </c>
      <c r="P7" s="28" t="n">
        <v>0.002271853416722426</v>
      </c>
      <c r="Q7" s="405">
        <f>M7+O7</f>
        <v/>
      </c>
      <c r="R7" s="406">
        <f>K7+Q7</f>
        <v/>
      </c>
      <c r="T7" s="403" t="n">
        <v>7073000000</v>
      </c>
      <c r="U7" s="404" t="n">
        <v>153000000</v>
      </c>
      <c r="V7" s="404" t="n">
        <v>87000000</v>
      </c>
      <c r="W7" s="405">
        <f>SUM(U7:V7)</f>
        <v/>
      </c>
      <c r="X7" s="406">
        <f>SUM(T7,W7)</f>
        <v/>
      </c>
    </row>
    <row r="8" ht="11.25" customHeight="1" s="308">
      <c r="B8" s="45" t="n">
        <v>4</v>
      </c>
      <c r="C8" s="46" t="n">
        <v>10096</v>
      </c>
      <c r="D8" s="80" t="inlineStr">
        <is>
          <t>장호</t>
        </is>
      </c>
      <c r="E8" s="81" t="inlineStr">
        <is>
          <t>장호셀프</t>
        </is>
      </c>
      <c r="F8" s="49" t="inlineStr">
        <is>
          <t>운영</t>
        </is>
      </c>
      <c r="G8" s="49" t="inlineStr">
        <is>
          <t>서울</t>
        </is>
      </c>
      <c r="H8" s="50" t="inlineStr">
        <is>
          <t>서울 광진구 자양동 677-5</t>
        </is>
      </c>
      <c r="K8" s="403">
        <f>$K$192*L8</f>
        <v/>
      </c>
      <c r="L8" s="25" t="n">
        <v>0.01736467612110592</v>
      </c>
      <c r="M8" s="404">
        <f>$M$192*N8</f>
        <v/>
      </c>
      <c r="N8" s="27" t="n">
        <v>0.006663375307677879</v>
      </c>
      <c r="O8" s="404">
        <f>$O$192*P8</f>
        <v/>
      </c>
      <c r="P8" s="28" t="n">
        <v>0.003212884855894663</v>
      </c>
      <c r="Q8" s="405">
        <f>M8+O8</f>
        <v/>
      </c>
      <c r="R8" s="406">
        <f>K8+Q8</f>
        <v/>
      </c>
      <c r="T8" s="403" t="n">
        <v>15239000000</v>
      </c>
      <c r="U8" s="404" t="n">
        <v>303000000</v>
      </c>
      <c r="V8" s="404" t="n">
        <v>123000000</v>
      </c>
      <c r="W8" s="405">
        <f>SUM(U8:V8)</f>
        <v/>
      </c>
      <c r="X8" s="406">
        <f>SUM(T8,W8)</f>
        <v/>
      </c>
    </row>
    <row r="9" ht="11.25" customHeight="1" s="308">
      <c r="B9" s="45" t="n">
        <v>5</v>
      </c>
      <c r="C9" s="46" t="n">
        <v>10016</v>
      </c>
      <c r="D9" s="80" t="inlineStr">
        <is>
          <t>대명</t>
        </is>
      </c>
      <c r="E9" s="81" t="inlineStr">
        <is>
          <t>대명셀프</t>
        </is>
      </c>
      <c r="F9" s="49" t="inlineStr">
        <is>
          <t>운영</t>
        </is>
      </c>
      <c r="G9" s="49" t="inlineStr">
        <is>
          <t>서울</t>
        </is>
      </c>
      <c r="H9" s="50" t="inlineStr">
        <is>
          <t>서울 광진구 화양동 302-13</t>
        </is>
      </c>
      <c r="K9" s="403">
        <f>$K$192*L9</f>
        <v/>
      </c>
      <c r="L9" s="25" t="n">
        <v>0.01388722704325678</v>
      </c>
      <c r="M9" s="404">
        <f>$M$192*N9</f>
        <v/>
      </c>
      <c r="N9" s="27" t="n">
        <v>0.006007248279468086</v>
      </c>
      <c r="O9" s="404">
        <f>$O$192*P9</f>
        <v/>
      </c>
      <c r="P9" s="28" t="n">
        <v>0.004427951678792354</v>
      </c>
      <c r="Q9" s="405">
        <f>M9+O9</f>
        <v/>
      </c>
      <c r="R9" s="406">
        <f>K9+Q9</f>
        <v/>
      </c>
      <c r="T9" s="403" t="n">
        <v>12187000000</v>
      </c>
      <c r="U9" s="404" t="n">
        <v>273000000</v>
      </c>
      <c r="V9" s="404" t="n">
        <v>170000000</v>
      </c>
      <c r="W9" s="405">
        <f>SUM(U9:V9)</f>
        <v/>
      </c>
      <c r="X9" s="406">
        <f>SUM(T9,W9)</f>
        <v/>
      </c>
    </row>
    <row r="10" ht="11.25" customHeight="1" s="308">
      <c r="B10" s="45" t="n">
        <v>6</v>
      </c>
      <c r="C10" s="46" t="n">
        <v>15762</v>
      </c>
      <c r="D10" s="80" t="inlineStr">
        <is>
          <t>순환도로</t>
        </is>
      </c>
      <c r="E10" s="81" t="inlineStr">
        <is>
          <t>금천제일</t>
        </is>
      </c>
      <c r="F10" s="49" t="inlineStr">
        <is>
          <t>운영</t>
        </is>
      </c>
      <c r="G10" s="49" t="inlineStr">
        <is>
          <t>서울</t>
        </is>
      </c>
      <c r="H10" s="50" t="inlineStr">
        <is>
          <t>서울 금천구 독산동 900-4</t>
        </is>
      </c>
      <c r="K10" s="403">
        <f>$K$192*L10</f>
        <v/>
      </c>
      <c r="L10" s="25" t="n">
        <v>0.004831171895678978</v>
      </c>
      <c r="M10" s="404">
        <f>$M$192*N10</f>
        <v/>
      </c>
      <c r="N10" s="27" t="n">
        <v>0.003676896323404762</v>
      </c>
      <c r="O10" s="404">
        <f>$O$192*P10</f>
        <v/>
      </c>
      <c r="P10" s="28" t="n">
        <v>0.005393800733281324</v>
      </c>
      <c r="Q10" s="405">
        <f>M10+O10</f>
        <v/>
      </c>
      <c r="R10" s="406">
        <f>K10+Q10</f>
        <v/>
      </c>
      <c r="T10" s="403" t="n">
        <v>4240000000</v>
      </c>
      <c r="U10" s="404" t="n">
        <v>167000000</v>
      </c>
      <c r="V10" s="404" t="n">
        <v>207000000</v>
      </c>
      <c r="W10" s="405">
        <f>SUM(U10:V10)</f>
        <v/>
      </c>
      <c r="X10" s="406">
        <f>SUM(T10,W10)</f>
        <v/>
      </c>
    </row>
    <row r="11" ht="11.25" customHeight="1" s="308">
      <c r="B11" s="45" t="n">
        <v>7</v>
      </c>
      <c r="C11" s="46" t="n">
        <v>10425</v>
      </c>
      <c r="D11" s="80" t="inlineStr">
        <is>
          <t>하계</t>
        </is>
      </c>
      <c r="E11" s="81" t="inlineStr">
        <is>
          <t>하계</t>
        </is>
      </c>
      <c r="F11" s="49" t="inlineStr">
        <is>
          <t>운영</t>
        </is>
      </c>
      <c r="G11" s="49" t="inlineStr">
        <is>
          <t>서울</t>
        </is>
      </c>
      <c r="H11" s="50" t="inlineStr">
        <is>
          <t>서울 노원구 하계동 243-3</t>
        </is>
      </c>
      <c r="K11" s="403">
        <f>$K$192*L11</f>
        <v/>
      </c>
      <c r="L11" s="25" t="n">
        <v>0.006616438324016465</v>
      </c>
      <c r="M11" s="404">
        <f>$M$192*N11</f>
        <v/>
      </c>
      <c r="N11" s="27" t="n">
        <v>0.002056879499479111</v>
      </c>
      <c r="O11" s="404">
        <f>$O$192*P11</f>
        <v/>
      </c>
      <c r="P11" s="28" t="n">
        <v>0.002641513608369925</v>
      </c>
      <c r="Q11" s="405">
        <f>M11+O11</f>
        <v/>
      </c>
      <c r="R11" s="406">
        <f>K11+Q11</f>
        <v/>
      </c>
      <c r="T11" s="403" t="n">
        <v>5806000000</v>
      </c>
      <c r="U11" s="404" t="n">
        <v>93000000</v>
      </c>
      <c r="V11" s="404" t="n">
        <v>101000000</v>
      </c>
      <c r="W11" s="405">
        <f>SUM(U11:V11)</f>
        <v/>
      </c>
      <c r="X11" s="406">
        <f>SUM(T11,W11)</f>
        <v/>
      </c>
    </row>
    <row r="12" ht="11.25" customHeight="1" s="308">
      <c r="B12" s="45" t="n">
        <v>8</v>
      </c>
      <c r="C12" s="46" t="n">
        <v>10062</v>
      </c>
      <c r="D12" s="80" t="inlineStr">
        <is>
          <t>흑석동</t>
        </is>
      </c>
      <c r="E12" s="81" t="inlineStr">
        <is>
          <t>흑석동셀프</t>
        </is>
      </c>
      <c r="F12" s="49" t="inlineStr">
        <is>
          <t>운영</t>
        </is>
      </c>
      <c r="G12" s="49" t="inlineStr">
        <is>
          <t>서울</t>
        </is>
      </c>
      <c r="H12" s="50" t="inlineStr">
        <is>
          <t>서울 동작구 흑석동 9-46</t>
        </is>
      </c>
      <c r="K12" s="403">
        <f>$K$192*L12</f>
        <v/>
      </c>
      <c r="L12" s="25" t="n">
        <v>0.01059852831842907</v>
      </c>
      <c r="M12" s="404">
        <f>$M$192*N12</f>
        <v/>
      </c>
      <c r="N12" s="27" t="n">
        <v>0.001434313583487751</v>
      </c>
      <c r="O12" s="404">
        <f>$O$192*P12</f>
        <v/>
      </c>
      <c r="P12" s="28" t="n">
        <v>0.002233358940409976</v>
      </c>
      <c r="Q12" s="405">
        <f>M12+O12</f>
        <v/>
      </c>
      <c r="R12" s="406">
        <f>K12+Q12</f>
        <v/>
      </c>
      <c r="T12" s="403" t="n">
        <v>9301000000</v>
      </c>
      <c r="U12" s="404" t="n">
        <v>65000000</v>
      </c>
      <c r="V12" s="404" t="n">
        <v>86000000</v>
      </c>
      <c r="W12" s="405">
        <f>SUM(U12:V12)</f>
        <v/>
      </c>
      <c r="X12" s="406">
        <f>SUM(T12,W12)</f>
        <v/>
      </c>
    </row>
    <row r="13" ht="11.25" customFormat="1" customHeight="1" s="57">
      <c r="B13" s="51" t="n">
        <v>9</v>
      </c>
      <c r="C13" s="52" t="n">
        <v>32489</v>
      </c>
      <c r="D13" s="53" t="inlineStr">
        <is>
          <t>Happy Auto</t>
        </is>
      </c>
      <c r="E13" s="54" t="inlineStr">
        <is>
          <t>마포제일</t>
        </is>
      </c>
      <c r="F13" s="55" t="inlineStr">
        <is>
          <t>운영</t>
        </is>
      </c>
      <c r="G13" s="55" t="inlineStr">
        <is>
          <t>서울</t>
        </is>
      </c>
      <c r="H13" s="56" t="inlineStr">
        <is>
          <t>서울 마포구 창전동 13-6</t>
        </is>
      </c>
      <c r="K13" s="411">
        <f>$K$192*L13</f>
        <v/>
      </c>
      <c r="L13" s="59" t="n">
        <v>0.01959071867341652</v>
      </c>
      <c r="M13" s="412">
        <f>$M$192*N13</f>
        <v/>
      </c>
      <c r="N13" s="61" t="n">
        <v>0.03596976757317866</v>
      </c>
      <c r="O13" s="412">
        <f>$O$192*P13</f>
        <v/>
      </c>
      <c r="P13" s="62" t="n">
        <v>0.01550421643007919</v>
      </c>
      <c r="Q13" s="413">
        <f>M13+O13</f>
        <v/>
      </c>
      <c r="R13" s="414">
        <f>K13+Q13</f>
        <v/>
      </c>
      <c r="T13" s="411" t="n">
        <v>17192000000</v>
      </c>
      <c r="U13" s="412">
        <f>1634000000+1500000000</f>
        <v/>
      </c>
      <c r="V13" s="412" t="n">
        <v>595000000</v>
      </c>
      <c r="W13" s="413">
        <f>SUM(U13:V13)</f>
        <v/>
      </c>
      <c r="X13" s="414">
        <f>SUM(T13,W13)</f>
        <v/>
      </c>
    </row>
    <row r="14" ht="11.25" customHeight="1" s="308">
      <c r="B14" s="45" t="n">
        <v>10</v>
      </c>
      <c r="C14" s="46" t="n">
        <v>10023</v>
      </c>
      <c r="D14" s="80" t="inlineStr">
        <is>
          <t>아리랑</t>
        </is>
      </c>
      <c r="E14" s="81" t="inlineStr">
        <is>
          <t>아리랑</t>
        </is>
      </c>
      <c r="F14" s="49" t="inlineStr">
        <is>
          <t>운영</t>
        </is>
      </c>
      <c r="G14" s="49" t="inlineStr">
        <is>
          <t>서울</t>
        </is>
      </c>
      <c r="H14" s="50" t="inlineStr">
        <is>
          <t>서울 성북구 정릉동 113-61</t>
        </is>
      </c>
      <c r="K14" s="403">
        <f>$K$192*L14</f>
        <v/>
      </c>
      <c r="L14" s="25" t="n">
        <v>0.009255379697662797</v>
      </c>
      <c r="M14" s="404">
        <f>$M$192*N14</f>
        <v/>
      </c>
      <c r="N14" s="27" t="n">
        <v>0.002864229031953611</v>
      </c>
      <c r="O14" s="404">
        <f>$O$192*P14</f>
        <v/>
      </c>
      <c r="P14" s="28" t="n">
        <v>0.005646437716938975</v>
      </c>
      <c r="Q14" s="405">
        <f>M14+O14</f>
        <v/>
      </c>
      <c r="R14" s="406">
        <f>K14+Q14</f>
        <v/>
      </c>
      <c r="T14" s="411" t="n">
        <v>8122000000</v>
      </c>
      <c r="U14" s="412" t="n">
        <v>130000000</v>
      </c>
      <c r="V14" s="412" t="n">
        <v>217000000</v>
      </c>
      <c r="W14" s="413">
        <f>SUM(U14:V14)</f>
        <v/>
      </c>
      <c r="X14" s="414">
        <f>SUM(T14,W14)</f>
        <v/>
      </c>
      <c r="Y14" s="415" t="n"/>
    </row>
    <row r="15" ht="11.25" customHeight="1" s="308">
      <c r="B15" s="45" t="n">
        <v>11</v>
      </c>
      <c r="C15" s="46" t="n">
        <v>25678</v>
      </c>
      <c r="D15" s="80" t="inlineStr">
        <is>
          <t>북악</t>
        </is>
      </c>
      <c r="E15" s="81" t="inlineStr">
        <is>
          <t>북악셀프</t>
        </is>
      </c>
      <c r="F15" s="49" t="inlineStr">
        <is>
          <t>운영</t>
        </is>
      </c>
      <c r="G15" s="49" t="inlineStr">
        <is>
          <t>서울</t>
        </is>
      </c>
      <c r="H15" s="50" t="inlineStr">
        <is>
          <t>서울 성북구 정릉동 428</t>
        </is>
      </c>
      <c r="K15" s="403">
        <f>$K$192*L15</f>
        <v/>
      </c>
      <c r="L15" s="25" t="n">
        <v>0.005257006174263391</v>
      </c>
      <c r="M15" s="404">
        <f>$M$192*N15</f>
        <v/>
      </c>
      <c r="N15" s="27" t="n">
        <v>0.01308995796245568</v>
      </c>
      <c r="O15" s="404">
        <f>$O$192*P15</f>
        <v/>
      </c>
      <c r="P15" s="28" t="n">
        <v>0.002858962111916078</v>
      </c>
      <c r="Q15" s="405">
        <f>M15+O15</f>
        <v/>
      </c>
      <c r="R15" s="406">
        <f>K15+Q15</f>
        <v/>
      </c>
      <c r="T15" s="403" t="n">
        <v>4613000000</v>
      </c>
      <c r="U15" s="404" t="n">
        <v>595000000</v>
      </c>
      <c r="V15" s="404" t="n">
        <v>110000000</v>
      </c>
      <c r="W15" s="405">
        <f>SUM(U15:V15)</f>
        <v/>
      </c>
      <c r="X15" s="406">
        <f>SUM(T15,W15)</f>
        <v/>
      </c>
    </row>
    <row r="16" ht="11.25" customFormat="1" customHeight="1" s="37">
      <c r="B16" s="31" t="n">
        <v>12</v>
      </c>
      <c r="C16" s="32" t="n">
        <v>17838</v>
      </c>
      <c r="D16" s="66" t="inlineStr">
        <is>
          <t>서원</t>
        </is>
      </c>
      <c r="E16" s="67" t="inlineStr">
        <is>
          <t>서원</t>
        </is>
      </c>
      <c r="F16" s="35" t="inlineStr">
        <is>
          <t>운영</t>
        </is>
      </c>
      <c r="G16" s="35" t="inlineStr">
        <is>
          <t>서울</t>
        </is>
      </c>
      <c r="H16" s="36" t="inlineStr">
        <is>
          <t>서울 송파구 가락동 146-6</t>
        </is>
      </c>
      <c r="K16" s="407">
        <f>$K$192*L16</f>
        <v/>
      </c>
      <c r="L16" s="39" t="n">
        <v>0.01124127731792495</v>
      </c>
      <c r="M16" s="408">
        <f>$M$192*N16</f>
        <v/>
      </c>
      <c r="N16" s="41" t="n">
        <v>0.003802970075951961</v>
      </c>
      <c r="O16" s="408">
        <f>$O$192*P16</f>
        <v/>
      </c>
      <c r="P16" s="42" t="n">
        <v>0.001229762655325209</v>
      </c>
      <c r="Q16" s="409">
        <f>M16+O16</f>
        <v/>
      </c>
      <c r="R16" s="410">
        <f>K16+Q16</f>
        <v/>
      </c>
      <c r="T16" s="411" t="n">
        <v>9865000000</v>
      </c>
      <c r="U16" s="412" t="n">
        <v>173000000</v>
      </c>
      <c r="V16" s="412" t="n">
        <v>47000000</v>
      </c>
      <c r="W16" s="413">
        <f>SUM(U16:V16)</f>
        <v/>
      </c>
      <c r="X16" s="414">
        <f>SUM(T16,W16)</f>
        <v/>
      </c>
    </row>
    <row r="17" ht="11.25" customHeight="1" s="308">
      <c r="B17" s="45" t="n">
        <v>13</v>
      </c>
      <c r="C17" s="46" t="n">
        <v>10420</v>
      </c>
      <c r="D17" s="80" t="inlineStr">
        <is>
          <t>올림픽</t>
        </is>
      </c>
      <c r="E17" s="81" t="inlineStr">
        <is>
          <t>올림픽셀프</t>
        </is>
      </c>
      <c r="F17" s="49" t="inlineStr">
        <is>
          <t>운영</t>
        </is>
      </c>
      <c r="G17" s="49" t="inlineStr">
        <is>
          <t>서울</t>
        </is>
      </c>
      <c r="H17" s="50" t="inlineStr">
        <is>
          <t>서울 송파구 오금동 4</t>
        </is>
      </c>
      <c r="K17" s="403">
        <f>$K$192*L17</f>
        <v/>
      </c>
      <c r="L17" s="25" t="n">
        <v>0.01968630150374874</v>
      </c>
      <c r="M17" s="404">
        <f>$M$192*N17</f>
        <v/>
      </c>
      <c r="N17" s="27" t="n">
        <v>0.005761622839232055</v>
      </c>
      <c r="O17" s="404">
        <f>$O$192*P17</f>
        <v/>
      </c>
      <c r="P17" s="28" t="n">
        <v>0.009578105020825465</v>
      </c>
      <c r="Q17" s="405">
        <f>M17+O17</f>
        <v/>
      </c>
      <c r="R17" s="406">
        <f>K17+Q17</f>
        <v/>
      </c>
      <c r="T17" s="403" t="n">
        <v>17276000000</v>
      </c>
      <c r="U17" s="404" t="n">
        <v>262000000</v>
      </c>
      <c r="V17" s="404" t="n">
        <v>367000000</v>
      </c>
      <c r="W17" s="405">
        <f>SUM(U17:V17)</f>
        <v/>
      </c>
      <c r="X17" s="406">
        <f>SUM(T17,W17)</f>
        <v/>
      </c>
    </row>
    <row r="18" ht="11.25" customHeight="1" s="308">
      <c r="B18" s="45" t="n">
        <v>14</v>
      </c>
      <c r="C18" s="46" t="n">
        <v>25380</v>
      </c>
      <c r="D18" s="80" t="inlineStr">
        <is>
          <t>SKOK(서울양천)</t>
        </is>
      </c>
      <c r="E18" s="81" t="inlineStr">
        <is>
          <t>양천</t>
        </is>
      </c>
      <c r="F18" s="49" t="inlineStr">
        <is>
          <t>운영</t>
        </is>
      </c>
      <c r="G18" s="49" t="inlineStr">
        <is>
          <t>서울</t>
        </is>
      </c>
      <c r="H18" s="50" t="inlineStr">
        <is>
          <t>서울 양천구 목동 122-2</t>
        </is>
      </c>
      <c r="K18" s="403">
        <f>$K$192*L18</f>
        <v/>
      </c>
      <c r="L18" s="25" t="n">
        <v>0.01558542984706867</v>
      </c>
      <c r="M18" s="404">
        <f>$M$192*N18</f>
        <v/>
      </c>
      <c r="N18" s="27" t="n">
        <v>0.007209066396751645</v>
      </c>
      <c r="O18" s="404">
        <f>$O$192*P18</f>
        <v/>
      </c>
      <c r="P18" s="28" t="n">
        <v>0.0126937347145072</v>
      </c>
      <c r="Q18" s="405">
        <f>M18+O18</f>
        <v/>
      </c>
      <c r="R18" s="406">
        <f>K18+Q18</f>
        <v/>
      </c>
      <c r="T18" s="403" t="n">
        <v>13677000000</v>
      </c>
      <c r="U18" s="404" t="n">
        <v>328000000</v>
      </c>
      <c r="V18" s="404" t="n">
        <v>487000000</v>
      </c>
      <c r="W18" s="405">
        <f>SUM(U18:V18)</f>
        <v/>
      </c>
      <c r="X18" s="406">
        <f>SUM(T18,W18)</f>
        <v/>
      </c>
    </row>
    <row r="19" ht="11.25" customHeight="1" s="308">
      <c r="B19" s="45" t="n">
        <v>15</v>
      </c>
      <c r="C19" s="46" t="n">
        <v>10068</v>
      </c>
      <c r="D19" s="80" t="inlineStr">
        <is>
          <t>남부(신월)</t>
        </is>
      </c>
      <c r="E19" s="81" t="inlineStr">
        <is>
          <t>남부순환셀프</t>
        </is>
      </c>
      <c r="F19" s="49" t="inlineStr">
        <is>
          <t>운영</t>
        </is>
      </c>
      <c r="G19" s="49" t="inlineStr">
        <is>
          <t>서울</t>
        </is>
      </c>
      <c r="H19" s="50" t="inlineStr">
        <is>
          <t>서울 양천구 신월동 525-1</t>
        </is>
      </c>
      <c r="K19" s="403">
        <f>$K$192*L19</f>
        <v/>
      </c>
      <c r="L19" s="25" t="n">
        <v>0.01601592121494331</v>
      </c>
      <c r="M19" s="404">
        <f>$M$192*N19</f>
        <v/>
      </c>
      <c r="N19" s="27" t="n">
        <v>0.01135692413424031</v>
      </c>
      <c r="O19" s="404">
        <f>$O$192*P19</f>
        <v/>
      </c>
      <c r="P19" s="28" t="n">
        <v>0.002628040541660567</v>
      </c>
      <c r="Q19" s="405">
        <f>M19+O19</f>
        <v/>
      </c>
      <c r="R19" s="406">
        <f>K19+Q19</f>
        <v/>
      </c>
      <c r="T19" s="403" t="n">
        <v>14055000000</v>
      </c>
      <c r="U19" s="404" t="n">
        <v>516000000</v>
      </c>
      <c r="V19" s="404" t="n">
        <v>101000000</v>
      </c>
      <c r="W19" s="405">
        <f>SUM(U19:V19)</f>
        <v/>
      </c>
      <c r="X19" s="406">
        <f>SUM(T19,W19)</f>
        <v/>
      </c>
    </row>
    <row r="20" ht="11.25" customHeight="1" s="308">
      <c r="B20" s="45" t="n">
        <v>16</v>
      </c>
      <c r="C20" s="46" t="n">
        <v>22792</v>
      </c>
      <c r="D20" s="80" t="inlineStr">
        <is>
          <t>윈윈</t>
        </is>
      </c>
      <c r="E20" s="81" t="inlineStr">
        <is>
          <t>영등포제일셀프</t>
        </is>
      </c>
      <c r="F20" s="49" t="inlineStr">
        <is>
          <t>운영</t>
        </is>
      </c>
      <c r="G20" s="49" t="inlineStr">
        <is>
          <t>서울</t>
        </is>
      </c>
      <c r="H20" s="50" t="inlineStr">
        <is>
          <t>서울 영등포구 대림동 667-9</t>
        </is>
      </c>
      <c r="K20" s="403">
        <f>$K$192*L20</f>
        <v/>
      </c>
      <c r="L20" s="25" t="n">
        <v>0.00609373803342046</v>
      </c>
      <c r="M20" s="404">
        <f>$M$192*N20</f>
        <v/>
      </c>
      <c r="N20" s="27" t="n">
        <v>0.004225284338779119</v>
      </c>
      <c r="O20" s="404">
        <f>$O$192*P20</f>
        <v/>
      </c>
      <c r="P20" s="28" t="n">
        <v>0.00706421192333611</v>
      </c>
      <c r="Q20" s="405">
        <f>M20+O20</f>
        <v/>
      </c>
      <c r="R20" s="406">
        <f>K20+Q20</f>
        <v/>
      </c>
      <c r="T20" s="403" t="n">
        <v>5348000000</v>
      </c>
      <c r="U20" s="404" t="n">
        <v>192000000</v>
      </c>
      <c r="V20" s="404" t="n">
        <v>271000000</v>
      </c>
      <c r="W20" s="405">
        <f>SUM(U20:V20)</f>
        <v/>
      </c>
      <c r="X20" s="406">
        <f>SUM(T20,W20)</f>
        <v/>
      </c>
    </row>
    <row r="21" ht="11.25" customHeight="1" s="308">
      <c r="B21" s="45" t="n">
        <v>17</v>
      </c>
      <c r="C21" s="46" t="n">
        <v>10051</v>
      </c>
      <c r="D21" s="80" t="inlineStr">
        <is>
          <t>강변(용산)</t>
        </is>
      </c>
      <c r="E21" s="81" t="inlineStr">
        <is>
          <t>강변현대</t>
        </is>
      </c>
      <c r="F21" s="49" t="inlineStr">
        <is>
          <t>운영</t>
        </is>
      </c>
      <c r="G21" s="49" t="inlineStr">
        <is>
          <t>서울</t>
        </is>
      </c>
      <c r="H21" s="50" t="inlineStr">
        <is>
          <t>서울 용산구 청암동 168-22</t>
        </is>
      </c>
      <c r="K21" s="403">
        <f>$K$192*L21</f>
        <v/>
      </c>
      <c r="L21" s="25" t="n">
        <v>0.009341402265201438</v>
      </c>
      <c r="M21" s="404">
        <f>$M$192*N21</f>
        <v/>
      </c>
      <c r="N21" s="27" t="n">
        <v>0.001473019618912544</v>
      </c>
      <c r="O21" s="404">
        <f>$O$192*P21</f>
        <v/>
      </c>
      <c r="P21" s="28" t="n">
        <v>0.002069349827509343</v>
      </c>
      <c r="Q21" s="405">
        <f>M21+O21</f>
        <v/>
      </c>
      <c r="R21" s="406">
        <f>K21+Q21</f>
        <v/>
      </c>
      <c r="T21" s="403" t="n">
        <v>8198000000</v>
      </c>
      <c r="U21" s="404" t="n">
        <v>67000000</v>
      </c>
      <c r="V21" s="404" t="n">
        <v>79000000</v>
      </c>
      <c r="W21" s="405">
        <f>SUM(U21:V21)</f>
        <v/>
      </c>
      <c r="X21" s="406">
        <f>SUM(T21,W21)</f>
        <v/>
      </c>
    </row>
    <row r="22" ht="11.25" customHeight="1" s="308">
      <c r="B22" s="45" t="n">
        <v>18</v>
      </c>
      <c r="C22" s="46" t="n">
        <v>10050</v>
      </c>
      <c r="D22" s="80" t="inlineStr">
        <is>
          <t>SK흥국</t>
        </is>
      </c>
      <c r="E22" s="81" t="inlineStr">
        <is>
          <t>한남동</t>
        </is>
      </c>
      <c r="F22" s="49" t="inlineStr">
        <is>
          <t>운영</t>
        </is>
      </c>
      <c r="G22" s="49" t="inlineStr">
        <is>
          <t>서울</t>
        </is>
      </c>
      <c r="H22" s="50" t="inlineStr">
        <is>
          <t>서울 용산구 한남동 726-370</t>
        </is>
      </c>
      <c r="K22" s="403">
        <f>$K$192*L22</f>
        <v/>
      </c>
      <c r="L22" s="25" t="n">
        <v>0.0104119557018071</v>
      </c>
      <c r="M22" s="404">
        <f>$M$192*N22</f>
        <v/>
      </c>
      <c r="N22" s="27" t="n">
        <v>0.003646768601410775</v>
      </c>
      <c r="O22" s="404">
        <f>$O$192*P22</f>
        <v/>
      </c>
      <c r="P22" s="28" t="n">
        <v>0.002737222198387474</v>
      </c>
      <c r="Q22" s="405">
        <f>M22+O22</f>
        <v/>
      </c>
      <c r="R22" s="406">
        <f>K22+Q22</f>
        <v/>
      </c>
      <c r="T22" s="403" t="n">
        <v>9137000000</v>
      </c>
      <c r="U22" s="404" t="n">
        <v>166000000</v>
      </c>
      <c r="V22" s="404" t="n">
        <v>105000000</v>
      </c>
      <c r="W22" s="405">
        <f>SUM(U22:V22)</f>
        <v/>
      </c>
      <c r="X22" s="406">
        <f>SUM(T22,W22)</f>
        <v/>
      </c>
    </row>
    <row r="23" ht="11.25" customFormat="1" customHeight="1" s="37">
      <c r="B23" s="31" t="n">
        <v>19</v>
      </c>
      <c r="C23" s="32" t="n">
        <v>10411</v>
      </c>
      <c r="D23" s="66" t="inlineStr">
        <is>
          <t>재동</t>
        </is>
      </c>
      <c r="E23" s="67" t="inlineStr">
        <is>
          <t>재동</t>
        </is>
      </c>
      <c r="F23" s="35" t="inlineStr">
        <is>
          <t>운영</t>
        </is>
      </c>
      <c r="G23" s="35" t="inlineStr">
        <is>
          <t>서울</t>
        </is>
      </c>
      <c r="H23" s="36" t="inlineStr">
        <is>
          <t>서울 종로구 경운동 96-18</t>
        </is>
      </c>
      <c r="K23" s="407">
        <f>$K$192*L23</f>
        <v/>
      </c>
      <c r="L23" s="39" t="n">
        <v>0.01578254072810362</v>
      </c>
      <c r="M23" s="408">
        <f>$M$192*N23</f>
        <v/>
      </c>
      <c r="N23" s="41" t="n">
        <v>0.001303499848178306</v>
      </c>
      <c r="O23" s="408">
        <f>$O$192*P23</f>
        <v/>
      </c>
      <c r="P23" s="42" t="n">
        <v>0.002681027056114176</v>
      </c>
      <c r="Q23" s="409">
        <f>M23+O23</f>
        <v/>
      </c>
      <c r="R23" s="410">
        <f>K23+Q23</f>
        <v/>
      </c>
      <c r="T23" s="403" t="n">
        <v>13850000000</v>
      </c>
      <c r="U23" s="404" t="n">
        <v>59000000</v>
      </c>
      <c r="V23" s="404" t="n">
        <v>103000000</v>
      </c>
      <c r="W23" s="405">
        <f>SUM(U23:V23)</f>
        <v/>
      </c>
      <c r="X23" s="406">
        <f>SUM(T23,W23)</f>
        <v/>
      </c>
    </row>
    <row r="24" ht="11.25" customHeight="1" s="308">
      <c r="B24" s="45" t="n">
        <v>20</v>
      </c>
      <c r="C24" s="46" t="n">
        <v>10028</v>
      </c>
      <c r="D24" s="80" t="inlineStr">
        <is>
          <t>독립문</t>
        </is>
      </c>
      <c r="E24" s="81" t="inlineStr">
        <is>
          <t>독립문</t>
        </is>
      </c>
      <c r="F24" s="49" t="inlineStr">
        <is>
          <t>운영</t>
        </is>
      </c>
      <c r="G24" s="49" t="inlineStr">
        <is>
          <t>서울</t>
        </is>
      </c>
      <c r="H24" s="50" t="inlineStr">
        <is>
          <t>서울 서대문구 홍제동 103-9</t>
        </is>
      </c>
      <c r="K24" s="403">
        <f>$K$192*L24</f>
        <v/>
      </c>
      <c r="L24" s="25" t="n">
        <v>0.009230932032890498</v>
      </c>
      <c r="M24" s="404">
        <f>$M$192*N24</f>
        <v/>
      </c>
      <c r="N24" s="27" t="n">
        <v>0.001898846424628861</v>
      </c>
      <c r="O24" s="404">
        <f>$O$192*P24</f>
        <v/>
      </c>
      <c r="P24" s="28" t="n">
        <v>0.001295565566009903</v>
      </c>
      <c r="Q24" s="405">
        <f>M24+O24</f>
        <v/>
      </c>
      <c r="R24" s="406">
        <f>K24+Q24</f>
        <v/>
      </c>
      <c r="T24" s="403" t="n">
        <v>8101000000</v>
      </c>
      <c r="U24" s="404" t="n">
        <v>86000000</v>
      </c>
      <c r="V24" s="404" t="n">
        <v>50000000</v>
      </c>
      <c r="W24" s="405">
        <f>SUM(U24:V24)</f>
        <v/>
      </c>
      <c r="X24" s="406">
        <f>SUM(T24,W24)</f>
        <v/>
      </c>
    </row>
    <row r="25" customFormat="1" s="57">
      <c r="B25" s="51" t="n">
        <v>21</v>
      </c>
      <c r="C25" s="52" t="n">
        <v>23404</v>
      </c>
      <c r="D25" s="53" t="inlineStr">
        <is>
          <t>삼일</t>
        </is>
      </c>
      <c r="E25" s="54" t="inlineStr">
        <is>
          <t>능곡역</t>
        </is>
      </c>
      <c r="F25" s="55" t="inlineStr">
        <is>
          <t>운영</t>
        </is>
      </c>
      <c r="G25" s="55" t="inlineStr">
        <is>
          <t>경기</t>
        </is>
      </c>
      <c r="H25" s="68" t="inlineStr">
        <is>
          <t>경기 고양시 덕양구 토당동 866-3</t>
        </is>
      </c>
      <c r="I25" s="69" t="n"/>
      <c r="J25" s="69" t="n"/>
      <c r="K25" s="411">
        <f>$K$192*L25</f>
        <v/>
      </c>
      <c r="L25" s="59" t="n">
        <v>0.004359907462113566</v>
      </c>
      <c r="M25" s="412">
        <f>$M$192*N25</f>
        <v/>
      </c>
      <c r="N25" s="61" t="n">
        <v>0.003832776981106845</v>
      </c>
      <c r="O25" s="412">
        <f>$O$192*P25</f>
        <v/>
      </c>
      <c r="P25" s="62" t="n">
        <v>0.002915345197809019</v>
      </c>
      <c r="Q25" s="413">
        <f>M25+O25</f>
        <v/>
      </c>
      <c r="R25" s="414">
        <f>K25+Q25</f>
        <v/>
      </c>
      <c r="S25" s="69" t="n"/>
      <c r="T25" s="416" t="n">
        <v>3826000000</v>
      </c>
      <c r="U25" s="417" t="n">
        <v>174000000</v>
      </c>
      <c r="V25" s="417" t="n">
        <v>112000000</v>
      </c>
      <c r="W25" s="418">
        <f>SUM(U25:V25)</f>
        <v/>
      </c>
      <c r="X25" s="414">
        <f>SUM(T25,W25)</f>
        <v/>
      </c>
    </row>
    <row r="26" customFormat="1" s="57">
      <c r="B26" s="51" t="n">
        <v>22</v>
      </c>
      <c r="C26" s="52" t="n">
        <v>19306</v>
      </c>
      <c r="D26" s="53" t="inlineStr">
        <is>
          <t>레이디스</t>
        </is>
      </c>
      <c r="E26" s="54" t="inlineStr">
        <is>
          <t>화정2호셀프</t>
        </is>
      </c>
      <c r="F26" s="55" t="inlineStr">
        <is>
          <t>운영</t>
        </is>
      </c>
      <c r="G26" s="55" t="inlineStr">
        <is>
          <t>경기</t>
        </is>
      </c>
      <c r="H26" s="68" t="inlineStr">
        <is>
          <t>경기 고양시 덕양구 화정동 695-1</t>
        </is>
      </c>
      <c r="I26" s="69" t="n"/>
      <c r="J26" s="69" t="n"/>
      <c r="K26" s="411">
        <f>$K$192*L26</f>
        <v/>
      </c>
      <c r="L26" s="59" t="n">
        <v>0.002331801350909347</v>
      </c>
      <c r="M26" s="412">
        <f>$M$192*N26</f>
        <v/>
      </c>
      <c r="N26" s="61" t="n">
        <v>0.001131954992843482</v>
      </c>
      <c r="O26" s="412">
        <f>$O$192*P26</f>
        <v/>
      </c>
      <c r="P26" s="62" t="n">
        <v>0.003299701221884036</v>
      </c>
      <c r="Q26" s="413">
        <f>M26+O26</f>
        <v/>
      </c>
      <c r="R26" s="414">
        <f>K26+Q26</f>
        <v/>
      </c>
      <c r="S26" s="69" t="n"/>
      <c r="T26" s="416" t="n">
        <v>2046000000</v>
      </c>
      <c r="U26" s="417" t="n">
        <v>51000000</v>
      </c>
      <c r="V26" s="417" t="n">
        <v>127000000</v>
      </c>
      <c r="W26" s="418">
        <f>SUM(U26:V26)</f>
        <v/>
      </c>
      <c r="X26" s="414">
        <f>SUM(T26,W26)</f>
        <v/>
      </c>
    </row>
    <row r="27">
      <c r="B27" s="45" t="n">
        <v>23</v>
      </c>
      <c r="C27" s="46" t="n">
        <v>24136</v>
      </c>
      <c r="D27" s="80" t="inlineStr">
        <is>
          <t>유공판매</t>
        </is>
      </c>
      <c r="E27" s="81" t="inlineStr">
        <is>
          <t>장항IC셀프</t>
        </is>
      </c>
      <c r="F27" s="49" t="inlineStr">
        <is>
          <t>운영</t>
        </is>
      </c>
      <c r="G27" s="49" t="inlineStr">
        <is>
          <t>경기</t>
        </is>
      </c>
      <c r="H27" s="73" t="inlineStr">
        <is>
          <t>경기 고양시 일산동구 장항동 541</t>
        </is>
      </c>
      <c r="I27" s="74" t="n"/>
      <c r="J27" s="74" t="n"/>
      <c r="K27" s="403">
        <f>$K$192*L27</f>
        <v/>
      </c>
      <c r="L27" s="25" t="n">
        <v>0.006783926050737807</v>
      </c>
      <c r="M27" s="404">
        <f>$M$192*N27</f>
        <v/>
      </c>
      <c r="N27" s="27" t="n">
        <v>0.01406648350602395</v>
      </c>
      <c r="O27" s="404">
        <f>$O$192*P27</f>
        <v/>
      </c>
      <c r="P27" s="28" t="n">
        <v>0.008566379608095894</v>
      </c>
      <c r="Q27" s="405">
        <f>M27+O27</f>
        <v/>
      </c>
      <c r="R27" s="406">
        <f>K27+Q27</f>
        <v/>
      </c>
      <c r="S27" s="74" t="n"/>
      <c r="T27" s="419" t="n">
        <v>5953000000</v>
      </c>
      <c r="U27" s="420" t="n">
        <v>639000000</v>
      </c>
      <c r="V27" s="420" t="n">
        <v>329000000</v>
      </c>
      <c r="W27" s="421">
        <f>SUM(U27:V27)</f>
        <v/>
      </c>
      <c r="X27" s="406">
        <f>SUM(T27,W27)</f>
        <v/>
      </c>
    </row>
    <row r="28" ht="12.75" customHeight="1" s="308">
      <c r="B28" s="45" t="n">
        <v>24</v>
      </c>
      <c r="C28" s="46" t="n">
        <v>23410</v>
      </c>
      <c r="D28" s="80" t="inlineStr">
        <is>
          <t>유공(고양)</t>
        </is>
      </c>
      <c r="E28" s="81" t="inlineStr">
        <is>
          <t>탄현셀프</t>
        </is>
      </c>
      <c r="F28" s="49" t="inlineStr">
        <is>
          <t>운영</t>
        </is>
      </c>
      <c r="G28" s="49" t="inlineStr">
        <is>
          <t>경기</t>
        </is>
      </c>
      <c r="H28" s="73" t="inlineStr">
        <is>
          <t>경기 고양시 일산서구 덕이동 260-3</t>
        </is>
      </c>
      <c r="I28" s="74" t="n"/>
      <c r="J28" s="74" t="n"/>
      <c r="K28" s="403">
        <f>$K$192*L28</f>
        <v/>
      </c>
      <c r="L28" s="25" t="n">
        <v>0.002794312966945279</v>
      </c>
      <c r="M28" s="404">
        <f>$M$192*N28</f>
        <v/>
      </c>
      <c r="N28" s="27" t="n">
        <v>0.001499322775918794</v>
      </c>
      <c r="O28" s="404">
        <f>$O$192*P28</f>
        <v/>
      </c>
      <c r="P28" s="28" t="n">
        <v>0.002530536297542091</v>
      </c>
      <c r="Q28" s="405">
        <f>M28+O28</f>
        <v/>
      </c>
      <c r="R28" s="406">
        <f>K28+Q28</f>
        <v/>
      </c>
      <c r="S28" s="74" t="n"/>
      <c r="T28" s="419" t="n">
        <v>2452000000</v>
      </c>
      <c r="U28" s="420" t="n">
        <v>68000000</v>
      </c>
      <c r="V28" s="420" t="n">
        <v>97000000</v>
      </c>
      <c r="W28" s="421">
        <f>SUM(U28:V28)</f>
        <v/>
      </c>
      <c r="X28" s="406">
        <f>SUM(T28,W28)</f>
        <v/>
      </c>
    </row>
    <row r="29">
      <c r="B29" s="45" t="n">
        <v>25</v>
      </c>
      <c r="C29" s="46" t="n">
        <v>10382</v>
      </c>
      <c r="D29" s="80" t="inlineStr">
        <is>
          <t>새광주</t>
        </is>
      </c>
      <c r="E29" s="81" t="inlineStr">
        <is>
          <t>새광주셀프</t>
        </is>
      </c>
      <c r="F29" s="49" t="inlineStr">
        <is>
          <t>운영</t>
        </is>
      </c>
      <c r="G29" s="49" t="inlineStr">
        <is>
          <t>경기</t>
        </is>
      </c>
      <c r="H29" s="73" t="inlineStr">
        <is>
          <t>경기 광주시 쌍령동 113-8</t>
        </is>
      </c>
      <c r="I29" s="74" t="n"/>
      <c r="J29" s="74" t="n"/>
      <c r="K29" s="403">
        <f>$K$192*L29</f>
        <v/>
      </c>
      <c r="L29" s="25" t="n">
        <v>0.002574381388204453</v>
      </c>
      <c r="M29" s="404">
        <f>$M$192*N29</f>
        <v/>
      </c>
      <c r="N29" s="27" t="n">
        <v>0.001562077838115612</v>
      </c>
      <c r="O29" s="404">
        <f>$O$192*P29</f>
        <v/>
      </c>
      <c r="P29" s="28" t="n">
        <v>0.01685679910865071</v>
      </c>
      <c r="Q29" s="405">
        <f>M29+O29</f>
        <v/>
      </c>
      <c r="R29" s="406">
        <f>K29+Q29</f>
        <v/>
      </c>
      <c r="S29" s="74" t="n"/>
      <c r="T29" s="419" t="n">
        <v>2259000000</v>
      </c>
      <c r="U29" s="420" t="n">
        <v>71000000</v>
      </c>
      <c r="V29" s="420" t="n">
        <v>647000000</v>
      </c>
      <c r="W29" s="421">
        <f>SUM(U29:V29)</f>
        <v/>
      </c>
      <c r="X29" s="406">
        <f>SUM(T29,W29)</f>
        <v/>
      </c>
    </row>
    <row r="30">
      <c r="B30" s="45" t="n">
        <v>26</v>
      </c>
      <c r="C30" s="46" t="n">
        <v>26167</v>
      </c>
      <c r="D30" s="80" t="inlineStr">
        <is>
          <t>토평</t>
        </is>
      </c>
      <c r="E30" s="81" t="inlineStr">
        <is>
          <t>토평1호셀프</t>
        </is>
      </c>
      <c r="F30" s="49" t="inlineStr">
        <is>
          <t>운영</t>
        </is>
      </c>
      <c r="G30" s="49" t="inlineStr">
        <is>
          <t>경기</t>
        </is>
      </c>
      <c r="H30" s="73" t="inlineStr">
        <is>
          <t>경기 구리시 토평동 989</t>
        </is>
      </c>
      <c r="I30" s="74" t="n"/>
      <c r="J30" s="74" t="n"/>
      <c r="K30" s="403">
        <f>$K$192*L30</f>
        <v/>
      </c>
      <c r="L30" s="25" t="n">
        <v>0.006938268168647923</v>
      </c>
      <c r="M30" s="404">
        <f>$M$192*N30</f>
        <v/>
      </c>
      <c r="N30" s="27" t="n">
        <v>0.005446686048928803</v>
      </c>
      <c r="O30" s="404">
        <f>$O$192*P30</f>
        <v/>
      </c>
      <c r="P30" s="28" t="n">
        <v>0.005802476208861972</v>
      </c>
      <c r="Q30" s="405">
        <f>M30+O30</f>
        <v/>
      </c>
      <c r="R30" s="406">
        <f>K30+Q30</f>
        <v/>
      </c>
      <c r="S30" s="74" t="n"/>
      <c r="T30" s="419" t="n">
        <v>6089000000</v>
      </c>
      <c r="U30" s="420" t="n">
        <v>247000000</v>
      </c>
      <c r="V30" s="420" t="n">
        <v>223000000</v>
      </c>
      <c r="W30" s="421">
        <f>SUM(U30:V30)</f>
        <v/>
      </c>
      <c r="X30" s="406">
        <f>SUM(T30,W30)</f>
        <v/>
      </c>
    </row>
    <row r="31">
      <c r="B31" s="45" t="n">
        <v>27</v>
      </c>
      <c r="C31" s="46" t="n">
        <v>26379</v>
      </c>
      <c r="D31" s="80" t="inlineStr">
        <is>
          <t>김포</t>
        </is>
      </c>
      <c r="E31" s="81" t="inlineStr">
        <is>
          <t>김포셀프</t>
        </is>
      </c>
      <c r="F31" s="49" t="inlineStr">
        <is>
          <t>운영</t>
        </is>
      </c>
      <c r="G31" s="49" t="inlineStr">
        <is>
          <t>경기</t>
        </is>
      </c>
      <c r="H31" s="73" t="inlineStr">
        <is>
          <t>경기 김포시 북변동 800 (김포대로 970)</t>
        </is>
      </c>
      <c r="I31" s="74" t="n"/>
      <c r="J31" s="74" t="n"/>
      <c r="K31" s="403">
        <f>$K$192*L31</f>
        <v/>
      </c>
      <c r="L31" s="25" t="n">
        <v>0.004020558718028713</v>
      </c>
      <c r="M31" s="404">
        <f>$M$192*N31</f>
        <v/>
      </c>
      <c r="N31" s="27" t="n">
        <v>0.004411165194737596</v>
      </c>
      <c r="O31" s="404">
        <f>$O$192*P31</f>
        <v/>
      </c>
      <c r="P31" s="28" t="n">
        <v>0.002720155559095301</v>
      </c>
      <c r="Q31" s="405">
        <f>M31+O31</f>
        <v/>
      </c>
      <c r="R31" s="406">
        <f>K31+Q31</f>
        <v/>
      </c>
      <c r="S31" s="74" t="n"/>
      <c r="T31" s="419" t="n">
        <v>3528000000</v>
      </c>
      <c r="U31" s="420" t="n">
        <v>200000000</v>
      </c>
      <c r="V31" s="420" t="n">
        <v>104000000</v>
      </c>
      <c r="W31" s="421">
        <f>SUM(U31:V31)</f>
        <v/>
      </c>
      <c r="X31" s="406">
        <f>SUM(T31,W31)</f>
        <v/>
      </c>
    </row>
    <row r="32">
      <c r="B32" s="45" t="n">
        <v>28</v>
      </c>
      <c r="C32" s="46" t="n">
        <v>22812</v>
      </c>
      <c r="D32" s="80" t="inlineStr">
        <is>
          <t>강변(남양주)</t>
        </is>
      </c>
      <c r="E32" s="81" t="inlineStr">
        <is>
          <t>강변셀프</t>
        </is>
      </c>
      <c r="F32" s="49" t="inlineStr">
        <is>
          <t>운영</t>
        </is>
      </c>
      <c r="G32" s="49" t="inlineStr">
        <is>
          <t>경기</t>
        </is>
      </c>
      <c r="H32" s="73" t="inlineStr">
        <is>
          <t>경기 남양주시 삼패동 604</t>
        </is>
      </c>
      <c r="I32" s="74" t="n"/>
      <c r="J32" s="74" t="n"/>
      <c r="K32" s="403">
        <f>$K$192*L32</f>
        <v/>
      </c>
      <c r="L32" s="25" t="n">
        <v>0.003630979494010364</v>
      </c>
      <c r="M32" s="404">
        <f>$M$192*N32</f>
        <v/>
      </c>
      <c r="N32" s="27" t="n">
        <v>0.001941557508412139</v>
      </c>
      <c r="O32" s="404">
        <f>$O$192*P32</f>
        <v/>
      </c>
      <c r="P32" s="28" t="n">
        <v>0.006132215364192501</v>
      </c>
      <c r="Q32" s="405">
        <f>M32+O32</f>
        <v/>
      </c>
      <c r="R32" s="406">
        <f>K32+Q32</f>
        <v/>
      </c>
      <c r="S32" s="74" t="n"/>
      <c r="T32" s="419" t="n">
        <v>3186000000</v>
      </c>
      <c r="U32" s="420" t="n">
        <v>88000000</v>
      </c>
      <c r="V32" s="420" t="n">
        <v>235000000</v>
      </c>
      <c r="W32" s="421">
        <f>SUM(U32:V32)</f>
        <v/>
      </c>
      <c r="X32" s="406">
        <f>SUM(T32,W32)</f>
        <v/>
      </c>
    </row>
    <row r="33">
      <c r="B33" s="45" t="n">
        <v>29</v>
      </c>
      <c r="C33" s="46" t="n">
        <v>26674</v>
      </c>
      <c r="D33" s="80" t="inlineStr">
        <is>
          <t>SK상동</t>
        </is>
      </c>
      <c r="E33" s="81" t="inlineStr">
        <is>
          <t>상동셀프</t>
        </is>
      </c>
      <c r="F33" s="49" t="inlineStr">
        <is>
          <t>운영</t>
        </is>
      </c>
      <c r="G33" s="49" t="inlineStr">
        <is>
          <t>경기</t>
        </is>
      </c>
      <c r="H33" s="73" t="inlineStr">
        <is>
          <t>경기 부천시 원미구 상동 499-6</t>
        </is>
      </c>
      <c r="I33" s="74" t="n"/>
      <c r="J33" s="74" t="n"/>
      <c r="K33" s="403">
        <f>$K$192*L33</f>
        <v/>
      </c>
      <c r="L33" s="25" t="n">
        <v>0.004089729565356338</v>
      </c>
      <c r="M33" s="404">
        <f>$M$192*N33</f>
        <v/>
      </c>
      <c r="N33" s="27" t="n">
        <v>0.003233933348158054</v>
      </c>
      <c r="O33" s="404">
        <f>$O$192*P33</f>
        <v/>
      </c>
      <c r="P33" s="28" t="n">
        <v>0.006138148042306537</v>
      </c>
      <c r="Q33" s="405">
        <f>M33+O33</f>
        <v/>
      </c>
      <c r="R33" s="406">
        <f>K33+Q33</f>
        <v/>
      </c>
      <c r="S33" s="74" t="n"/>
      <c r="T33" s="419" t="n">
        <v>3589000000</v>
      </c>
      <c r="U33" s="420" t="n">
        <v>147000000</v>
      </c>
      <c r="V33" s="420" t="n">
        <v>235000000</v>
      </c>
      <c r="W33" s="421">
        <f>SUM(U33:V33)</f>
        <v/>
      </c>
      <c r="X33" s="406">
        <f>SUM(T33,W33)</f>
        <v/>
      </c>
    </row>
    <row r="34" customFormat="1" s="37">
      <c r="B34" s="31" t="n">
        <v>30</v>
      </c>
      <c r="C34" s="32" t="n">
        <v>26110</v>
      </c>
      <c r="D34" s="66" t="inlineStr">
        <is>
          <t>중동대로</t>
        </is>
      </c>
      <c r="E34" s="67" t="inlineStr">
        <is>
          <t>중동대로셀프</t>
        </is>
      </c>
      <c r="F34" s="35" t="inlineStr">
        <is>
          <t>운영</t>
        </is>
      </c>
      <c r="G34" s="35" t="inlineStr">
        <is>
          <t>경기</t>
        </is>
      </c>
      <c r="H34" s="78" t="inlineStr">
        <is>
          <t>경기 부천시 원미구 약대동 192-3</t>
        </is>
      </c>
      <c r="I34" s="79" t="n"/>
      <c r="J34" s="79" t="n"/>
      <c r="K34" s="407">
        <f>$K$192*L34</f>
        <v/>
      </c>
      <c r="L34" s="39" t="n">
        <v>0.008037827074333894</v>
      </c>
      <c r="M34" s="408">
        <f>$M$192*N34</f>
        <v/>
      </c>
      <c r="N34" s="41" t="n">
        <v>0.00540388854726038</v>
      </c>
      <c r="O34" s="408">
        <f>$O$192*P34</f>
        <v/>
      </c>
      <c r="P34" s="42" t="n">
        <v>0.00542278480956364</v>
      </c>
      <c r="Q34" s="409">
        <f>M34+O34</f>
        <v/>
      </c>
      <c r="R34" s="410">
        <f>K34+Q34</f>
        <v/>
      </c>
      <c r="S34" s="79" t="n"/>
      <c r="T34" s="419" t="n">
        <v>7054000000</v>
      </c>
      <c r="U34" s="420" t="n">
        <v>246000000</v>
      </c>
      <c r="V34" s="420" t="n">
        <v>208000000</v>
      </c>
      <c r="W34" s="421">
        <f>SUM(U34:V34)</f>
        <v/>
      </c>
      <c r="X34" s="406">
        <f>SUM(T34,W34)</f>
        <v/>
      </c>
    </row>
    <row r="35" customFormat="1" s="57">
      <c r="B35" s="51" t="n">
        <v>31</v>
      </c>
      <c r="C35" s="52" t="n">
        <v>22595</v>
      </c>
      <c r="D35" s="53" t="inlineStr">
        <is>
          <t>부천</t>
        </is>
      </c>
      <c r="E35" s="54" t="inlineStr">
        <is>
          <t>부천</t>
        </is>
      </c>
      <c r="F35" s="55" t="inlineStr">
        <is>
          <t>운영</t>
        </is>
      </c>
      <c r="G35" s="55" t="inlineStr">
        <is>
          <t>경기</t>
        </is>
      </c>
      <c r="H35" s="68" t="inlineStr">
        <is>
          <t>경기 부천시 원미구 중동 3-374 외 6필지</t>
        </is>
      </c>
      <c r="I35" s="69" t="n"/>
      <c r="J35" s="69" t="n"/>
      <c r="K35" s="411">
        <f>$K$192*L35</f>
        <v/>
      </c>
      <c r="L35" s="59" t="n">
        <v>0.006306298964329328</v>
      </c>
      <c r="M35" s="412">
        <f>$M$192*N35</f>
        <v/>
      </c>
      <c r="N35" s="61" t="n">
        <v>0.006016187559640385</v>
      </c>
      <c r="O35" s="412">
        <f>$O$192*P35</f>
        <v/>
      </c>
      <c r="P35" s="62" t="n">
        <v>0.002611487916846214</v>
      </c>
      <c r="Q35" s="413">
        <f>M35+O35</f>
        <v/>
      </c>
      <c r="R35" s="414">
        <f>K35+Q35</f>
        <v/>
      </c>
      <c r="S35" s="69" t="n"/>
      <c r="T35" s="416" t="n">
        <v>5534000000</v>
      </c>
      <c r="U35" s="417" t="n">
        <v>273000000</v>
      </c>
      <c r="V35" s="417" t="n">
        <v>100000000</v>
      </c>
      <c r="W35" s="418">
        <f>SUM(U35:V35)</f>
        <v/>
      </c>
      <c r="X35" s="414">
        <f>SUM(T35,W35)</f>
        <v/>
      </c>
    </row>
    <row r="36">
      <c r="B36" s="45" t="n">
        <v>32</v>
      </c>
      <c r="C36" s="46" t="n">
        <v>17557</v>
      </c>
      <c r="D36" s="80" t="inlineStr">
        <is>
          <t>분당</t>
        </is>
      </c>
      <c r="E36" s="81" t="inlineStr">
        <is>
          <t>서현셀프</t>
        </is>
      </c>
      <c r="F36" s="49" t="inlineStr">
        <is>
          <t>운영</t>
        </is>
      </c>
      <c r="G36" s="49" t="inlineStr">
        <is>
          <t>경기</t>
        </is>
      </c>
      <c r="H36" s="73" t="inlineStr">
        <is>
          <t>경기 성남시 분당구 분당동 130</t>
        </is>
      </c>
      <c r="I36" s="74" t="n"/>
      <c r="J36" s="74" t="n"/>
      <c r="K36" s="403">
        <f>$K$192*L36</f>
        <v/>
      </c>
      <c r="L36" s="25" t="n">
        <v>0.005850776892255449</v>
      </c>
      <c r="M36" s="404">
        <f>$M$192*N36</f>
        <v/>
      </c>
      <c r="N36" s="27" t="n">
        <v>0.003082040340523421</v>
      </c>
      <c r="O36" s="404">
        <f>$O$192*P36</f>
        <v/>
      </c>
      <c r="P36" s="28" t="n">
        <v>0.00578132689069972</v>
      </c>
      <c r="Q36" s="405">
        <f>M36+O36</f>
        <v/>
      </c>
      <c r="R36" s="406">
        <f>K36+Q36</f>
        <v/>
      </c>
      <c r="S36" s="74" t="n"/>
      <c r="T36" s="419" t="n">
        <v>5134000000</v>
      </c>
      <c r="U36" s="420" t="n">
        <v>140000000</v>
      </c>
      <c r="V36" s="420" t="n">
        <v>222000000</v>
      </c>
      <c r="W36" s="421">
        <f>SUM(U36:V36)</f>
        <v/>
      </c>
      <c r="X36" s="406">
        <f>SUM(T36,W36)</f>
        <v/>
      </c>
    </row>
    <row r="37">
      <c r="B37" s="45" t="n">
        <v>33</v>
      </c>
      <c r="C37" s="46" t="n">
        <v>26357</v>
      </c>
      <c r="D37" s="80" t="inlineStr">
        <is>
          <t>수내동</t>
        </is>
      </c>
      <c r="E37" s="81" t="inlineStr">
        <is>
          <t>수내동</t>
        </is>
      </c>
      <c r="F37" s="49" t="inlineStr">
        <is>
          <t>운영</t>
        </is>
      </c>
      <c r="G37" s="49" t="inlineStr">
        <is>
          <t>경기</t>
        </is>
      </c>
      <c r="H37" s="73" t="inlineStr">
        <is>
          <t>경기 성남시 분당구 수내동 86</t>
        </is>
      </c>
      <c r="I37" s="74" t="n"/>
      <c r="J37" s="74" t="n"/>
      <c r="K37" s="403">
        <f>$K$192*L37</f>
        <v/>
      </c>
      <c r="L37" s="25" t="n">
        <v>0.01175117647801291</v>
      </c>
      <c r="M37" s="404">
        <f>$M$192*N37</f>
        <v/>
      </c>
      <c r="N37" s="27" t="n">
        <v>0.008373242642213776</v>
      </c>
      <c r="O37" s="404">
        <f>$O$192*P37</f>
        <v/>
      </c>
      <c r="P37" s="28" t="n">
        <v>0.0212570574083077</v>
      </c>
      <c r="Q37" s="405">
        <f>M37+O37</f>
        <v/>
      </c>
      <c r="R37" s="406">
        <f>K37+Q37</f>
        <v/>
      </c>
      <c r="S37" s="74" t="n"/>
      <c r="T37" s="419" t="n">
        <v>10312000000</v>
      </c>
      <c r="U37" s="420" t="n">
        <v>380000000</v>
      </c>
      <c r="V37" s="420" t="n">
        <v>815000000</v>
      </c>
      <c r="W37" s="421">
        <f>SUM(U37:V37)</f>
        <v/>
      </c>
      <c r="X37" s="406">
        <f>SUM(T37,W37)</f>
        <v/>
      </c>
    </row>
    <row r="38">
      <c r="B38" s="45" t="n">
        <v>34</v>
      </c>
      <c r="C38" s="46" t="n">
        <v>26372</v>
      </c>
      <c r="D38" s="20" t="inlineStr">
        <is>
          <t>이매동</t>
        </is>
      </c>
      <c r="E38" s="21" t="inlineStr">
        <is>
          <t>이매동셀프</t>
        </is>
      </c>
      <c r="F38" s="49" t="inlineStr">
        <is>
          <t>운영</t>
        </is>
      </c>
      <c r="G38" s="49" t="inlineStr">
        <is>
          <t>경기</t>
        </is>
      </c>
      <c r="H38" s="73" t="inlineStr">
        <is>
          <t>경기 성남시 분당구 이매동 87-3 외 1필지</t>
        </is>
      </c>
      <c r="I38" s="74" t="n"/>
      <c r="J38" s="74" t="n"/>
      <c r="K38" s="403">
        <f>$K$192*L38</f>
        <v/>
      </c>
      <c r="L38" s="25" t="n">
        <v>0.01142117814212315</v>
      </c>
      <c r="M38" s="404">
        <f>$M$192*N38</f>
        <v/>
      </c>
      <c r="N38" s="27" t="n">
        <v>0.003302426596166558</v>
      </c>
      <c r="O38" s="404">
        <f>$O$192*P38</f>
        <v/>
      </c>
      <c r="P38" s="28" t="n">
        <v>0.007309534956494395</v>
      </c>
      <c r="Q38" s="405">
        <f>M38+O38</f>
        <v/>
      </c>
      <c r="R38" s="406">
        <f>K38+Q38</f>
        <v/>
      </c>
      <c r="S38" s="74" t="n"/>
      <c r="T38" s="419" t="n">
        <v>10023000000</v>
      </c>
      <c r="U38" s="420" t="n">
        <v>150000000</v>
      </c>
      <c r="V38" s="420" t="n">
        <v>280000000</v>
      </c>
      <c r="W38" s="421">
        <f>SUM(U38:V38)</f>
        <v/>
      </c>
      <c r="X38" s="406">
        <f>SUM(T38,W38)</f>
        <v/>
      </c>
    </row>
    <row r="39">
      <c r="B39" s="45" t="n">
        <v>35</v>
      </c>
      <c r="C39" s="46" t="n">
        <v>11094</v>
      </c>
      <c r="D39" s="80" t="inlineStr">
        <is>
          <t>남문</t>
        </is>
      </c>
      <c r="E39" s="81" t="inlineStr">
        <is>
          <t>남문</t>
        </is>
      </c>
      <c r="F39" s="49" t="inlineStr">
        <is>
          <t>운영</t>
        </is>
      </c>
      <c r="G39" s="49" t="inlineStr">
        <is>
          <t>경기</t>
        </is>
      </c>
      <c r="H39" s="73" t="inlineStr">
        <is>
          <t>경기 성남시 수정구 태평동 6539 외 4필지</t>
        </is>
      </c>
      <c r="I39" s="74" t="n"/>
      <c r="J39" s="74" t="n"/>
      <c r="K39" s="403">
        <f>$K$192*L39</f>
        <v/>
      </c>
      <c r="L39" s="25" t="n">
        <v>0.00176039598573964</v>
      </c>
      <c r="M39" s="404">
        <f>$M$192*N39</f>
        <v/>
      </c>
      <c r="N39" s="27" t="n">
        <v>0.002192050837528034</v>
      </c>
      <c r="O39" s="404">
        <f>$O$192*P39</f>
        <v/>
      </c>
      <c r="P39" s="28" t="n">
        <v>0.007751564763609301</v>
      </c>
      <c r="Q39" s="405">
        <f>M39+O39</f>
        <v/>
      </c>
      <c r="R39" s="406">
        <f>K39+Q39</f>
        <v/>
      </c>
      <c r="S39" s="74" t="n"/>
      <c r="T39" s="419" t="n">
        <v>1545000000</v>
      </c>
      <c r="U39" s="420" t="n">
        <v>100000000</v>
      </c>
      <c r="V39" s="420" t="n">
        <v>297000000</v>
      </c>
      <c r="W39" s="421">
        <f>SUM(U39:V39)</f>
        <v/>
      </c>
      <c r="X39" s="406">
        <f>SUM(T39,W39)</f>
        <v/>
      </c>
    </row>
    <row r="40">
      <c r="B40" s="45" t="n">
        <v>36</v>
      </c>
      <c r="C40" s="46" t="n">
        <v>23571</v>
      </c>
      <c r="D40" s="80" t="inlineStr">
        <is>
          <t>영통제일</t>
        </is>
      </c>
      <c r="E40" s="81" t="inlineStr">
        <is>
          <t>영통제일셀프</t>
        </is>
      </c>
      <c r="F40" s="49" t="inlineStr">
        <is>
          <t>운영</t>
        </is>
      </c>
      <c r="G40" s="49" t="inlineStr">
        <is>
          <t>경기</t>
        </is>
      </c>
      <c r="H40" s="73" t="inlineStr">
        <is>
          <t>경기 수원시 영통구 매탄동 540-5</t>
        </is>
      </c>
      <c r="I40" s="74" t="n"/>
      <c r="J40" s="74" t="n"/>
      <c r="K40" s="403">
        <f>$K$192*L40</f>
        <v/>
      </c>
      <c r="L40" s="25" t="n">
        <v>0.003996185888198141</v>
      </c>
      <c r="M40" s="404">
        <f>$M$192*N40</f>
        <v/>
      </c>
      <c r="N40" s="27" t="n">
        <v>0.005273988126635319</v>
      </c>
      <c r="O40" s="404">
        <f>$O$192*P40</f>
        <v/>
      </c>
      <c r="P40" s="28" t="n">
        <v>0.007020396151768703</v>
      </c>
      <c r="Q40" s="405">
        <f>M40+O40</f>
        <v/>
      </c>
      <c r="R40" s="406">
        <f>K40+Q40</f>
        <v/>
      </c>
      <c r="S40" s="74" t="n"/>
      <c r="T40" s="419" t="n">
        <v>3507000000</v>
      </c>
      <c r="U40" s="420" t="n">
        <v>240000000</v>
      </c>
      <c r="V40" s="420" t="n">
        <v>269000000</v>
      </c>
      <c r="W40" s="421">
        <f>SUM(U40:V40)</f>
        <v/>
      </c>
      <c r="X40" s="406">
        <f>SUM(T40,W40)</f>
        <v/>
      </c>
    </row>
    <row r="41" customFormat="1" s="57">
      <c r="B41" s="51" t="n">
        <v>37</v>
      </c>
      <c r="C41" s="52" t="n">
        <v>23763</v>
      </c>
      <c r="D41" s="53" t="inlineStr">
        <is>
          <t>갤럭시(구.애니콜)</t>
        </is>
      </c>
      <c r="E41" s="54" t="inlineStr">
        <is>
          <t>영통현대셀프</t>
        </is>
      </c>
      <c r="F41" s="55" t="inlineStr">
        <is>
          <t>운영</t>
        </is>
      </c>
      <c r="G41" s="55" t="inlineStr">
        <is>
          <t>경기</t>
        </is>
      </c>
      <c r="H41" s="68" t="inlineStr">
        <is>
          <t>경기 수원시 영통구 원천동 328-6</t>
        </is>
      </c>
      <c r="I41" s="69" t="n"/>
      <c r="J41" s="69" t="n"/>
      <c r="K41" s="411">
        <f>$K$192*L41</f>
        <v/>
      </c>
      <c r="L41" s="59" t="n">
        <v>0.005187130532246491</v>
      </c>
      <c r="M41" s="412">
        <f>$M$192*N41</f>
        <v/>
      </c>
      <c r="N41" s="61" t="n">
        <v>0.001714853570032808</v>
      </c>
      <c r="O41" s="412">
        <f>$O$192*P41</f>
        <v/>
      </c>
      <c r="P41" s="62" t="n">
        <v>0.007081783519582264</v>
      </c>
      <c r="Q41" s="413">
        <f>M41+O41</f>
        <v/>
      </c>
      <c r="R41" s="414">
        <f>K41+Q41</f>
        <v/>
      </c>
      <c r="S41" s="69" t="n"/>
      <c r="T41" s="416" t="n">
        <v>4552000000</v>
      </c>
      <c r="U41" s="417" t="n">
        <v>78000000</v>
      </c>
      <c r="V41" s="417" t="n">
        <v>272000000</v>
      </c>
      <c r="W41" s="418">
        <f>SUM(U41:V41)</f>
        <v/>
      </c>
      <c r="X41" s="414">
        <f>SUM(T41,W41)</f>
        <v/>
      </c>
    </row>
    <row r="42">
      <c r="B42" s="45" t="n">
        <v>38</v>
      </c>
      <c r="C42" s="46" t="n">
        <v>26004</v>
      </c>
      <c r="D42" s="80" t="inlineStr">
        <is>
          <t>송죽동</t>
        </is>
      </c>
      <c r="E42" s="81" t="inlineStr">
        <is>
          <t>송죽현대셀프</t>
        </is>
      </c>
      <c r="F42" s="49" t="inlineStr">
        <is>
          <t>운영</t>
        </is>
      </c>
      <c r="G42" s="49" t="inlineStr">
        <is>
          <t>경기</t>
        </is>
      </c>
      <c r="H42" s="73" t="inlineStr">
        <is>
          <t>경기 수원시 장안구 송죽동 200-5 외 1필지</t>
        </is>
      </c>
      <c r="I42" s="74" t="n"/>
      <c r="J42" s="74" t="n"/>
      <c r="K42" s="403">
        <f>$K$192*L42</f>
        <v/>
      </c>
      <c r="L42" s="25" t="n">
        <v>0.005732336738650631</v>
      </c>
      <c r="M42" s="404">
        <f>$M$192*N42</f>
        <v/>
      </c>
      <c r="N42" s="27" t="n">
        <v>0.01167474062849504</v>
      </c>
      <c r="O42" s="404">
        <f>$O$192*P42</f>
        <v/>
      </c>
      <c r="P42" s="28" t="n">
        <v>0.002412290323834082</v>
      </c>
      <c r="Q42" s="405">
        <f>M42+O42</f>
        <v/>
      </c>
      <c r="R42" s="406">
        <f>K42+Q42</f>
        <v/>
      </c>
      <c r="S42" s="74" t="n"/>
      <c r="T42" s="419" t="n">
        <v>5030000000</v>
      </c>
      <c r="U42" s="420" t="n">
        <v>530000000</v>
      </c>
      <c r="V42" s="420" t="n">
        <v>93000000</v>
      </c>
      <c r="W42" s="421">
        <f>SUM(U42:V42)</f>
        <v/>
      </c>
      <c r="X42" s="406">
        <f>SUM(T42,W42)</f>
        <v/>
      </c>
    </row>
    <row r="43">
      <c r="B43" s="45" t="n">
        <v>39</v>
      </c>
      <c r="C43" s="46" t="n">
        <v>10972</v>
      </c>
      <c r="D43" s="80" t="inlineStr">
        <is>
          <t>장안(경기수원)</t>
        </is>
      </c>
      <c r="E43" s="81" t="inlineStr">
        <is>
          <t>경수대로</t>
        </is>
      </c>
      <c r="F43" s="49" t="inlineStr">
        <is>
          <t>운영</t>
        </is>
      </c>
      <c r="G43" s="49" t="inlineStr">
        <is>
          <t>경기</t>
        </is>
      </c>
      <c r="H43" s="73" t="inlineStr">
        <is>
          <t>경기 수원시 장안구 영화동 104-28</t>
        </is>
      </c>
      <c r="I43" s="74" t="n"/>
      <c r="J43" s="74" t="n"/>
      <c r="K43" s="403">
        <f>$K$192*L43</f>
        <v/>
      </c>
      <c r="L43" s="25" t="n">
        <v>0.01431641929238113</v>
      </c>
      <c r="M43" s="404">
        <f>$M$192*N43</f>
        <v/>
      </c>
      <c r="N43" s="27" t="n">
        <v>0.01343125450200855</v>
      </c>
      <c r="O43" s="404">
        <f>$O$192*P43</f>
        <v/>
      </c>
      <c r="P43" s="28" t="n">
        <v>0.007473272343679882</v>
      </c>
      <c r="Q43" s="405">
        <f>M43+O43</f>
        <v/>
      </c>
      <c r="R43" s="406">
        <f>K43+Q43</f>
        <v/>
      </c>
      <c r="S43" s="74" t="n"/>
      <c r="T43" s="419" t="n">
        <v>12564000000</v>
      </c>
      <c r="U43" s="420" t="n">
        <v>610000000</v>
      </c>
      <c r="V43" s="420" t="n">
        <v>287000000</v>
      </c>
      <c r="W43" s="421">
        <f>SUM(U43:V43)</f>
        <v/>
      </c>
      <c r="X43" s="406">
        <f>SUM(T43,W43)</f>
        <v/>
      </c>
    </row>
    <row r="44">
      <c r="B44" s="45" t="n">
        <v>40</v>
      </c>
      <c r="C44" s="46" t="n">
        <v>25370</v>
      </c>
      <c r="D44" s="80" t="inlineStr">
        <is>
          <t>북수원</t>
        </is>
      </c>
      <c r="E44" s="81" t="inlineStr">
        <is>
          <t>북수원셀프</t>
        </is>
      </c>
      <c r="F44" s="49" t="inlineStr">
        <is>
          <t>운영</t>
        </is>
      </c>
      <c r="G44" s="49" t="inlineStr">
        <is>
          <t>경기</t>
        </is>
      </c>
      <c r="H44" s="73" t="inlineStr">
        <is>
          <t>경기 수원시 장안구 율전동 114-3</t>
        </is>
      </c>
      <c r="I44" s="74" t="n"/>
      <c r="J44" s="74" t="n"/>
      <c r="K44" s="403">
        <f>$K$192*L44</f>
        <v/>
      </c>
      <c r="L44" s="25" t="n">
        <v>0.00732307419043075</v>
      </c>
      <c r="M44" s="404">
        <f>$M$192*N44</f>
        <v/>
      </c>
      <c r="N44" s="27" t="n">
        <v>0.003749710656860571</v>
      </c>
      <c r="O44" s="404">
        <f>$O$192*P44</f>
        <v/>
      </c>
      <c r="P44" s="28" t="n">
        <v>0.004683668220555002</v>
      </c>
      <c r="Q44" s="405">
        <f>M44+O44</f>
        <v/>
      </c>
      <c r="R44" s="406">
        <f>K44+Q44</f>
        <v/>
      </c>
      <c r="S44" s="74" t="n"/>
      <c r="T44" s="419" t="n">
        <v>6426000000</v>
      </c>
      <c r="U44" s="420" t="n">
        <v>170000000</v>
      </c>
      <c r="V44" s="420" t="n">
        <v>180000000</v>
      </c>
      <c r="W44" s="421">
        <f>SUM(U44:V44)</f>
        <v/>
      </c>
      <c r="X44" s="406">
        <f>SUM(T44,W44)</f>
        <v/>
      </c>
    </row>
    <row r="45">
      <c r="B45" s="45" t="n">
        <v>41</v>
      </c>
      <c r="C45" s="46" t="n">
        <v>26338</v>
      </c>
      <c r="D45" s="80" t="inlineStr">
        <is>
          <t>천천</t>
        </is>
      </c>
      <c r="E45" s="81" t="inlineStr">
        <is>
          <t>천천현대셀프</t>
        </is>
      </c>
      <c r="F45" s="49" t="inlineStr">
        <is>
          <t>운영</t>
        </is>
      </c>
      <c r="G45" s="49" t="inlineStr">
        <is>
          <t>경기</t>
        </is>
      </c>
      <c r="H45" s="73" t="inlineStr">
        <is>
          <t>경기 수원시 장안구 천천동 521</t>
        </is>
      </c>
      <c r="I45" s="74" t="n"/>
      <c r="J45" s="74" t="n"/>
      <c r="K45" s="403">
        <f>$K$192*L45</f>
        <v/>
      </c>
      <c r="L45" s="25" t="n">
        <v>0.004754717213011322</v>
      </c>
      <c r="M45" s="404">
        <f>$M$192*N45</f>
        <v/>
      </c>
      <c r="N45" s="27" t="n">
        <v>0.004181446381068741</v>
      </c>
      <c r="O45" s="404">
        <f>$O$192*P45</f>
        <v/>
      </c>
      <c r="P45" s="28" t="n">
        <v>0.003640286762010838</v>
      </c>
      <c r="Q45" s="405">
        <f>M45+O45</f>
        <v/>
      </c>
      <c r="R45" s="406">
        <f>K45+Q45</f>
        <v/>
      </c>
      <c r="S45" s="74" t="n"/>
      <c r="T45" s="419" t="n">
        <v>4173000000</v>
      </c>
      <c r="U45" s="420" t="n">
        <v>190000000</v>
      </c>
      <c r="V45" s="420" t="n">
        <v>140000000</v>
      </c>
      <c r="W45" s="421">
        <f>SUM(U45:V45)</f>
        <v/>
      </c>
      <c r="X45" s="406">
        <f>SUM(T45,W45)</f>
        <v/>
      </c>
    </row>
    <row r="46" customFormat="1" s="37">
      <c r="B46" s="31" t="n">
        <v>42</v>
      </c>
      <c r="C46" s="32" t="n">
        <v>11010</v>
      </c>
      <c r="D46" s="66" t="inlineStr">
        <is>
          <t>군자</t>
        </is>
      </c>
      <c r="E46" s="67" t="inlineStr">
        <is>
          <t>군자셀프</t>
        </is>
      </c>
      <c r="F46" s="35" t="inlineStr">
        <is>
          <t>운영</t>
        </is>
      </c>
      <c r="G46" s="35" t="inlineStr">
        <is>
          <t>경기</t>
        </is>
      </c>
      <c r="H46" s="78" t="inlineStr">
        <is>
          <t>경기 시흥시 거모동 1770-12 외 1필지</t>
        </is>
      </c>
      <c r="I46" s="79" t="n"/>
      <c r="J46" s="79" t="n"/>
      <c r="K46" s="407">
        <f>$K$192*L46</f>
        <v/>
      </c>
      <c r="L46" s="39" t="n">
        <v>0.002359272505708228</v>
      </c>
      <c r="M46" s="408">
        <f>$M$192*N46</f>
        <v/>
      </c>
      <c r="N46" s="41" t="n">
        <v>0.003155150636116852</v>
      </c>
      <c r="O46" s="408">
        <f>$O$192*P46</f>
        <v/>
      </c>
      <c r="P46" s="42" t="n">
        <v>0.002064888997019017</v>
      </c>
      <c r="Q46" s="409">
        <f>M46+O46</f>
        <v/>
      </c>
      <c r="R46" s="410">
        <f>K46+Q46</f>
        <v/>
      </c>
      <c r="S46" s="79" t="n"/>
      <c r="T46" s="419" t="n">
        <v>2070000000</v>
      </c>
      <c r="U46" s="420" t="n">
        <v>143000000</v>
      </c>
      <c r="V46" s="420" t="n">
        <v>79000000</v>
      </c>
      <c r="W46" s="421">
        <f>SUM(U46:V46)</f>
        <v/>
      </c>
      <c r="X46" s="406">
        <f>SUM(T46,W46)</f>
        <v/>
      </c>
    </row>
    <row r="47">
      <c r="B47" s="45" t="n">
        <v>43</v>
      </c>
      <c r="C47" s="46" t="n">
        <v>11006</v>
      </c>
      <c r="D47" s="80" t="inlineStr">
        <is>
          <t>목감</t>
        </is>
      </c>
      <c r="E47" s="81" t="inlineStr">
        <is>
          <t>목감</t>
        </is>
      </c>
      <c r="F47" s="49" t="inlineStr">
        <is>
          <t>운영</t>
        </is>
      </c>
      <c r="G47" s="49" t="inlineStr">
        <is>
          <t>경기</t>
        </is>
      </c>
      <c r="H47" s="73" t="inlineStr">
        <is>
          <t>경기 시흥시 목감동 202-22 외 3필지</t>
        </is>
      </c>
      <c r="I47" s="74" t="n"/>
      <c r="J47" s="74" t="n"/>
      <c r="K47" s="403">
        <f>$K$192*L47</f>
        <v/>
      </c>
      <c r="L47" s="25" t="n">
        <v>0.01399382724000986</v>
      </c>
      <c r="M47" s="404">
        <f>$M$192*N47</f>
        <v/>
      </c>
      <c r="N47" s="27" t="n">
        <v>0.007969969757380457</v>
      </c>
      <c r="O47" s="404">
        <f>$O$192*P47</f>
        <v/>
      </c>
      <c r="P47" s="28" t="n">
        <v>0.005846654281382907</v>
      </c>
      <c r="Q47" s="405">
        <f>M47+O47</f>
        <v/>
      </c>
      <c r="R47" s="406">
        <f>K47+Q47</f>
        <v/>
      </c>
      <c r="S47" s="74" t="n"/>
      <c r="T47" s="419" t="n">
        <v>12280000000</v>
      </c>
      <c r="U47" s="420" t="n">
        <v>362000000</v>
      </c>
      <c r="V47" s="420" t="n">
        <v>224000000</v>
      </c>
      <c r="W47" s="421">
        <f>SUM(U47:V47)</f>
        <v/>
      </c>
      <c r="X47" s="406">
        <f>SUM(T47,W47)</f>
        <v/>
      </c>
    </row>
    <row r="48">
      <c r="B48" s="45" t="n">
        <v>44</v>
      </c>
      <c r="C48" s="46" t="n">
        <v>26531</v>
      </c>
      <c r="D48" s="80" t="inlineStr">
        <is>
          <t>안산공원</t>
        </is>
      </c>
      <c r="E48" s="81" t="inlineStr">
        <is>
          <t>안산공원셀프</t>
        </is>
      </c>
      <c r="F48" s="49" t="inlineStr">
        <is>
          <t>운영</t>
        </is>
      </c>
      <c r="G48" s="49" t="inlineStr">
        <is>
          <t>경기</t>
        </is>
      </c>
      <c r="H48" s="73" t="inlineStr">
        <is>
          <t>경기 안산시 고잔동 779-1</t>
        </is>
      </c>
      <c r="I48" s="74" t="n"/>
      <c r="J48" s="74" t="n"/>
      <c r="K48" s="403">
        <f>$K$192*L48</f>
        <v/>
      </c>
      <c r="L48" s="25" t="n">
        <v>0.005024600125474442</v>
      </c>
      <c r="M48" s="404">
        <f>$M$192*N48</f>
        <v/>
      </c>
      <c r="N48" s="27" t="n">
        <v>0.004043687286215726</v>
      </c>
      <c r="O48" s="404">
        <f>$O$192*P48</f>
        <v/>
      </c>
      <c r="P48" s="28" t="n">
        <v>0.004350713644261903</v>
      </c>
      <c r="Q48" s="405">
        <f>M48+O48</f>
        <v/>
      </c>
      <c r="R48" s="406">
        <f>K48+Q48</f>
        <v/>
      </c>
      <c r="S48" s="74" t="n"/>
      <c r="T48" s="419" t="n">
        <v>4409000000</v>
      </c>
      <c r="U48" s="420" t="n">
        <v>184000000</v>
      </c>
      <c r="V48" s="420" t="n">
        <v>167000000</v>
      </c>
      <c r="W48" s="421">
        <f>SUM(U48:V48)</f>
        <v/>
      </c>
      <c r="X48" s="406">
        <f>SUM(T48,W48)</f>
        <v/>
      </c>
    </row>
    <row r="49">
      <c r="B49" s="45" t="n">
        <v>45</v>
      </c>
      <c r="C49" s="46" t="n">
        <v>11147</v>
      </c>
      <c r="D49" s="80" t="inlineStr">
        <is>
          <t>신도시(경기안산)</t>
        </is>
      </c>
      <c r="E49" s="81" t="inlineStr">
        <is>
          <t>신도시셀프</t>
        </is>
      </c>
      <c r="F49" s="49" t="inlineStr">
        <is>
          <t>운영</t>
        </is>
      </c>
      <c r="G49" s="49" t="inlineStr">
        <is>
          <t>경기</t>
        </is>
      </c>
      <c r="H49" s="73" t="inlineStr">
        <is>
          <t>경기 안산시 상록구 월피동 445-5</t>
        </is>
      </c>
      <c r="I49" s="74" t="n"/>
      <c r="J49" s="74" t="n"/>
      <c r="K49" s="403">
        <f>$K$192*L49</f>
        <v/>
      </c>
      <c r="L49" s="25" t="n">
        <v>0.004732561714787462</v>
      </c>
      <c r="M49" s="404">
        <f>$M$192*N49</f>
        <v/>
      </c>
      <c r="N49" s="27" t="n">
        <v>0.02141314744206899</v>
      </c>
      <c r="O49" s="404">
        <f>$O$192*P49</f>
        <v/>
      </c>
      <c r="P49" s="28" t="n">
        <v>0.01837745569038336</v>
      </c>
      <c r="Q49" s="405">
        <f>M49+O49</f>
        <v/>
      </c>
      <c r="R49" s="406">
        <f>K49+Q49</f>
        <v/>
      </c>
      <c r="S49" s="74" t="n"/>
      <c r="T49" s="419" t="n">
        <v>4153000000</v>
      </c>
      <c r="U49" s="420" t="n">
        <v>973000000</v>
      </c>
      <c r="V49" s="420" t="n">
        <v>705000000</v>
      </c>
      <c r="W49" s="421">
        <f>SUM(U49:V49)</f>
        <v/>
      </c>
      <c r="X49" s="406">
        <f>SUM(T49,W49)</f>
        <v/>
      </c>
    </row>
    <row r="50">
      <c r="B50" s="45" t="n">
        <v>46</v>
      </c>
      <c r="C50" s="46" t="n">
        <v>13595</v>
      </c>
      <c r="D50" s="80" t="inlineStr">
        <is>
          <t>제이</t>
        </is>
      </c>
      <c r="E50" s="81" t="inlineStr">
        <is>
          <t>제이셀프</t>
        </is>
      </c>
      <c r="F50" s="49" t="inlineStr">
        <is>
          <t>운영</t>
        </is>
      </c>
      <c r="G50" s="49" t="inlineStr">
        <is>
          <t>경기</t>
        </is>
      </c>
      <c r="H50" s="73" t="inlineStr">
        <is>
          <t>경기 안산시 선부동 1076-16</t>
        </is>
      </c>
      <c r="I50" s="74" t="n"/>
      <c r="J50" s="74" t="n"/>
      <c r="K50" s="403">
        <f>$K$192*L50</f>
        <v/>
      </c>
      <c r="L50" s="25" t="n">
        <v>0.004959626370116667</v>
      </c>
      <c r="M50" s="404">
        <f>$M$192*N50</f>
        <v/>
      </c>
      <c r="N50" s="27" t="n">
        <v>0.00588416282679883</v>
      </c>
      <c r="O50" s="404">
        <f>$O$192*P50</f>
        <v/>
      </c>
      <c r="P50" s="28" t="n">
        <v>0.003557885938892599</v>
      </c>
      <c r="Q50" s="405">
        <f>M50+O50</f>
        <v/>
      </c>
      <c r="R50" s="406">
        <f>K50+Q50</f>
        <v/>
      </c>
      <c r="S50" s="74" t="n"/>
      <c r="T50" s="419" t="n">
        <v>4352000000</v>
      </c>
      <c r="U50" s="420" t="n">
        <v>267000000</v>
      </c>
      <c r="V50" s="420" t="n">
        <v>136000000</v>
      </c>
      <c r="W50" s="421">
        <f>SUM(U50:V50)</f>
        <v/>
      </c>
      <c r="X50" s="406">
        <f>SUM(T50,W50)</f>
        <v/>
      </c>
    </row>
    <row r="51">
      <c r="B51" s="45" t="n">
        <v>47</v>
      </c>
      <c r="C51" s="46" t="n">
        <v>18737</v>
      </c>
      <c r="D51" s="80" t="inlineStr">
        <is>
          <t>동양</t>
        </is>
      </c>
      <c r="E51" s="81" t="inlineStr">
        <is>
          <t>동양</t>
        </is>
      </c>
      <c r="F51" s="49" t="inlineStr">
        <is>
          <t>운영</t>
        </is>
      </c>
      <c r="G51" s="49" t="inlineStr">
        <is>
          <t>경기</t>
        </is>
      </c>
      <c r="H51" s="73" t="inlineStr">
        <is>
          <t>경기 안산시 단원구 신길동 1743</t>
        </is>
      </c>
      <c r="I51" s="74" t="n"/>
      <c r="J51" s="74" t="n"/>
      <c r="K51" s="403">
        <f>$K$192*L51</f>
        <v/>
      </c>
      <c r="L51" s="25" t="n">
        <v>0.002464489839847658</v>
      </c>
      <c r="M51" s="404">
        <f>$M$192*N51</f>
        <v/>
      </c>
      <c r="N51" s="27" t="n">
        <v>0.0007706104598868321</v>
      </c>
      <c r="O51" s="404">
        <f>$O$192*P51</f>
        <v/>
      </c>
      <c r="P51" s="28" t="n">
        <v>0.003408527370800292</v>
      </c>
      <c r="Q51" s="405">
        <f>M51+O51</f>
        <v/>
      </c>
      <c r="R51" s="406">
        <f>K51+Q51</f>
        <v/>
      </c>
      <c r="S51" s="74" t="n"/>
      <c r="T51" s="419" t="n">
        <v>2163000000</v>
      </c>
      <c r="U51" s="420" t="n">
        <v>35000000</v>
      </c>
      <c r="V51" s="420" t="n">
        <v>131000000</v>
      </c>
      <c r="W51" s="421">
        <f>SUM(U51:V51)</f>
        <v/>
      </c>
      <c r="X51" s="406">
        <f>SUM(T51,W51)</f>
        <v/>
      </c>
    </row>
    <row r="52">
      <c r="B52" s="45" t="n">
        <v>48</v>
      </c>
      <c r="C52" s="46" t="n">
        <v>13594</v>
      </c>
      <c r="D52" s="80" t="inlineStr">
        <is>
          <t>중앙(경기안산)</t>
        </is>
      </c>
      <c r="E52" s="81" t="inlineStr">
        <is>
          <t>안산중앙</t>
        </is>
      </c>
      <c r="F52" s="49" t="inlineStr">
        <is>
          <t>운영</t>
        </is>
      </c>
      <c r="G52" s="49" t="inlineStr">
        <is>
          <t>경기</t>
        </is>
      </c>
      <c r="H52" s="73" t="inlineStr">
        <is>
          <t>경기 안산시 와동 852 외 1필지</t>
        </is>
      </c>
      <c r="I52" s="74" t="n"/>
      <c r="J52" s="74" t="n"/>
      <c r="K52" s="403">
        <f>$K$192*L52</f>
        <v/>
      </c>
      <c r="L52" s="25" t="n">
        <v>0.002707450981012668</v>
      </c>
      <c r="M52" s="404">
        <f>$M$192*N52</f>
        <v/>
      </c>
      <c r="N52" s="27" t="n">
        <v>0.00205727698351278</v>
      </c>
      <c r="O52" s="404">
        <f>$O$192*P52</f>
        <v/>
      </c>
      <c r="P52" s="28" t="n">
        <v>0.00273831589439094</v>
      </c>
      <c r="Q52" s="405">
        <f>M52+O52</f>
        <v/>
      </c>
      <c r="R52" s="406">
        <f>K52+Q52</f>
        <v/>
      </c>
      <c r="S52" s="74" t="n"/>
      <c r="T52" s="419" t="n">
        <v>2376000000</v>
      </c>
      <c r="U52" s="420" t="n">
        <v>93000000</v>
      </c>
      <c r="V52" s="420" t="n">
        <v>105000000</v>
      </c>
      <c r="W52" s="421">
        <f>SUM(U52:V52)</f>
        <v/>
      </c>
      <c r="X52" s="406">
        <f>SUM(T52,W52)</f>
        <v/>
      </c>
    </row>
    <row r="53">
      <c r="B53" s="45" t="n">
        <v>49</v>
      </c>
      <c r="C53" s="46" t="n">
        <v>11145</v>
      </c>
      <c r="D53" s="80" t="inlineStr">
        <is>
          <t>반월</t>
        </is>
      </c>
      <c r="E53" s="81" t="inlineStr">
        <is>
          <t>반월셀프</t>
        </is>
      </c>
      <c r="F53" s="49" t="inlineStr">
        <is>
          <t>운영</t>
        </is>
      </c>
      <c r="G53" s="49" t="inlineStr">
        <is>
          <t>경기</t>
        </is>
      </c>
      <c r="H53" s="73" t="inlineStr">
        <is>
          <t>경기 안산시 일동 648 외 1필지</t>
        </is>
      </c>
      <c r="I53" s="74" t="n"/>
      <c r="J53" s="74" t="n"/>
      <c r="K53" s="403">
        <f>$K$192*L53</f>
        <v/>
      </c>
      <c r="L53" s="25" t="n">
        <v>0.00289092131314561</v>
      </c>
      <c r="M53" s="404">
        <f>$M$192*N53</f>
        <v/>
      </c>
      <c r="N53" s="27" t="n">
        <v>0.00125100174771225</v>
      </c>
      <c r="O53" s="404">
        <f>$O$192*P53</f>
        <v/>
      </c>
      <c r="P53" s="28" t="n">
        <v>0.01666996503567775</v>
      </c>
      <c r="Q53" s="405">
        <f>M53+O53</f>
        <v/>
      </c>
      <c r="R53" s="406">
        <f>K53+Q53</f>
        <v/>
      </c>
      <c r="S53" s="74" t="n"/>
      <c r="T53" s="419" t="n">
        <v>2537000000</v>
      </c>
      <c r="U53" s="420" t="n">
        <v>57000000</v>
      </c>
      <c r="V53" s="420" t="n">
        <v>640000000</v>
      </c>
      <c r="W53" s="421">
        <f>SUM(U53:V53)</f>
        <v/>
      </c>
      <c r="X53" s="406">
        <f>SUM(T53,W53)</f>
        <v/>
      </c>
    </row>
    <row r="54">
      <c r="B54" s="45" t="n">
        <v>50</v>
      </c>
      <c r="C54" s="46" t="n">
        <v>11179</v>
      </c>
      <c r="D54" s="80" t="inlineStr">
        <is>
          <t>팔곡</t>
        </is>
      </c>
      <c r="E54" s="81" t="inlineStr">
        <is>
          <t>팔곡셀프</t>
        </is>
      </c>
      <c r="F54" s="49" t="inlineStr">
        <is>
          <t>운영</t>
        </is>
      </c>
      <c r="G54" s="49" t="inlineStr">
        <is>
          <t>경기</t>
        </is>
      </c>
      <c r="H54" s="73" t="inlineStr">
        <is>
          <t>경기 안산시 팔곡이동 445-4</t>
        </is>
      </c>
      <c r="I54" s="74" t="n"/>
      <c r="J54" s="74" t="n"/>
      <c r="K54" s="403">
        <f>$K$192*L54</f>
        <v/>
      </c>
      <c r="L54" s="25" t="n">
        <v>0.002748006372051518</v>
      </c>
      <c r="M54" s="404">
        <f>$M$192*N54</f>
        <v/>
      </c>
      <c r="N54" s="27" t="n">
        <v>0.00169935417818988</v>
      </c>
      <c r="O54" s="404">
        <f>$O$192*P54</f>
        <v/>
      </c>
      <c r="P54" s="28" t="n">
        <v>0.007238297531506767</v>
      </c>
      <c r="Q54" s="405">
        <f>M54+O54</f>
        <v/>
      </c>
      <c r="R54" s="406">
        <f>K54+Q54</f>
        <v/>
      </c>
      <c r="S54" s="74" t="n"/>
      <c r="T54" s="419" t="n">
        <v>2412000000</v>
      </c>
      <c r="U54" s="420" t="n">
        <v>77000000</v>
      </c>
      <c r="V54" s="420" t="n">
        <v>278000000</v>
      </c>
      <c r="W54" s="421">
        <f>SUM(U54:V54)</f>
        <v/>
      </c>
      <c r="X54" s="406">
        <f>SUM(T54,W54)</f>
        <v/>
      </c>
    </row>
    <row r="55">
      <c r="B55" s="45" t="n">
        <v>51</v>
      </c>
      <c r="C55" s="46" t="n">
        <v>11142</v>
      </c>
      <c r="D55" s="80" t="inlineStr">
        <is>
          <t>안평</t>
        </is>
      </c>
      <c r="E55" s="81" t="inlineStr">
        <is>
          <t>안성TG</t>
        </is>
      </c>
      <c r="F55" s="49" t="inlineStr">
        <is>
          <t>운영</t>
        </is>
      </c>
      <c r="G55" s="49" t="inlineStr">
        <is>
          <t>경기</t>
        </is>
      </c>
      <c r="H55" s="73" t="inlineStr">
        <is>
          <t>경기 안성시 공도면 진사리 2-6 외 3필지</t>
        </is>
      </c>
      <c r="I55" s="74" t="n"/>
      <c r="J55" s="74" t="n"/>
      <c r="K55" s="403">
        <f>$K$192*L55</f>
        <v/>
      </c>
      <c r="L55" s="25" t="n">
        <v>0.005276873069507465</v>
      </c>
      <c r="M55" s="404">
        <f>$M$192*N55</f>
        <v/>
      </c>
      <c r="N55" s="27" t="n">
        <v>0.01911900113846157</v>
      </c>
      <c r="O55" s="404">
        <f>$O$192*P55</f>
        <v/>
      </c>
      <c r="P55" s="28" t="n">
        <v>0.01511066701930838</v>
      </c>
      <c r="Q55" s="405">
        <f>M55+O55</f>
        <v/>
      </c>
      <c r="R55" s="406">
        <f>K55+Q55</f>
        <v/>
      </c>
      <c r="S55" s="74" t="n"/>
      <c r="T55" s="419" t="n">
        <v>4631000000</v>
      </c>
      <c r="U55" s="420" t="n">
        <v>869000000</v>
      </c>
      <c r="V55" s="420" t="n">
        <v>580000000</v>
      </c>
      <c r="W55" s="421">
        <f>SUM(U55:V55)</f>
        <v/>
      </c>
      <c r="X55" s="406">
        <f>SUM(T55,W55)</f>
        <v/>
      </c>
    </row>
    <row r="56">
      <c r="B56" s="45" t="n">
        <v>52</v>
      </c>
      <c r="C56" s="46" t="n">
        <v>13995</v>
      </c>
      <c r="D56" s="80" t="inlineStr">
        <is>
          <t>새관양</t>
        </is>
      </c>
      <c r="E56" s="81" t="inlineStr">
        <is>
          <t>관양현대셀프</t>
        </is>
      </c>
      <c r="F56" s="49" t="inlineStr">
        <is>
          <t>운영</t>
        </is>
      </c>
      <c r="G56" s="49" t="inlineStr">
        <is>
          <t>경기</t>
        </is>
      </c>
      <c r="H56" s="73" t="inlineStr">
        <is>
          <t>경기 안양시 동안구 관양동 1466-3 외 2필지</t>
        </is>
      </c>
      <c r="I56" s="74" t="n"/>
      <c r="J56" s="74" t="n"/>
      <c r="K56" s="403">
        <f>$K$192*L56</f>
        <v/>
      </c>
      <c r="L56" s="25" t="n">
        <v>0.006765114367767285</v>
      </c>
      <c r="M56" s="404">
        <f>$M$192*N56</f>
        <v/>
      </c>
      <c r="N56" s="27" t="n">
        <v>0.005457184292453932</v>
      </c>
      <c r="O56" s="404">
        <f>$O$192*P56</f>
        <v/>
      </c>
      <c r="P56" s="28" t="n">
        <v>0.003709735326040417</v>
      </c>
      <c r="Q56" s="405">
        <f>M56+O56</f>
        <v/>
      </c>
      <c r="R56" s="406">
        <f>K56+Q56</f>
        <v/>
      </c>
      <c r="S56" s="74" t="n"/>
      <c r="T56" s="419" t="n">
        <v>5937000000</v>
      </c>
      <c r="U56" s="420" t="n">
        <v>248000000</v>
      </c>
      <c r="V56" s="420" t="n">
        <v>142000000</v>
      </c>
      <c r="W56" s="421">
        <f>SUM(U56:V56)</f>
        <v/>
      </c>
      <c r="X56" s="406">
        <f>SUM(T56,W56)</f>
        <v/>
      </c>
    </row>
    <row r="57">
      <c r="B57" s="45" t="n">
        <v>53</v>
      </c>
      <c r="C57" s="46" t="n">
        <v>10988</v>
      </c>
      <c r="D57" s="80" t="inlineStr">
        <is>
          <t>비산</t>
        </is>
      </c>
      <c r="E57" s="81" t="inlineStr">
        <is>
          <t>비산현대셀프</t>
        </is>
      </c>
      <c r="F57" s="49" t="inlineStr">
        <is>
          <t>운영</t>
        </is>
      </c>
      <c r="G57" s="49" t="inlineStr">
        <is>
          <t>경기</t>
        </is>
      </c>
      <c r="H57" s="73" t="inlineStr">
        <is>
          <t>경기 안양시 동안구 비산동 576-13</t>
        </is>
      </c>
      <c r="I57" s="74" t="n"/>
      <c r="J57" s="74" t="n"/>
      <c r="K57" s="403">
        <f>$K$192*L57</f>
        <v/>
      </c>
      <c r="L57" s="25" t="n">
        <v>0.02151122084936354</v>
      </c>
      <c r="M57" s="404">
        <f>$M$192*N57</f>
        <v/>
      </c>
      <c r="N57" s="27" t="n">
        <v>0.03158092438584025</v>
      </c>
      <c r="O57" s="404">
        <f>$O$192*P57</f>
        <v/>
      </c>
      <c r="P57" s="28" t="n">
        <v>0.0249337327723386</v>
      </c>
      <c r="Q57" s="405">
        <f>M57+O57</f>
        <v/>
      </c>
      <c r="R57" s="406">
        <f>K57+Q57</f>
        <v/>
      </c>
      <c r="S57" s="74" t="n"/>
      <c r="T57" s="419" t="n">
        <v>18877000000</v>
      </c>
      <c r="U57" s="420" t="n">
        <v>1435000000</v>
      </c>
      <c r="V57" s="420" t="n">
        <v>957000000</v>
      </c>
      <c r="W57" s="421">
        <f>SUM(U57:V57)</f>
        <v/>
      </c>
      <c r="X57" s="406">
        <f>SUM(T57,W57)</f>
        <v/>
      </c>
    </row>
    <row r="58" customFormat="1" s="37">
      <c r="B58" s="31" t="n">
        <v>54</v>
      </c>
      <c r="C58" s="32" t="n">
        <v>22635</v>
      </c>
      <c r="D58" s="66" t="inlineStr">
        <is>
          <t>호계</t>
        </is>
      </c>
      <c r="E58" s="67" t="inlineStr">
        <is>
          <t>호계현대셀프</t>
        </is>
      </c>
      <c r="F58" s="35" t="inlineStr">
        <is>
          <t>운영</t>
        </is>
      </c>
      <c r="G58" s="35" t="inlineStr">
        <is>
          <t>경기</t>
        </is>
      </c>
      <c r="H58" s="78" t="inlineStr">
        <is>
          <t>경기 안양시 동안구 호계동 1006-7</t>
        </is>
      </c>
      <c r="I58" s="79" t="n"/>
      <c r="J58" s="79" t="n"/>
      <c r="K58" s="407">
        <f>$K$192*L58</f>
        <v/>
      </c>
      <c r="L58" s="39" t="n">
        <v>0.003326076600483723</v>
      </c>
      <c r="M58" s="408">
        <f>$M$192*N58</f>
        <v/>
      </c>
      <c r="N58" s="41" t="n">
        <v>0.006817090929691042</v>
      </c>
      <c r="O58" s="408">
        <f>$O$192*P58</f>
        <v/>
      </c>
      <c r="P58" s="42" t="n">
        <v>0.001807723251442255</v>
      </c>
      <c r="Q58" s="409">
        <f>M58+O58</f>
        <v/>
      </c>
      <c r="R58" s="410">
        <f>K58+Q58</f>
        <v/>
      </c>
      <c r="S58" s="79" t="n"/>
      <c r="T58" s="419" t="n">
        <v>2919000000</v>
      </c>
      <c r="U58" s="420" t="n">
        <v>310000000</v>
      </c>
      <c r="V58" s="420" t="n">
        <v>69000000</v>
      </c>
      <c r="W58" s="421">
        <f>SUM(U58:V58)</f>
        <v/>
      </c>
      <c r="X58" s="406">
        <f>SUM(T58,W58)</f>
        <v/>
      </c>
    </row>
    <row r="59">
      <c r="B59" s="45" t="n">
        <v>55</v>
      </c>
      <c r="C59" s="46" t="n">
        <v>10990</v>
      </c>
      <c r="D59" s="80" t="inlineStr">
        <is>
          <t>석수동</t>
        </is>
      </c>
      <c r="E59" s="81" t="inlineStr">
        <is>
          <t>석수현대셀프</t>
        </is>
      </c>
      <c r="F59" s="49" t="inlineStr">
        <is>
          <t>운영</t>
        </is>
      </c>
      <c r="G59" s="49" t="inlineStr">
        <is>
          <t>경기</t>
        </is>
      </c>
      <c r="H59" s="73" t="inlineStr">
        <is>
          <t>경기 안양시 만안구 석수동 259-1</t>
        </is>
      </c>
      <c r="I59" s="74" t="n"/>
      <c r="J59" s="74" t="n"/>
      <c r="K59" s="403">
        <f>$K$192*L59</f>
        <v/>
      </c>
      <c r="L59" s="25" t="n">
        <v>0.008739972844244586</v>
      </c>
      <c r="M59" s="404">
        <f>$M$192*N59</f>
        <v/>
      </c>
      <c r="N59" s="27" t="n">
        <v>0.008829140195300688</v>
      </c>
      <c r="O59" s="404">
        <f>$O$192*P59</f>
        <v/>
      </c>
      <c r="P59" s="28" t="n">
        <v>0.01042068117587621</v>
      </c>
      <c r="Q59" s="405">
        <f>M59+O59</f>
        <v/>
      </c>
      <c r="R59" s="406">
        <f>K59+Q59</f>
        <v/>
      </c>
      <c r="S59" s="74" t="n"/>
      <c r="T59" s="419" t="n">
        <v>7670000000</v>
      </c>
      <c r="U59" s="420" t="n">
        <v>401000000</v>
      </c>
      <c r="V59" s="420" t="n">
        <v>400000000</v>
      </c>
      <c r="W59" s="421">
        <f>SUM(U59:V59)</f>
        <v/>
      </c>
      <c r="X59" s="406">
        <f>SUM(T59,W59)</f>
        <v/>
      </c>
    </row>
    <row r="60" customFormat="1" s="37">
      <c r="B60" s="31" t="n">
        <v>56</v>
      </c>
      <c r="C60" s="32" t="n">
        <v>10989</v>
      </c>
      <c r="D60" s="66" t="inlineStr">
        <is>
          <t>목련</t>
        </is>
      </c>
      <c r="E60" s="67" t="inlineStr">
        <is>
          <t>목련</t>
        </is>
      </c>
      <c r="F60" s="35" t="inlineStr">
        <is>
          <t>운영</t>
        </is>
      </c>
      <c r="G60" s="35" t="inlineStr">
        <is>
          <t>경기</t>
        </is>
      </c>
      <c r="H60" s="78" t="inlineStr">
        <is>
          <t>경기 안양시 만안구 석수동 319-3 외 1필지</t>
        </is>
      </c>
      <c r="I60" s="79" t="n"/>
      <c r="J60" s="79" t="n"/>
      <c r="K60" s="407">
        <f>$K$192*L60</f>
        <v/>
      </c>
      <c r="L60" s="39" t="n">
        <v>0.008467169785245839</v>
      </c>
      <c r="M60" s="408">
        <f>$M$192*N60</f>
        <v/>
      </c>
      <c r="N60" s="41" t="n">
        <v>0.00155506307659791</v>
      </c>
      <c r="O60" s="408">
        <f>$O$192*P60</f>
        <v/>
      </c>
      <c r="P60" s="42" t="n">
        <v>0.003725087828946206</v>
      </c>
      <c r="Q60" s="409">
        <f>M60+O60</f>
        <v/>
      </c>
      <c r="R60" s="410">
        <f>K60+Q60</f>
        <v/>
      </c>
      <c r="S60" s="79" t="n"/>
      <c r="T60" s="419" t="n">
        <v>7430000000</v>
      </c>
      <c r="U60" s="420" t="n">
        <v>71000000</v>
      </c>
      <c r="V60" s="420" t="n">
        <v>143000000</v>
      </c>
      <c r="W60" s="421">
        <f>SUM(U60:V60)</f>
        <v/>
      </c>
      <c r="X60" s="406">
        <f>SUM(T60,W60)</f>
        <v/>
      </c>
    </row>
    <row r="61">
      <c r="B61" s="45" t="n">
        <v>57</v>
      </c>
      <c r="C61" s="46" t="n">
        <v>34121</v>
      </c>
      <c r="D61" s="80" t="inlineStr">
        <is>
          <t>드림셀프</t>
        </is>
      </c>
      <c r="E61" s="81" t="inlineStr">
        <is>
          <t>드림셀프</t>
        </is>
      </c>
      <c r="F61" s="49" t="inlineStr">
        <is>
          <t>운영</t>
        </is>
      </c>
      <c r="G61" s="49" t="inlineStr">
        <is>
          <t>경기</t>
        </is>
      </c>
      <c r="H61" s="73" t="inlineStr">
        <is>
          <t>경기 양주시 광사동 659-3</t>
        </is>
      </c>
      <c r="I61" s="74" t="n"/>
      <c r="J61" s="74" t="n"/>
      <c r="K61" s="403">
        <f>$K$192*L61</f>
        <v/>
      </c>
      <c r="L61" s="25" t="n">
        <v>0.00304442005314103</v>
      </c>
      <c r="M61" s="404">
        <f>$M$192*N61</f>
        <v/>
      </c>
      <c r="N61" s="27" t="n">
        <v>0.003538160821163607</v>
      </c>
      <c r="O61" s="404">
        <f>$O$192*P61</f>
        <v/>
      </c>
      <c r="P61" s="28" t="n">
        <v>0.0008117805740007871</v>
      </c>
      <c r="Q61" s="405">
        <f>M61+O61</f>
        <v/>
      </c>
      <c r="R61" s="406">
        <f>K61+Q61</f>
        <v/>
      </c>
      <c r="S61" s="74" t="n"/>
      <c r="T61" s="419" t="n">
        <v>2672000000</v>
      </c>
      <c r="U61" s="420" t="n">
        <v>161000000</v>
      </c>
      <c r="V61" s="420" t="n">
        <v>31000000</v>
      </c>
      <c r="W61" s="421">
        <f>SUM(U61:V61)</f>
        <v/>
      </c>
      <c r="X61" s="406">
        <f>SUM(T61,W61)</f>
        <v/>
      </c>
    </row>
    <row r="62">
      <c r="B62" s="45" t="n">
        <v>58</v>
      </c>
      <c r="C62" s="46" t="n">
        <v>20955</v>
      </c>
      <c r="D62" s="80" t="inlineStr">
        <is>
          <t>원동</t>
        </is>
      </c>
      <c r="E62" s="81" t="inlineStr">
        <is>
          <t>오산셀프</t>
        </is>
      </c>
      <c r="F62" s="49" t="inlineStr">
        <is>
          <t>운영</t>
        </is>
      </c>
      <c r="G62" s="49" t="inlineStr">
        <is>
          <t>경기</t>
        </is>
      </c>
      <c r="H62" s="73" t="inlineStr">
        <is>
          <t>경기 오산시 원동 513</t>
        </is>
      </c>
      <c r="I62" s="74" t="n"/>
      <c r="J62" s="74" t="n"/>
      <c r="K62" s="403">
        <f>$K$192*L62</f>
        <v/>
      </c>
      <c r="L62" s="25" t="n">
        <v>0.002307856149317211</v>
      </c>
      <c r="M62" s="404">
        <f>$M$192*N62</f>
        <v/>
      </c>
      <c r="N62" s="27" t="n">
        <v>0.003387575744396856</v>
      </c>
      <c r="O62" s="404">
        <f>$O$192*P62</f>
        <v/>
      </c>
      <c r="P62" s="28" t="n">
        <v>0.001274801192610776</v>
      </c>
      <c r="Q62" s="405">
        <f>M62+O62</f>
        <v/>
      </c>
      <c r="R62" s="406">
        <f>K62+Q62</f>
        <v/>
      </c>
      <c r="S62" s="74" t="n"/>
      <c r="T62" s="419" t="n">
        <v>2025000000</v>
      </c>
      <c r="U62" s="420" t="n">
        <v>154000000</v>
      </c>
      <c r="V62" s="420" t="n">
        <v>49000000</v>
      </c>
      <c r="W62" s="421">
        <f>SUM(U62:V62)</f>
        <v/>
      </c>
      <c r="X62" s="406">
        <f>SUM(T62,W62)</f>
        <v/>
      </c>
    </row>
    <row r="63">
      <c r="B63" s="45" t="n">
        <v>59</v>
      </c>
      <c r="C63" s="46" t="n">
        <v>26648</v>
      </c>
      <c r="D63" s="80" t="inlineStr">
        <is>
          <t>동백스카이</t>
        </is>
      </c>
      <c r="E63" s="81" t="inlineStr">
        <is>
          <t>동백스카이셀프</t>
        </is>
      </c>
      <c r="F63" s="49" t="inlineStr">
        <is>
          <t>운영</t>
        </is>
      </c>
      <c r="G63" s="49" t="inlineStr">
        <is>
          <t>경기</t>
        </is>
      </c>
      <c r="H63" s="73" t="inlineStr">
        <is>
          <t>경기 용인시 기흥구 상하동 639-1</t>
        </is>
      </c>
      <c r="I63" s="74" t="n"/>
      <c r="J63" s="74" t="n"/>
      <c r="K63" s="403">
        <f>$K$192*L63</f>
        <v/>
      </c>
      <c r="L63" s="25" t="n">
        <v>0.01001692421774867</v>
      </c>
      <c r="M63" s="404">
        <f>$M$192*N63</f>
        <v/>
      </c>
      <c r="N63" s="27" t="n">
        <v>0.01080358162091094</v>
      </c>
      <c r="O63" s="404">
        <f>$O$192*P63</f>
        <v/>
      </c>
      <c r="P63" s="28" t="n">
        <v>0.009463323549985577</v>
      </c>
      <c r="Q63" s="405">
        <f>M63+O63</f>
        <v/>
      </c>
      <c r="R63" s="406">
        <f>K63+Q63</f>
        <v/>
      </c>
      <c r="S63" s="74" t="n"/>
      <c r="T63" s="419" t="n">
        <v>8790000000</v>
      </c>
      <c r="U63" s="420" t="n">
        <v>491000000</v>
      </c>
      <c r="V63" s="420" t="n">
        <v>363000000</v>
      </c>
      <c r="W63" s="421">
        <f>SUM(U63:V63)</f>
        <v/>
      </c>
      <c r="X63" s="406">
        <f>SUM(T63,W63)</f>
        <v/>
      </c>
    </row>
    <row r="64">
      <c r="B64" s="45" t="n">
        <v>60</v>
      </c>
      <c r="C64" s="46" t="n">
        <v>26172</v>
      </c>
      <c r="D64" s="80" t="inlineStr">
        <is>
          <t>구갈S/S</t>
        </is>
      </c>
      <c r="E64" s="81" t="inlineStr">
        <is>
          <t>기흥현대셀프</t>
        </is>
      </c>
      <c r="F64" s="49" t="inlineStr">
        <is>
          <t>운영</t>
        </is>
      </c>
      <c r="G64" s="49" t="inlineStr">
        <is>
          <t>경기</t>
        </is>
      </c>
      <c r="H64" s="73" t="inlineStr">
        <is>
          <t>경기 용인시 기흥구 구갈동 270-1</t>
        </is>
      </c>
      <c r="I64" s="74" t="n"/>
      <c r="J64" s="74" t="n"/>
      <c r="K64" s="403">
        <f>$K$192*L64</f>
        <v/>
      </c>
      <c r="L64" s="25" t="n">
        <v>0.00318622236891104</v>
      </c>
      <c r="M64" s="404">
        <f>$M$192*N64</f>
        <v/>
      </c>
      <c r="N64" s="27" t="n">
        <v>0.003117883305527729</v>
      </c>
      <c r="O64" s="404">
        <f>$O$192*P64</f>
        <v/>
      </c>
      <c r="P64" s="28" t="n">
        <v>0.00210551199143345</v>
      </c>
      <c r="Q64" s="405">
        <f>M64+O64</f>
        <v/>
      </c>
      <c r="R64" s="406">
        <f>K64+Q64</f>
        <v/>
      </c>
      <c r="S64" s="74" t="n"/>
      <c r="T64" s="419" t="n">
        <v>2796000000</v>
      </c>
      <c r="U64" s="420" t="n">
        <v>142000000</v>
      </c>
      <c r="V64" s="420" t="n">
        <v>81000000</v>
      </c>
      <c r="W64" s="421">
        <f>SUM(U64:V64)</f>
        <v/>
      </c>
      <c r="X64" s="406">
        <f>SUM(T64,W64)</f>
        <v/>
      </c>
    </row>
    <row r="65">
      <c r="B65" s="45" t="n">
        <v>61</v>
      </c>
      <c r="C65" s="46" t="n">
        <v>30137</v>
      </c>
      <c r="D65" s="80" t="inlineStr">
        <is>
          <t>기흥톨게이트</t>
        </is>
      </c>
      <c r="E65" s="81" t="inlineStr">
        <is>
          <t>기흥TG셀프</t>
        </is>
      </c>
      <c r="F65" s="49" t="inlineStr">
        <is>
          <t>운영</t>
        </is>
      </c>
      <c r="G65" s="49" t="inlineStr">
        <is>
          <t>경기</t>
        </is>
      </c>
      <c r="H65" s="73" t="inlineStr">
        <is>
          <t>경기 용인시 기흥읍 농서동 267-2 외 1필지</t>
        </is>
      </c>
      <c r="I65" s="74" t="n"/>
      <c r="J65" s="74" t="n"/>
      <c r="K65" s="403">
        <f>$K$192*L65</f>
        <v/>
      </c>
      <c r="L65" s="25" t="n">
        <v>0.002137299794033008</v>
      </c>
      <c r="M65" s="404">
        <f>$M$192*N65</f>
        <v/>
      </c>
      <c r="N65" s="27" t="n">
        <v>0.003166714190385416</v>
      </c>
      <c r="O65" s="404">
        <f>$O$192*P65</f>
        <v/>
      </c>
      <c r="P65" s="28" t="n">
        <v>0.006910618962849434</v>
      </c>
      <c r="Q65" s="405">
        <f>M65+O65</f>
        <v/>
      </c>
      <c r="R65" s="406">
        <f>K65+Q65</f>
        <v/>
      </c>
      <c r="S65" s="74" t="n"/>
      <c r="T65" s="419" t="n">
        <v>1876000000</v>
      </c>
      <c r="U65" s="420" t="n">
        <v>144000000</v>
      </c>
      <c r="V65" s="420" t="n">
        <v>265000000</v>
      </c>
      <c r="W65" s="421">
        <f>SUM(U65:V65)</f>
        <v/>
      </c>
      <c r="X65" s="406">
        <f>SUM(T65,W65)</f>
        <v/>
      </c>
    </row>
    <row r="66">
      <c r="B66" s="45" t="n">
        <v>62</v>
      </c>
      <c r="C66" s="46" t="n">
        <v>31213</v>
      </c>
      <c r="D66" s="80" t="inlineStr">
        <is>
          <t>용인행복</t>
        </is>
      </c>
      <c r="E66" s="81" t="inlineStr">
        <is>
          <t>용인현대셀프</t>
        </is>
      </c>
      <c r="F66" s="49" t="inlineStr">
        <is>
          <t>운영</t>
        </is>
      </c>
      <c r="G66" s="49" t="inlineStr">
        <is>
          <t>경기</t>
        </is>
      </c>
      <c r="H66" s="73" t="inlineStr">
        <is>
          <t>경기 용인시 남동 404-2</t>
        </is>
      </c>
      <c r="I66" s="74" t="n"/>
      <c r="J66" s="74" t="n"/>
      <c r="K66" s="403">
        <f>$K$192*L66</f>
        <v/>
      </c>
      <c r="L66" s="25" t="n">
        <v>0.003603302444133717</v>
      </c>
      <c r="M66" s="404">
        <f>$M$192*N66</f>
        <v/>
      </c>
      <c r="N66" s="27" t="n">
        <v>0.00361774041317226</v>
      </c>
      <c r="O66" s="404">
        <f>$O$192*P66</f>
        <v/>
      </c>
      <c r="P66" s="28" t="n">
        <v>0.006666269613503758</v>
      </c>
      <c r="Q66" s="405">
        <f>M66+O66</f>
        <v/>
      </c>
      <c r="R66" s="406">
        <f>K66+Q66</f>
        <v/>
      </c>
      <c r="S66" s="74" t="n"/>
      <c r="T66" s="419" t="n">
        <v>3162000000</v>
      </c>
      <c r="U66" s="420" t="n">
        <v>164000000</v>
      </c>
      <c r="V66" s="420" t="n">
        <v>256000000</v>
      </c>
      <c r="W66" s="421">
        <f>SUM(U66:V66)</f>
        <v/>
      </c>
      <c r="X66" s="406">
        <f>SUM(T66,W66)</f>
        <v/>
      </c>
    </row>
    <row r="67" customFormat="1" s="37">
      <c r="B67" s="31" t="n">
        <v>63</v>
      </c>
      <c r="C67" s="32" t="n">
        <v>24265</v>
      </c>
      <c r="D67" s="66" t="inlineStr">
        <is>
          <t>일석삼조</t>
        </is>
      </c>
      <c r="E67" s="67" t="inlineStr">
        <is>
          <t>마평현대셀프</t>
        </is>
      </c>
      <c r="F67" s="35" t="inlineStr">
        <is>
          <t>운영</t>
        </is>
      </c>
      <c r="G67" s="35" t="inlineStr">
        <is>
          <t>경기</t>
        </is>
      </c>
      <c r="H67" s="36" t="inlineStr">
        <is>
          <t>경기 용인시 마평동 533-7</t>
        </is>
      </c>
      <c r="K67" s="407">
        <f>$K$192*L67</f>
        <v/>
      </c>
      <c r="L67" s="39" t="n">
        <v>0.002679447270676103</v>
      </c>
      <c r="M67" s="408">
        <f>$M$192*N67</f>
        <v/>
      </c>
      <c r="N67" s="41" t="n">
        <v>0.001713446411549017</v>
      </c>
      <c r="O67" s="408">
        <f>$O$192*P67</f>
        <v/>
      </c>
      <c r="P67" s="42" t="n">
        <v>0.00593122891022232</v>
      </c>
      <c r="Q67" s="409">
        <f>M67+O67</f>
        <v/>
      </c>
      <c r="R67" s="410">
        <f>K67+Q67</f>
        <v/>
      </c>
      <c r="T67" s="403" t="n">
        <v>2351000000</v>
      </c>
      <c r="U67" s="404" t="n">
        <v>78000000</v>
      </c>
      <c r="V67" s="404" t="n">
        <v>228000000</v>
      </c>
      <c r="W67" s="405">
        <f>SUM(U67:V67)</f>
        <v/>
      </c>
      <c r="X67" s="406">
        <f>SUM(T67,W67)</f>
        <v/>
      </c>
    </row>
    <row r="68">
      <c r="B68" s="45" t="n">
        <v>64</v>
      </c>
      <c r="C68" s="46" t="n">
        <v>31767</v>
      </c>
      <c r="D68" s="80" t="inlineStr">
        <is>
          <t>백암</t>
        </is>
      </c>
      <c r="E68" s="81" t="inlineStr">
        <is>
          <t>백암</t>
        </is>
      </c>
      <c r="F68" s="49" t="inlineStr">
        <is>
          <t>운영</t>
        </is>
      </c>
      <c r="G68" s="49" t="inlineStr">
        <is>
          <t>경기</t>
        </is>
      </c>
      <c r="H68" s="50" t="inlineStr">
        <is>
          <t>경기 용인시 백암면 근곡리 690-2</t>
        </is>
      </c>
      <c r="K68" s="403">
        <f>$K$192*L68</f>
        <v/>
      </c>
      <c r="L68" s="25" t="n">
        <v>0.0004801017868623993</v>
      </c>
      <c r="M68" s="404">
        <f>$M$192*N68</f>
        <v/>
      </c>
      <c r="N68" s="27" t="n">
        <v>0.002347564219218247</v>
      </c>
      <c r="O68" s="404">
        <f>$O$192*P68</f>
        <v/>
      </c>
      <c r="P68" s="28" t="n">
        <v>0.001400496979675723</v>
      </c>
      <c r="Q68" s="405">
        <f>M68+O68</f>
        <v/>
      </c>
      <c r="R68" s="406">
        <f>K68+Q68</f>
        <v/>
      </c>
      <c r="T68" s="403" t="n">
        <v>421000000</v>
      </c>
      <c r="U68" s="404" t="n">
        <v>107000000</v>
      </c>
      <c r="V68" s="404" t="n">
        <v>54000000</v>
      </c>
      <c r="W68" s="405">
        <f>SUM(U68:V68)</f>
        <v/>
      </c>
      <c r="X68" s="406">
        <f>SUM(T68,W68)</f>
        <v/>
      </c>
    </row>
    <row r="69">
      <c r="B69" s="45" t="n">
        <v>65</v>
      </c>
      <c r="C69" s="46" t="n">
        <v>26519</v>
      </c>
      <c r="D69" s="80" t="inlineStr">
        <is>
          <t>SK고속(용인)</t>
        </is>
      </c>
      <c r="E69" s="81" t="inlineStr">
        <is>
          <t>수지현대셀프</t>
        </is>
      </c>
      <c r="F69" s="49" t="inlineStr">
        <is>
          <t>운영</t>
        </is>
      </c>
      <c r="G69" s="49" t="inlineStr">
        <is>
          <t>경기</t>
        </is>
      </c>
      <c r="H69" s="50" t="inlineStr">
        <is>
          <t>경기 용인시 수지구 상현동 373-3, 1191</t>
        </is>
      </c>
      <c r="K69" s="403">
        <f>$K$192*L69</f>
        <v/>
      </c>
      <c r="L69" s="25" t="n">
        <v>0.003631850588570144</v>
      </c>
      <c r="M69" s="404">
        <f>$M$192*N69</f>
        <v/>
      </c>
      <c r="N69" s="27" t="n">
        <v>0.004436399981960228</v>
      </c>
      <c r="O69" s="404">
        <f>$O$192*P69</f>
        <v/>
      </c>
      <c r="P69" s="28" t="n">
        <v>0.01113715395528929</v>
      </c>
      <c r="Q69" s="405">
        <f>M69+O69</f>
        <v/>
      </c>
      <c r="R69" s="406">
        <f>K69+Q69</f>
        <v/>
      </c>
      <c r="T69" s="403" t="n">
        <v>3187000000</v>
      </c>
      <c r="U69" s="404" t="n">
        <v>202000000</v>
      </c>
      <c r="V69" s="404" t="n">
        <v>427000000</v>
      </c>
      <c r="W69" s="405">
        <f>SUM(U69:V69)</f>
        <v/>
      </c>
      <c r="X69" s="406">
        <f>SUM(T69,W69)</f>
        <v/>
      </c>
    </row>
    <row r="70">
      <c r="B70" s="45" t="n">
        <v>66</v>
      </c>
      <c r="C70" s="46" t="n">
        <v>30139</v>
      </c>
      <c r="D70" s="80" t="inlineStr">
        <is>
          <t>클린파워</t>
        </is>
      </c>
      <c r="E70" s="81" t="inlineStr">
        <is>
          <t>성복현대</t>
        </is>
      </c>
      <c r="F70" s="49" t="inlineStr">
        <is>
          <t>운영</t>
        </is>
      </c>
      <c r="G70" s="49" t="inlineStr">
        <is>
          <t>경기</t>
        </is>
      </c>
      <c r="H70" s="50" t="inlineStr">
        <is>
          <t>경기 용인시 성복동 54-6</t>
        </is>
      </c>
      <c r="K70" s="403">
        <f>$K$192*L70</f>
        <v/>
      </c>
      <c r="L70" s="25" t="n">
        <v>0.00621207226984585</v>
      </c>
      <c r="M70" s="404">
        <f>$M$192*N70</f>
        <v/>
      </c>
      <c r="N70" s="27" t="n">
        <v>0.002584395874880643</v>
      </c>
      <c r="O70" s="404">
        <f>$O$192*P70</f>
        <v/>
      </c>
      <c r="P70" s="28" t="n">
        <v>0.007000062010751892</v>
      </c>
      <c r="Q70" s="405">
        <f>M70+O70</f>
        <v/>
      </c>
      <c r="R70" s="406">
        <f>K70+Q70</f>
        <v/>
      </c>
      <c r="T70" s="403" t="n">
        <v>5451000000</v>
      </c>
      <c r="U70" s="404" t="n">
        <v>117000000</v>
      </c>
      <c r="V70" s="404" t="n">
        <v>269000000</v>
      </c>
      <c r="W70" s="405">
        <f>SUM(U70:V70)</f>
        <v/>
      </c>
      <c r="X70" s="406">
        <f>SUM(T70,W70)</f>
        <v/>
      </c>
    </row>
    <row r="71">
      <c r="B71" s="45" t="n">
        <v>67</v>
      </c>
      <c r="C71" s="46" t="n">
        <v>26104</v>
      </c>
      <c r="D71" s="80" t="inlineStr">
        <is>
          <t>죽전</t>
        </is>
      </c>
      <c r="E71" s="81" t="inlineStr">
        <is>
          <t>죽전현대셀프</t>
        </is>
      </c>
      <c r="F71" s="49" t="inlineStr">
        <is>
          <t>운영</t>
        </is>
      </c>
      <c r="G71" s="49" t="inlineStr">
        <is>
          <t>경기</t>
        </is>
      </c>
      <c r="H71" s="50" t="inlineStr">
        <is>
          <t>경기 용인시 수지구 죽전동 889 (용구대로 2751)</t>
        </is>
      </c>
      <c r="K71" s="403">
        <f>$K$192*L71</f>
        <v/>
      </c>
      <c r="L71" s="25" t="n">
        <v>0.007372281134256506</v>
      </c>
      <c r="M71" s="404">
        <f>$M$192*N71</f>
        <v/>
      </c>
      <c r="N71" s="27" t="n">
        <v>0.007069763442556699</v>
      </c>
      <c r="O71" s="404">
        <f>$O$192*P71</f>
        <v/>
      </c>
      <c r="P71" s="28" t="n">
        <v>0.005525542417508286</v>
      </c>
      <c r="Q71" s="405">
        <f>M71+O71</f>
        <v/>
      </c>
      <c r="R71" s="406">
        <f>K71+Q71</f>
        <v/>
      </c>
      <c r="T71" s="403" t="n">
        <v>6470000000</v>
      </c>
      <c r="U71" s="404" t="n">
        <v>321000000</v>
      </c>
      <c r="V71" s="404" t="n">
        <v>212000000</v>
      </c>
      <c r="W71" s="405">
        <f>SUM(U71:V71)</f>
        <v/>
      </c>
      <c r="X71" s="406">
        <f>SUM(T71,W71)</f>
        <v/>
      </c>
    </row>
    <row r="72">
      <c r="B72" s="45" t="n">
        <v>68</v>
      </c>
      <c r="C72" s="46" t="n">
        <v>26032</v>
      </c>
      <c r="D72" s="80" t="inlineStr">
        <is>
          <t>SKTG</t>
        </is>
      </c>
      <c r="E72" s="81" t="inlineStr">
        <is>
          <t>용인IC셀프</t>
        </is>
      </c>
      <c r="F72" s="49" t="inlineStr">
        <is>
          <t>운영</t>
        </is>
      </c>
      <c r="G72" s="49" t="inlineStr">
        <is>
          <t>경기</t>
        </is>
      </c>
      <c r="H72" s="50" t="inlineStr">
        <is>
          <t>경기 용인시 유방동 245</t>
        </is>
      </c>
      <c r="K72" s="403">
        <f>$K$192*L72</f>
        <v/>
      </c>
      <c r="L72" s="25" t="n">
        <v>0.004911161836427088</v>
      </c>
      <c r="M72" s="404">
        <f>$M$192*N72</f>
        <v/>
      </c>
      <c r="N72" s="27" t="n">
        <v>0.002587188013806905</v>
      </c>
      <c r="O72" s="404">
        <f>$O$192*P72</f>
        <v/>
      </c>
      <c r="P72" s="28" t="n">
        <v>0.002596973234895461</v>
      </c>
      <c r="Q72" s="405">
        <f>M72+O72</f>
        <v/>
      </c>
      <c r="R72" s="406">
        <f>K72+Q72</f>
        <v/>
      </c>
      <c r="T72" s="403" t="n">
        <v>4310000000</v>
      </c>
      <c r="U72" s="404" t="n">
        <v>118000000</v>
      </c>
      <c r="V72" s="404" t="n">
        <v>100000000</v>
      </c>
      <c r="W72" s="405">
        <f>SUM(U72:V72)</f>
        <v/>
      </c>
      <c r="X72" s="406">
        <f>SUM(T72,W72)</f>
        <v/>
      </c>
    </row>
    <row r="73">
      <c r="B73" s="45" t="n">
        <v>69</v>
      </c>
      <c r="C73" s="46" t="n">
        <v>11265</v>
      </c>
      <c r="D73" s="80" t="inlineStr">
        <is>
          <t>둔전</t>
        </is>
      </c>
      <c r="E73" s="81" t="inlineStr">
        <is>
          <t>둔전셀프</t>
        </is>
      </c>
      <c r="F73" s="49" t="inlineStr">
        <is>
          <t>운영</t>
        </is>
      </c>
      <c r="G73" s="49" t="inlineStr">
        <is>
          <t>경기</t>
        </is>
      </c>
      <c r="H73" s="50" t="inlineStr">
        <is>
          <t>경기 용인시 포곡면 둔전리 52-1</t>
        </is>
      </c>
      <c r="K73" s="403">
        <f>$K$192*L73</f>
        <v/>
      </c>
      <c r="L73" s="25" t="n">
        <v>0.00233719421813853</v>
      </c>
      <c r="M73" s="404">
        <f>$M$192*N73</f>
        <v/>
      </c>
      <c r="N73" s="27" t="n">
        <v>0.003178543689959817</v>
      </c>
      <c r="O73" s="404">
        <f>$O$192*P73</f>
        <v/>
      </c>
      <c r="P73" s="28" t="n">
        <v>0.01099612830912815</v>
      </c>
      <c r="Q73" s="405">
        <f>M73+O73</f>
        <v/>
      </c>
      <c r="R73" s="406">
        <f>K73+Q73</f>
        <v/>
      </c>
      <c r="T73" s="403" t="n">
        <v>2051000000</v>
      </c>
      <c r="U73" s="404" t="n">
        <v>144000000</v>
      </c>
      <c r="V73" s="404" t="n">
        <v>422000000</v>
      </c>
      <c r="W73" s="405">
        <f>SUM(U73:V73)</f>
        <v/>
      </c>
      <c r="X73" s="406">
        <f>SUM(T73,W73)</f>
        <v/>
      </c>
    </row>
    <row r="74">
      <c r="B74" s="45" t="n">
        <v>70</v>
      </c>
      <c r="C74" s="46" t="n">
        <v>26583</v>
      </c>
      <c r="D74" s="80" t="inlineStr">
        <is>
          <t>민락</t>
        </is>
      </c>
      <c r="E74" s="81" t="inlineStr">
        <is>
          <t>민락셀프</t>
        </is>
      </c>
      <c r="F74" s="49" t="inlineStr">
        <is>
          <t>운영</t>
        </is>
      </c>
      <c r="G74" s="49" t="inlineStr">
        <is>
          <t>경기</t>
        </is>
      </c>
      <c r="H74" s="50" t="inlineStr">
        <is>
          <t>경기 의정부시 용현동 2-1 외 2필지</t>
        </is>
      </c>
      <c r="K74" s="403">
        <f>$K$192*L74</f>
        <v/>
      </c>
      <c r="L74" s="25" t="n">
        <v>0.005007170315237389</v>
      </c>
      <c r="M74" s="404">
        <f>$M$192*N74</f>
        <v/>
      </c>
      <c r="N74" s="27" t="n">
        <v>0.005181841806368367</v>
      </c>
      <c r="O74" s="404">
        <f>$O$192*P74</f>
        <v/>
      </c>
      <c r="P74" s="28" t="n">
        <v>0.00624561556264706</v>
      </c>
      <c r="Q74" s="405">
        <f>M74+O74</f>
        <v/>
      </c>
      <c r="R74" s="406">
        <f>K74+Q74</f>
        <v/>
      </c>
      <c r="T74" s="403" t="n">
        <v>4394000000</v>
      </c>
      <c r="U74" s="404" t="n">
        <v>235000000</v>
      </c>
      <c r="V74" s="404" t="n">
        <v>240000000</v>
      </c>
      <c r="W74" s="405">
        <f>SUM(U74:V74)</f>
        <v/>
      </c>
      <c r="X74" s="406">
        <f>SUM(T74,W74)</f>
        <v/>
      </c>
    </row>
    <row r="75">
      <c r="B75" s="45" t="n">
        <v>71</v>
      </c>
      <c r="C75" s="46" t="n">
        <v>11066</v>
      </c>
      <c r="D75" s="80" t="inlineStr">
        <is>
          <t>한일</t>
        </is>
      </c>
      <c r="E75" s="81" t="inlineStr">
        <is>
          <t>이천제일셀프</t>
        </is>
      </c>
      <c r="F75" s="49" t="inlineStr">
        <is>
          <t>운영</t>
        </is>
      </c>
      <c r="G75" s="49" t="inlineStr">
        <is>
          <t>경기</t>
        </is>
      </c>
      <c r="H75" s="50" t="inlineStr">
        <is>
          <t>경기 이천시 대월면 사동리 382-6 외 1필지</t>
        </is>
      </c>
      <c r="K75" s="403">
        <f>$K$192*L75</f>
        <v/>
      </c>
      <c r="L75" s="25" t="n">
        <v>0.001877771028269091</v>
      </c>
      <c r="M75" s="404">
        <f>$M$192*N75</f>
        <v/>
      </c>
      <c r="N75" s="27" t="n">
        <v>0.001834138930035784</v>
      </c>
      <c r="O75" s="404">
        <f>$O$192*P75</f>
        <v/>
      </c>
      <c r="P75" s="28" t="n">
        <v>0.006918453720969497</v>
      </c>
      <c r="Q75" s="405">
        <f>M75+O75</f>
        <v/>
      </c>
      <c r="R75" s="406">
        <f>K75+Q75</f>
        <v/>
      </c>
      <c r="T75" s="403" t="n">
        <v>1648000000</v>
      </c>
      <c r="U75" s="404" t="n">
        <v>83000000</v>
      </c>
      <c r="V75" s="404" t="n">
        <v>265000000</v>
      </c>
      <c r="W75" s="405">
        <f>SUM(U75:V75)</f>
        <v/>
      </c>
      <c r="X75" s="406">
        <f>SUM(T75,W75)</f>
        <v/>
      </c>
    </row>
    <row r="76">
      <c r="B76" s="45" t="n">
        <v>72</v>
      </c>
      <c r="C76" s="46" t="n">
        <v>32911</v>
      </c>
      <c r="D76" s="80" t="inlineStr">
        <is>
          <t>SK교하</t>
        </is>
      </c>
      <c r="E76" s="81" t="inlineStr">
        <is>
          <t>교하</t>
        </is>
      </c>
      <c r="F76" s="49" t="inlineStr">
        <is>
          <t>운영</t>
        </is>
      </c>
      <c r="G76" s="49" t="inlineStr">
        <is>
          <t>경기</t>
        </is>
      </c>
      <c r="H76" s="50" t="inlineStr">
        <is>
          <t>경기 파주시 교하읍 문발리 549-2</t>
        </is>
      </c>
      <c r="K76" s="403">
        <f>$K$192*L76</f>
        <v/>
      </c>
      <c r="L76" s="25" t="n">
        <v>0.003489265277576514</v>
      </c>
      <c r="M76" s="404">
        <f>$M$192*N76</f>
        <v/>
      </c>
      <c r="N76" s="27" t="n">
        <v>0.005277564909368302</v>
      </c>
      <c r="O76" s="404">
        <f>$O$192*P76</f>
        <v/>
      </c>
      <c r="P76" s="28" t="n">
        <v>0.003076795560225354</v>
      </c>
      <c r="Q76" s="405">
        <f>M76+O76</f>
        <v/>
      </c>
      <c r="R76" s="406">
        <f>K76+Q76</f>
        <v/>
      </c>
      <c r="T76" s="403" t="n">
        <v>3062000000</v>
      </c>
      <c r="U76" s="404" t="n">
        <v>240000000</v>
      </c>
      <c r="V76" s="404" t="n">
        <v>118000000</v>
      </c>
      <c r="W76" s="405">
        <f>SUM(U76:V76)</f>
        <v/>
      </c>
      <c r="X76" s="406">
        <f>SUM(T76,W76)</f>
        <v/>
      </c>
    </row>
    <row r="77" customFormat="1" s="57">
      <c r="B77" s="51" t="n">
        <v>73</v>
      </c>
      <c r="C77" s="52" t="n">
        <v>30206</v>
      </c>
      <c r="D77" s="53" t="inlineStr">
        <is>
          <t>SK송탄내트럭</t>
        </is>
      </c>
      <c r="E77" s="54" t="inlineStr">
        <is>
          <t>도일셀프</t>
        </is>
      </c>
      <c r="F77" s="55" t="inlineStr">
        <is>
          <t>운영</t>
        </is>
      </c>
      <c r="G77" s="55" t="inlineStr">
        <is>
          <t>경기</t>
        </is>
      </c>
      <c r="H77" s="56" t="inlineStr">
        <is>
          <t>경기 평택시 도일동 707-5 외 4필지</t>
        </is>
      </c>
      <c r="K77" s="411">
        <f>$K$192*L77</f>
        <v/>
      </c>
      <c r="L77" s="59" t="n">
        <v>0.004075564379958097</v>
      </c>
      <c r="M77" s="412">
        <f>$M$192*N77</f>
        <v/>
      </c>
      <c r="N77" s="61" t="n">
        <v>0.006102518262141041</v>
      </c>
      <c r="O77" s="412">
        <f>$O$192*P77</f>
        <v/>
      </c>
      <c r="P77" s="62" t="n">
        <v>0.009992305585947429</v>
      </c>
      <c r="Q77" s="413">
        <f>M77+O77</f>
        <v/>
      </c>
      <c r="R77" s="414">
        <f>K77+Q77</f>
        <v/>
      </c>
      <c r="T77" s="411" t="n">
        <v>3577000000</v>
      </c>
      <c r="U77" s="412" t="n">
        <v>277000000</v>
      </c>
      <c r="V77" s="412" t="n">
        <v>383000000</v>
      </c>
      <c r="W77" s="413">
        <f>SUM(U77:V77)</f>
        <v/>
      </c>
      <c r="X77" s="414">
        <f>SUM(T77,W77)</f>
        <v/>
      </c>
    </row>
    <row r="78">
      <c r="B78" s="45" t="n">
        <v>74</v>
      </c>
      <c r="C78" s="46" t="n">
        <v>11027</v>
      </c>
      <c r="D78" s="80" t="inlineStr">
        <is>
          <t>중리(경기평택)</t>
        </is>
      </c>
      <c r="E78" s="81" t="inlineStr">
        <is>
          <t>서동대로</t>
        </is>
      </c>
      <c r="F78" s="49" t="inlineStr">
        <is>
          <t>운영</t>
        </is>
      </c>
      <c r="G78" s="49" t="inlineStr">
        <is>
          <t>경기</t>
        </is>
      </c>
      <c r="H78" s="50" t="inlineStr">
        <is>
          <t>경기 평택시 오성면 죽리 10-1</t>
        </is>
      </c>
      <c r="K78" s="403">
        <f>$K$192*L78</f>
        <v/>
      </c>
      <c r="L78" s="25" t="n">
        <v>0.001001457820171835</v>
      </c>
      <c r="M78" s="404">
        <f>$M$192*N78</f>
        <v/>
      </c>
      <c r="N78" s="27" t="n">
        <v>0.0004737390225693017</v>
      </c>
      <c r="O78" s="404">
        <f>$O$192*P78</f>
        <v/>
      </c>
      <c r="P78" s="28" t="n">
        <v>0.00165458316714749</v>
      </c>
      <c r="Q78" s="405">
        <f>M78+O78</f>
        <v/>
      </c>
      <c r="R78" s="406">
        <f>K78+Q78</f>
        <v/>
      </c>
      <c r="T78" s="403" t="n">
        <v>879000000</v>
      </c>
      <c r="U78" s="404" t="n">
        <v>22000000</v>
      </c>
      <c r="V78" s="404" t="n">
        <v>63000000</v>
      </c>
      <c r="W78" s="405">
        <f>SUM(U78:V78)</f>
        <v/>
      </c>
      <c r="X78" s="406">
        <f>SUM(T78,W78)</f>
        <v/>
      </c>
    </row>
    <row r="79">
      <c r="B79" s="45" t="n">
        <v>75</v>
      </c>
      <c r="C79" s="46" t="n">
        <v>11030</v>
      </c>
      <c r="D79" s="80" t="inlineStr">
        <is>
          <t>경기</t>
        </is>
      </c>
      <c r="E79" s="81" t="inlineStr">
        <is>
          <t>송탄제일셀프</t>
        </is>
      </c>
      <c r="F79" s="49" t="inlineStr">
        <is>
          <t>운영</t>
        </is>
      </c>
      <c r="G79" s="49" t="inlineStr">
        <is>
          <t>경기</t>
        </is>
      </c>
      <c r="H79" s="50" t="inlineStr">
        <is>
          <t>경기 평택시 장당동 477-2</t>
        </is>
      </c>
      <c r="K79" s="403">
        <f>$K$192*L79</f>
        <v/>
      </c>
      <c r="L79" s="25" t="n">
        <v>0.003247862207817292</v>
      </c>
      <c r="M79" s="404">
        <f>$M$192*N79</f>
        <v/>
      </c>
      <c r="N79" s="27" t="n">
        <v>0.003893853777383729</v>
      </c>
      <c r="O79" s="404">
        <f>$O$192*P79</f>
        <v/>
      </c>
      <c r="P79" s="28" t="n">
        <v>0.002348751794108944</v>
      </c>
      <c r="Q79" s="405">
        <f>M79+O79</f>
        <v/>
      </c>
      <c r="R79" s="406">
        <f>K79+Q79</f>
        <v/>
      </c>
      <c r="T79" s="403" t="n">
        <v>2850000000</v>
      </c>
      <c r="U79" s="404" t="n">
        <v>177000000</v>
      </c>
      <c r="V79" s="404" t="n">
        <v>90000000</v>
      </c>
      <c r="W79" s="405">
        <f>SUM(U79:V79)</f>
        <v/>
      </c>
      <c r="X79" s="406">
        <f>SUM(T79,W79)</f>
        <v/>
      </c>
    </row>
    <row r="80">
      <c r="B80" s="45" t="n">
        <v>76</v>
      </c>
      <c r="C80" s="46" t="n">
        <v>32379</v>
      </c>
      <c r="D80" s="80" t="inlineStr">
        <is>
          <t>포천대로</t>
        </is>
      </c>
      <c r="E80" s="81" t="inlineStr">
        <is>
          <t>포천대로셀프</t>
        </is>
      </c>
      <c r="F80" s="49" t="inlineStr">
        <is>
          <t>운영</t>
        </is>
      </c>
      <c r="G80" s="49" t="inlineStr">
        <is>
          <t>경기</t>
        </is>
      </c>
      <c r="H80" s="50" t="inlineStr">
        <is>
          <t>경기 포천시 소흘읍 이동교리 338-30,338-32</t>
        </is>
      </c>
      <c r="K80" s="403">
        <f>$K$192*L80</f>
        <v/>
      </c>
      <c r="L80" s="25" t="n">
        <v>0.002590687684435426</v>
      </c>
      <c r="M80" s="404">
        <f>$M$192*N80</f>
        <v/>
      </c>
      <c r="N80" s="27" t="n">
        <v>0.003665028777018097</v>
      </c>
      <c r="O80" s="404">
        <f>$O$192*P80</f>
        <v/>
      </c>
      <c r="P80" s="28" t="n">
        <v>0.002103157035235512</v>
      </c>
      <c r="Q80" s="405">
        <f>M80+O80</f>
        <v/>
      </c>
      <c r="R80" s="406">
        <f>K80+Q80</f>
        <v/>
      </c>
      <c r="T80" s="403" t="n">
        <v>2273000000</v>
      </c>
      <c r="U80" s="404" t="n">
        <v>167000000</v>
      </c>
      <c r="V80" s="404" t="n">
        <v>81000000</v>
      </c>
      <c r="W80" s="405">
        <f>SUM(U80:V80)</f>
        <v/>
      </c>
      <c r="X80" s="406">
        <f>SUM(T80,W80)</f>
        <v/>
      </c>
      <c r="Y80" s="422">
        <f>#REF!/10^8</f>
        <v/>
      </c>
    </row>
    <row r="81">
      <c r="B81" s="45" t="n">
        <v>77</v>
      </c>
      <c r="C81" s="46" t="n">
        <v>32446</v>
      </c>
      <c r="D81" s="80" t="inlineStr">
        <is>
          <t>삼성(반월리)</t>
        </is>
      </c>
      <c r="E81" s="81" t="inlineStr">
        <is>
          <t>동탄제일</t>
        </is>
      </c>
      <c r="F81" s="49" t="inlineStr">
        <is>
          <t>운영</t>
        </is>
      </c>
      <c r="G81" s="49" t="inlineStr">
        <is>
          <t>경기</t>
        </is>
      </c>
      <c r="H81" s="50" t="inlineStr">
        <is>
          <t>경기 화성시 반월동 539-1</t>
        </is>
      </c>
      <c r="K81" s="403">
        <f>$K$192*L81</f>
        <v/>
      </c>
      <c r="L81" s="25" t="n">
        <v>0.0032539143352474</v>
      </c>
      <c r="M81" s="404">
        <f>$M$192*N81</f>
        <v/>
      </c>
      <c r="N81" s="27" t="n">
        <v>0.00286453264169169</v>
      </c>
      <c r="O81" s="404">
        <f>$O$192*P81</f>
        <v/>
      </c>
      <c r="P81" s="28" t="n">
        <v>0.01184647129087018</v>
      </c>
      <c r="Q81" s="405">
        <f>M81+O81</f>
        <v/>
      </c>
      <c r="R81" s="406">
        <f>K81+Q81</f>
        <v/>
      </c>
      <c r="T81" s="403" t="n">
        <v>2849000000</v>
      </c>
      <c r="U81" s="404" t="n">
        <v>130000000</v>
      </c>
      <c r="V81" s="404" t="n">
        <v>454000000</v>
      </c>
      <c r="W81" s="405">
        <f>SUM(U81:V81)</f>
        <v/>
      </c>
      <c r="X81" s="406">
        <f>SUM(T81,W81)</f>
        <v/>
      </c>
    </row>
    <row r="82">
      <c r="B82" s="45" t="n">
        <v>78</v>
      </c>
      <c r="C82" s="46" t="n">
        <v>26236</v>
      </c>
      <c r="D82" s="80" t="inlineStr">
        <is>
          <t>봉담톨게이트</t>
        </is>
      </c>
      <c r="E82" s="81" t="inlineStr">
        <is>
          <t>봉담IC셀프</t>
        </is>
      </c>
      <c r="F82" s="49" t="inlineStr">
        <is>
          <t>운영</t>
        </is>
      </c>
      <c r="G82" s="49" t="inlineStr">
        <is>
          <t>경기</t>
        </is>
      </c>
      <c r="H82" s="50" t="inlineStr">
        <is>
          <t>경기 화성군 봉담읍 동화리 357-1, 357-3</t>
        </is>
      </c>
      <c r="K82" s="403">
        <f>$K$192*L82</f>
        <v/>
      </c>
      <c r="L82" s="25" t="n">
        <v>0.004227164529765268</v>
      </c>
      <c r="M82" s="404">
        <f>$M$192*N82</f>
        <v/>
      </c>
      <c r="N82" s="27" t="n">
        <v>0.00348799332693633</v>
      </c>
      <c r="O82" s="404">
        <f>$O$192*P82</f>
        <v/>
      </c>
      <c r="P82" s="28" t="n">
        <v>0.002722148214339711</v>
      </c>
      <c r="Q82" s="405">
        <f>M82+O82</f>
        <v/>
      </c>
      <c r="R82" s="406">
        <f>K82+Q82</f>
        <v/>
      </c>
      <c r="T82" s="403" t="n">
        <v>3710000000</v>
      </c>
      <c r="U82" s="404" t="n">
        <v>158000000</v>
      </c>
      <c r="V82" s="404" t="n">
        <v>104000000</v>
      </c>
      <c r="W82" s="405">
        <f>SUM(U82:V82)</f>
        <v/>
      </c>
      <c r="X82" s="406">
        <f>SUM(T82,W82)</f>
        <v/>
      </c>
    </row>
    <row r="83">
      <c r="B83" s="45" t="n">
        <v>79</v>
      </c>
      <c r="C83" s="46" t="n">
        <v>34138</v>
      </c>
      <c r="D83" s="80" t="inlineStr">
        <is>
          <t>SK프리미엄</t>
        </is>
      </c>
      <c r="E83" s="81" t="inlineStr">
        <is>
          <t>프리미엄셀프</t>
        </is>
      </c>
      <c r="F83" s="49" t="inlineStr">
        <is>
          <t>운영</t>
        </is>
      </c>
      <c r="G83" s="49" t="inlineStr">
        <is>
          <t>경기</t>
        </is>
      </c>
      <c r="H83" s="50" t="inlineStr">
        <is>
          <t>경기 화성시 석우동 3-6</t>
        </is>
      </c>
      <c r="K83" s="403">
        <f>$K$192*L83</f>
        <v/>
      </c>
      <c r="L83" s="25" t="n">
        <v>0.007582713822775003</v>
      </c>
      <c r="M83" s="404">
        <f>$M$192*N83</f>
        <v/>
      </c>
      <c r="N83" s="27" t="n">
        <v>0.009325807488795279</v>
      </c>
      <c r="O83" s="404">
        <f>$O$192*P83</f>
        <v/>
      </c>
      <c r="P83" s="28" t="n">
        <v>0.002662413844626626</v>
      </c>
      <c r="Q83" s="405">
        <f>M83+O83</f>
        <v/>
      </c>
      <c r="R83" s="406">
        <f>K83+Q83</f>
        <v/>
      </c>
      <c r="T83" s="403" t="n">
        <v>6654000000</v>
      </c>
      <c r="U83" s="404" t="n">
        <v>424000000</v>
      </c>
      <c r="V83" s="404" t="n">
        <v>102000000</v>
      </c>
      <c r="W83" s="405">
        <f>SUM(U83:V83)</f>
        <v/>
      </c>
      <c r="X83" s="406">
        <f>SUM(T83,W83)</f>
        <v/>
      </c>
    </row>
    <row r="84">
      <c r="B84" s="45" t="n">
        <v>80</v>
      </c>
      <c r="C84" s="46" t="n">
        <v>11210</v>
      </c>
      <c r="D84" s="80" t="inlineStr">
        <is>
          <t>우영</t>
        </is>
      </c>
      <c r="E84" s="81" t="inlineStr">
        <is>
          <t>효행로셀프</t>
        </is>
      </c>
      <c r="F84" s="49" t="inlineStr">
        <is>
          <t>운영</t>
        </is>
      </c>
      <c r="G84" s="49" t="inlineStr">
        <is>
          <t>경기</t>
        </is>
      </c>
      <c r="H84" s="50" t="inlineStr">
        <is>
          <t>경기 화성시 안녕동 39-1, 39-4, 39-5</t>
        </is>
      </c>
      <c r="K84" s="403">
        <f>$K$192*L84</f>
        <v/>
      </c>
      <c r="L84" s="25" t="n">
        <v>0.0008727318216003418</v>
      </c>
      <c r="M84" s="404">
        <f>$M$192*N84</f>
        <v/>
      </c>
      <c r="N84" s="27" t="n">
        <v>0.001728311626124182</v>
      </c>
      <c r="O84" s="404">
        <f>$O$192*P84</f>
        <v/>
      </c>
      <c r="P84" s="28" t="n">
        <v>0.002637641516929085</v>
      </c>
      <c r="Q84" s="405">
        <f>M84+O84</f>
        <v/>
      </c>
      <c r="R84" s="406">
        <f>K84+Q84</f>
        <v/>
      </c>
      <c r="T84" s="403" t="n">
        <v>766000000</v>
      </c>
      <c r="U84" s="404" t="n">
        <v>79000000</v>
      </c>
      <c r="V84" s="404" t="n">
        <v>101000000</v>
      </c>
      <c r="W84" s="405">
        <f>SUM(U84:V84)</f>
        <v/>
      </c>
      <c r="X84" s="406">
        <f>SUM(T84,W84)</f>
        <v/>
      </c>
    </row>
    <row r="85" customFormat="1" s="37">
      <c r="B85" s="31" t="n">
        <v>81</v>
      </c>
      <c r="C85" s="32" t="n">
        <v>15410</v>
      </c>
      <c r="D85" s="66" t="inlineStr">
        <is>
          <t>21세기(경기화성)</t>
        </is>
      </c>
      <c r="E85" s="67" t="inlineStr">
        <is>
          <t>향남현대</t>
        </is>
      </c>
      <c r="F85" s="35" t="inlineStr">
        <is>
          <t>운영</t>
        </is>
      </c>
      <c r="G85" s="35" t="inlineStr">
        <is>
          <t>경기</t>
        </is>
      </c>
      <c r="H85" s="36" t="inlineStr">
        <is>
          <t>경기 화성군 향남면 제암리 286-4, 286-10</t>
        </is>
      </c>
      <c r="K85" s="407">
        <f>$K$192*L85</f>
        <v/>
      </c>
      <c r="L85" s="39" t="n">
        <v>0.002891034159486309</v>
      </c>
      <c r="M85" s="408">
        <f>$M$192*N85</f>
        <v/>
      </c>
      <c r="N85" s="41" t="n">
        <v>0.001407387911804433</v>
      </c>
      <c r="O85" s="408">
        <f>$O$192*P85</f>
        <v/>
      </c>
      <c r="P85" s="42" t="n">
        <v>0.002438670362012908</v>
      </c>
      <c r="Q85" s="409">
        <f>M85+O85</f>
        <v/>
      </c>
      <c r="R85" s="410">
        <f>K85+Q85</f>
        <v/>
      </c>
      <c r="T85" s="403" t="n">
        <v>2537000000</v>
      </c>
      <c r="U85" s="404" t="n">
        <v>64000000</v>
      </c>
      <c r="V85" s="404" t="n">
        <v>94000000</v>
      </c>
      <c r="W85" s="405">
        <f>SUM(U85:V85)</f>
        <v/>
      </c>
      <c r="X85" s="406">
        <f>SUM(T85,W85)</f>
        <v/>
      </c>
    </row>
    <row r="86" ht="11.25" customHeight="1" s="308">
      <c r="B86" s="45" t="n">
        <v>82</v>
      </c>
      <c r="C86" s="46" t="n">
        <v>10786</v>
      </c>
      <c r="D86" s="80" t="inlineStr">
        <is>
          <t>유화(인천)</t>
        </is>
      </c>
      <c r="E86" s="81" t="inlineStr">
        <is>
          <t>유화셀프</t>
        </is>
      </c>
      <c r="F86" s="49" t="inlineStr">
        <is>
          <t>운영</t>
        </is>
      </c>
      <c r="G86" s="49" t="inlineStr">
        <is>
          <t>인천</t>
        </is>
      </c>
      <c r="H86" s="50" t="inlineStr">
        <is>
          <t>인천 계양구 효성동 206-9</t>
        </is>
      </c>
      <c r="K86" s="403">
        <f>$K$192*L86</f>
        <v/>
      </c>
      <c r="L86" s="25" t="n">
        <v>0.005130496517418428</v>
      </c>
      <c r="M86" s="404">
        <f>$M$192*N86</f>
        <v/>
      </c>
      <c r="N86" s="27" t="n">
        <v>0.003559483860753311</v>
      </c>
      <c r="O86" s="404">
        <f>$O$192*P86</f>
        <v/>
      </c>
      <c r="P86" s="28" t="n">
        <v>0.01252662339969198</v>
      </c>
      <c r="Q86" s="405">
        <f>M86+O86</f>
        <v/>
      </c>
      <c r="R86" s="406">
        <f>K86+Q86</f>
        <v/>
      </c>
      <c r="T86" s="403" t="n">
        <v>4502000000</v>
      </c>
      <c r="U86" s="404" t="n">
        <v>162000000</v>
      </c>
      <c r="V86" s="404" t="n">
        <v>481000000</v>
      </c>
      <c r="W86" s="405">
        <f>SUM(U86:V86)</f>
        <v/>
      </c>
      <c r="X86" s="406">
        <f>SUM(T86,W86)</f>
        <v/>
      </c>
    </row>
    <row r="87" ht="11.25" customHeight="1" s="308">
      <c r="B87" s="45" t="n">
        <v>83</v>
      </c>
      <c r="C87" s="46" t="n">
        <v>10780</v>
      </c>
      <c r="D87" s="80" t="inlineStr">
        <is>
          <t>SK인천</t>
        </is>
      </c>
      <c r="E87" s="81" t="inlineStr">
        <is>
          <t>인천셀프</t>
        </is>
      </c>
      <c r="F87" s="49" t="inlineStr">
        <is>
          <t>운영</t>
        </is>
      </c>
      <c r="G87" s="49" t="inlineStr">
        <is>
          <t>인천</t>
        </is>
      </c>
      <c r="H87" s="50" t="inlineStr">
        <is>
          <t>인천 남구 도화동 53-1</t>
        </is>
      </c>
      <c r="K87" s="403">
        <f>$K$192*L87</f>
        <v/>
      </c>
      <c r="L87" s="25" t="n">
        <v>0.003808119542382178</v>
      </c>
      <c r="M87" s="404">
        <f>$M$192*N87</f>
        <v/>
      </c>
      <c r="N87" s="27" t="n">
        <v>0.007602748043473843</v>
      </c>
      <c r="O87" s="404">
        <f>$O$192*P87</f>
        <v/>
      </c>
      <c r="P87" s="28" t="n">
        <v>0.004575521385926612</v>
      </c>
      <c r="Q87" s="405">
        <f>M87+O87</f>
        <v/>
      </c>
      <c r="R87" s="406">
        <f>K87+Q87</f>
        <v/>
      </c>
      <c r="T87" s="403" t="n">
        <v>3342000000</v>
      </c>
      <c r="U87" s="404" t="n">
        <v>345000000</v>
      </c>
      <c r="V87" s="404" t="n">
        <v>176000000</v>
      </c>
      <c r="W87" s="405">
        <f>SUM(U87:V87)</f>
        <v/>
      </c>
      <c r="X87" s="406">
        <f>SUM(T87,W87)</f>
        <v/>
      </c>
    </row>
    <row r="88" ht="11.25" customHeight="1" s="308">
      <c r="B88" s="45" t="n">
        <v>84</v>
      </c>
      <c r="C88" s="46" t="n">
        <v>10796</v>
      </c>
      <c r="D88" s="80" t="inlineStr">
        <is>
          <t>장미(인천남주)</t>
        </is>
      </c>
      <c r="E88" s="81" t="inlineStr">
        <is>
          <t>미추홀셀프</t>
        </is>
      </c>
      <c r="F88" s="49" t="inlineStr">
        <is>
          <t>운영</t>
        </is>
      </c>
      <c r="G88" s="49" t="inlineStr">
        <is>
          <t>인천</t>
        </is>
      </c>
      <c r="H88" s="50" t="inlineStr">
        <is>
          <t>인천 남구 주안동 1468</t>
        </is>
      </c>
      <c r="K88" s="403">
        <f>$K$192*L88</f>
        <v/>
      </c>
      <c r="L88" s="25" t="n">
        <v>0.004341673869169079</v>
      </c>
      <c r="M88" s="404">
        <f>$M$192*N88</f>
        <v/>
      </c>
      <c r="N88" s="27" t="n">
        <v>0.002146905904899831</v>
      </c>
      <c r="O88" s="404">
        <f>$O$192*P88</f>
        <v/>
      </c>
      <c r="P88" s="28" t="n">
        <v>0.004508722147619713</v>
      </c>
      <c r="Q88" s="405">
        <f>M88+O88</f>
        <v/>
      </c>
      <c r="R88" s="406">
        <f>K88+Q88</f>
        <v/>
      </c>
      <c r="T88" s="403" t="n">
        <v>3810000000</v>
      </c>
      <c r="U88" s="404" t="n">
        <v>98000000</v>
      </c>
      <c r="V88" s="404" t="n">
        <v>173000000</v>
      </c>
      <c r="W88" s="405">
        <f>SUM(U88:V88)</f>
        <v/>
      </c>
      <c r="X88" s="406">
        <f>SUM(T88,W88)</f>
        <v/>
      </c>
    </row>
    <row r="89" ht="11.25" customHeight="1" s="308">
      <c r="B89" s="45" t="n">
        <v>85</v>
      </c>
      <c r="C89" s="46" t="n">
        <v>20054</v>
      </c>
      <c r="D89" s="80" t="inlineStr">
        <is>
          <t>공단2</t>
        </is>
      </c>
      <c r="E89" s="81" t="inlineStr">
        <is>
          <t>공단2</t>
        </is>
      </c>
      <c r="F89" s="49" t="inlineStr">
        <is>
          <t>운영</t>
        </is>
      </c>
      <c r="G89" s="49" t="inlineStr">
        <is>
          <t>인천</t>
        </is>
      </c>
      <c r="H89" s="50" t="inlineStr">
        <is>
          <t>인천 남동구 고잔동 673-10</t>
        </is>
      </c>
      <c r="K89" s="403">
        <f>$K$192*L89</f>
        <v/>
      </c>
      <c r="L89" s="25" t="n">
        <v>0.00896127936655761</v>
      </c>
      <c r="M89" s="404">
        <f>$M$192*N89</f>
        <v/>
      </c>
      <c r="N89" s="27" t="n">
        <v>0.01401471995758164</v>
      </c>
      <c r="O89" s="404">
        <f>$O$192*P89</f>
        <v/>
      </c>
      <c r="P89" s="28" t="n">
        <v>0.006144737390898844</v>
      </c>
      <c r="Q89" s="405">
        <f>M89+O89</f>
        <v/>
      </c>
      <c r="R89" s="406">
        <f>K89+Q89</f>
        <v/>
      </c>
      <c r="T89" s="403" t="n">
        <v>7864000000</v>
      </c>
      <c r="U89" s="404" t="n">
        <v>637000000</v>
      </c>
      <c r="V89" s="404" t="n">
        <v>236000000</v>
      </c>
      <c r="W89" s="405">
        <f>SUM(U89:V89)</f>
        <v/>
      </c>
      <c r="X89" s="406">
        <f>SUM(T89,W89)</f>
        <v/>
      </c>
    </row>
    <row r="90" ht="11.25" customHeight="1" s="308">
      <c r="B90" s="45" t="n">
        <v>86</v>
      </c>
      <c r="C90" s="46" t="n">
        <v>10848</v>
      </c>
      <c r="D90" s="80" t="inlineStr">
        <is>
          <t>공단1</t>
        </is>
      </c>
      <c r="E90" s="81" t="inlineStr">
        <is>
          <t>공단1</t>
        </is>
      </c>
      <c r="F90" s="49" t="inlineStr">
        <is>
          <t>운영</t>
        </is>
      </c>
      <c r="G90" s="49" t="inlineStr">
        <is>
          <t>인천</t>
        </is>
      </c>
      <c r="H90" s="50" t="inlineStr">
        <is>
          <t>인천 남동구 남촌동 624</t>
        </is>
      </c>
      <c r="K90" s="403">
        <f>$K$192*L90</f>
        <v/>
      </c>
      <c r="L90" s="25" t="n">
        <v>0.007354537532001896</v>
      </c>
      <c r="M90" s="404">
        <f>$M$192*N90</f>
        <v/>
      </c>
      <c r="N90" s="27" t="n">
        <v>0.007614963555681229</v>
      </c>
      <c r="O90" s="404">
        <f>$O$192*P90</f>
        <v/>
      </c>
      <c r="P90" s="28" t="n">
        <v>0.004341791983281253</v>
      </c>
      <c r="Q90" s="405">
        <f>M90+O90</f>
        <v/>
      </c>
      <c r="R90" s="406">
        <f>K90+Q90</f>
        <v/>
      </c>
      <c r="T90" s="403" t="n">
        <v>6454000000</v>
      </c>
      <c r="U90" s="404" t="n">
        <v>346000000</v>
      </c>
      <c r="V90" s="404" t="n">
        <v>167000000</v>
      </c>
      <c r="W90" s="405">
        <f>SUM(U90:V90)</f>
        <v/>
      </c>
      <c r="X90" s="406">
        <f>SUM(T90,W90)</f>
        <v/>
      </c>
    </row>
    <row r="91" ht="11.25" customFormat="1" customHeight="1" s="57">
      <c r="B91" s="51" t="n">
        <v>87</v>
      </c>
      <c r="C91" s="52" t="n">
        <v>10782</v>
      </c>
      <c r="D91" s="53" t="inlineStr">
        <is>
          <t>인천HW</t>
        </is>
      </c>
      <c r="E91" s="54" t="inlineStr">
        <is>
          <t>만수동셀프</t>
        </is>
      </c>
      <c r="F91" s="55" t="inlineStr">
        <is>
          <t>운영</t>
        </is>
      </c>
      <c r="G91" s="55" t="inlineStr">
        <is>
          <t>인천</t>
        </is>
      </c>
      <c r="H91" s="56" t="inlineStr">
        <is>
          <t>인천 남동구 만수동 884-6</t>
        </is>
      </c>
      <c r="K91" s="411">
        <f>$K$192*L91</f>
        <v/>
      </c>
      <c r="L91" s="59" t="n">
        <v>0.01014729737694229</v>
      </c>
      <c r="M91" s="412">
        <f>$M$192*N91</f>
        <v/>
      </c>
      <c r="N91" s="61" t="n">
        <v>0.01079358353045559</v>
      </c>
      <c r="O91" s="412">
        <f>$O$192*P91</f>
        <v/>
      </c>
      <c r="P91" s="62" t="n">
        <v>0.01400949855867635</v>
      </c>
      <c r="Q91" s="413">
        <f>M91+O91</f>
        <v/>
      </c>
      <c r="R91" s="414">
        <f>K91+Q91</f>
        <v/>
      </c>
      <c r="T91" s="411" t="n">
        <v>8905000000</v>
      </c>
      <c r="U91" s="412" t="n">
        <v>490000000</v>
      </c>
      <c r="V91" s="412" t="n">
        <v>537000000</v>
      </c>
      <c r="W91" s="413">
        <f>SUM(U91:V91)</f>
        <v/>
      </c>
      <c r="X91" s="414">
        <f>SUM(T91,W91)</f>
        <v/>
      </c>
    </row>
    <row r="92" ht="11.25" customHeight="1" s="308">
      <c r="B92" s="45" t="n">
        <v>88</v>
      </c>
      <c r="C92" s="46" t="n">
        <v>10797</v>
      </c>
      <c r="D92" s="80" t="inlineStr">
        <is>
          <t>공단(인천부평)</t>
        </is>
      </c>
      <c r="E92" s="81" t="inlineStr">
        <is>
          <t>부평공단셀프</t>
        </is>
      </c>
      <c r="F92" s="49" t="inlineStr">
        <is>
          <t>운영</t>
        </is>
      </c>
      <c r="G92" s="49" t="inlineStr">
        <is>
          <t>인천</t>
        </is>
      </c>
      <c r="H92" s="50" t="inlineStr">
        <is>
          <t>인천 부평구 갈산동 181-8</t>
        </is>
      </c>
      <c r="K92" s="403">
        <f>$K$192*L92</f>
        <v/>
      </c>
      <c r="L92" s="25" t="n">
        <v>0.006781545388901135</v>
      </c>
      <c r="M92" s="404">
        <f>$M$192*N92</f>
        <v/>
      </c>
      <c r="N92" s="27" t="n">
        <v>0.004013766623004069</v>
      </c>
      <c r="O92" s="404">
        <f>$O$192*P92</f>
        <v/>
      </c>
      <c r="P92" s="28" t="n">
        <v>0.005478307430691951</v>
      </c>
      <c r="Q92" s="405">
        <f>M92+O92</f>
        <v/>
      </c>
      <c r="R92" s="406">
        <f>K92+Q92</f>
        <v/>
      </c>
      <c r="T92" s="403" t="n">
        <v>5951000000</v>
      </c>
      <c r="U92" s="404" t="n">
        <v>182000000</v>
      </c>
      <c r="V92" s="404" t="n">
        <v>210000000</v>
      </c>
      <c r="W92" s="405">
        <f>SUM(U92:V92)</f>
        <v/>
      </c>
      <c r="X92" s="406">
        <f>SUM(T92,W92)</f>
        <v/>
      </c>
    </row>
    <row r="93" ht="11.25" customHeight="1" s="308">
      <c r="B93" s="45" t="n">
        <v>89</v>
      </c>
      <c r="C93" s="46" t="n">
        <v>10794</v>
      </c>
      <c r="D93" s="80" t="inlineStr">
        <is>
          <t>부평</t>
        </is>
      </c>
      <c r="E93" s="81" t="inlineStr">
        <is>
          <t>산곡셀프</t>
        </is>
      </c>
      <c r="F93" s="49" t="inlineStr">
        <is>
          <t>운영</t>
        </is>
      </c>
      <c r="G93" s="49" t="inlineStr">
        <is>
          <t>인천</t>
        </is>
      </c>
      <c r="H93" s="50" t="inlineStr">
        <is>
          <t>인천 부평구 산곡동 411-16</t>
        </is>
      </c>
      <c r="K93" s="403">
        <f>$K$192*L93</f>
        <v/>
      </c>
      <c r="L93" s="25" t="n">
        <v>0.004015514288623442</v>
      </c>
      <c r="M93" s="404">
        <f>$M$192*N93</f>
        <v/>
      </c>
      <c r="N93" s="27" t="n">
        <v>0.004752491942312266</v>
      </c>
      <c r="O93" s="404">
        <f>$O$192*P93</f>
        <v/>
      </c>
      <c r="P93" s="28" t="n">
        <v>0.0105966688640529</v>
      </c>
      <c r="Q93" s="405">
        <f>M93+O93</f>
        <v/>
      </c>
      <c r="R93" s="406">
        <f>K93+Q93</f>
        <v/>
      </c>
      <c r="T93" s="403" t="n">
        <v>3524000000</v>
      </c>
      <c r="U93" s="404" t="n">
        <v>216000000</v>
      </c>
      <c r="V93" s="404" t="n">
        <v>407000000</v>
      </c>
      <c r="W93" s="405">
        <f>SUM(U93:V93)</f>
        <v/>
      </c>
      <c r="X93" s="406">
        <f>SUM(T93,W93)</f>
        <v/>
      </c>
    </row>
    <row r="94" ht="11.25" customHeight="1" s="308">
      <c r="B94" s="45" t="n">
        <v>90</v>
      </c>
      <c r="C94" s="46" t="n">
        <v>14751</v>
      </c>
      <c r="D94" s="80" t="inlineStr">
        <is>
          <t>SK서인천</t>
        </is>
      </c>
      <c r="E94" s="81" t="inlineStr">
        <is>
          <t>서인천셀프</t>
        </is>
      </c>
      <c r="F94" s="49" t="inlineStr">
        <is>
          <t>운영</t>
        </is>
      </c>
      <c r="G94" s="49" t="inlineStr">
        <is>
          <t>인천</t>
        </is>
      </c>
      <c r="H94" s="50" t="inlineStr">
        <is>
          <t>인천 서구 연희동 711-4</t>
        </is>
      </c>
      <c r="K94" s="403">
        <f>$K$192*L94</f>
        <v/>
      </c>
      <c r="L94" s="25" t="n">
        <v>0.005093616551493741</v>
      </c>
      <c r="M94" s="404">
        <f>$M$192*N94</f>
        <v/>
      </c>
      <c r="N94" s="27" t="n">
        <v>0.008817033279019769</v>
      </c>
      <c r="O94" s="404">
        <f>$O$192*P94</f>
        <v/>
      </c>
      <c r="P94" s="28" t="n">
        <v>0.009984968991638468</v>
      </c>
      <c r="Q94" s="405">
        <f>M94+O94</f>
        <v/>
      </c>
      <c r="R94" s="406">
        <f>K94+Q94</f>
        <v/>
      </c>
      <c r="T94" s="403" t="n">
        <v>4470000000</v>
      </c>
      <c r="U94" s="404" t="n">
        <v>401000000</v>
      </c>
      <c r="V94" s="404" t="n">
        <v>383000000</v>
      </c>
      <c r="W94" s="405">
        <f>SUM(U94:V94)</f>
        <v/>
      </c>
      <c r="X94" s="406">
        <f>SUM(T94,W94)</f>
        <v/>
      </c>
    </row>
    <row r="95" ht="11.25" customHeight="1" s="308">
      <c r="B95" s="45" t="n">
        <v>91</v>
      </c>
      <c r="C95" s="46" t="n">
        <v>32096</v>
      </c>
      <c r="D95" s="80" t="inlineStr">
        <is>
          <t>인천대교</t>
        </is>
      </c>
      <c r="E95" s="81" t="inlineStr">
        <is>
          <t>인천대교</t>
        </is>
      </c>
      <c r="F95" s="49" t="inlineStr">
        <is>
          <t>운영</t>
        </is>
      </c>
      <c r="G95" s="49" t="inlineStr">
        <is>
          <t>인천</t>
        </is>
      </c>
      <c r="H95" s="50" t="inlineStr">
        <is>
          <t>인천 연수구 동춘동 913-4</t>
        </is>
      </c>
      <c r="K95" s="403">
        <f>$K$192*L95</f>
        <v/>
      </c>
      <c r="L95" s="25" t="n">
        <v>0.00520700732629238</v>
      </c>
      <c r="M95" s="404">
        <f>$M$192*N95</f>
        <v/>
      </c>
      <c r="N95" s="27" t="n">
        <v>0.004782935510205061</v>
      </c>
      <c r="O95" s="404">
        <f>$O$192*P95</f>
        <v/>
      </c>
      <c r="P95" s="28" t="n">
        <v>0.01502831148380933</v>
      </c>
      <c r="Q95" s="405">
        <f>M95+O95</f>
        <v/>
      </c>
      <c r="R95" s="406">
        <f>K95+Q95</f>
        <v/>
      </c>
      <c r="T95" s="403" t="n">
        <v>4569000000</v>
      </c>
      <c r="U95" s="404" t="n">
        <v>217000000</v>
      </c>
      <c r="V95" s="404" t="n">
        <v>577000000</v>
      </c>
      <c r="W95" s="405">
        <f>SUM(U95:V95)</f>
        <v/>
      </c>
      <c r="X95" s="406">
        <f>SUM(T95,W95)</f>
        <v/>
      </c>
    </row>
    <row r="96" ht="11.25" customHeight="1" s="308">
      <c r="B96" s="45" t="n">
        <v>92</v>
      </c>
      <c r="C96" s="46" t="n">
        <v>34536</v>
      </c>
      <c r="D96" s="80" t="inlineStr">
        <is>
          <t>송도행복</t>
        </is>
      </c>
      <c r="E96" s="81" t="inlineStr">
        <is>
          <t>송도셀프</t>
        </is>
      </c>
      <c r="F96" s="49" t="inlineStr">
        <is>
          <t>운영</t>
        </is>
      </c>
      <c r="G96" s="49" t="inlineStr">
        <is>
          <t>인천</t>
        </is>
      </c>
      <c r="H96" s="50" t="inlineStr">
        <is>
          <t>인천 연수구 송도동 158-4</t>
        </is>
      </c>
      <c r="K96" s="403">
        <f>$K$192*L96</f>
        <v/>
      </c>
      <c r="L96" s="25" t="n">
        <v>0.00676092024543798</v>
      </c>
      <c r="M96" s="404">
        <f>$M$192*N96</f>
        <v/>
      </c>
      <c r="N96" s="27" t="n">
        <v>0.01399672247704996</v>
      </c>
      <c r="O96" s="404">
        <f>$O$192*P96</f>
        <v/>
      </c>
      <c r="P96" s="28" t="n">
        <v>0.002231615367071118</v>
      </c>
      <c r="Q96" s="405">
        <f>M96+O96</f>
        <v/>
      </c>
      <c r="R96" s="406">
        <f>K96+Q96</f>
        <v/>
      </c>
      <c r="T96" s="403" t="n">
        <v>5933000000</v>
      </c>
      <c r="U96" s="404" t="n">
        <v>636000000</v>
      </c>
      <c r="V96" s="404" t="n">
        <v>86000000</v>
      </c>
      <c r="W96" s="405">
        <f>SUM(U96:V96)</f>
        <v/>
      </c>
      <c r="X96" s="406">
        <f>SUM(T96,W96)</f>
        <v/>
      </c>
    </row>
    <row r="97" ht="11.25" customHeight="1" s="308">
      <c r="B97" s="45" t="n">
        <v>93</v>
      </c>
      <c r="C97" s="46" t="n">
        <v>19462</v>
      </c>
      <c r="D97" s="80" t="inlineStr">
        <is>
          <t>송도역</t>
        </is>
      </c>
      <c r="E97" s="81" t="inlineStr">
        <is>
          <t>송도역</t>
        </is>
      </c>
      <c r="F97" s="49" t="inlineStr">
        <is>
          <t>운영</t>
        </is>
      </c>
      <c r="G97" s="49" t="inlineStr">
        <is>
          <t>인천</t>
        </is>
      </c>
      <c r="H97" s="50" t="inlineStr">
        <is>
          <t>인천 연수구 옥련동 304-7</t>
        </is>
      </c>
      <c r="K97" s="403">
        <f>$K$192*L97</f>
        <v/>
      </c>
      <c r="L97" s="25" t="n">
        <v>0.008074650617088232</v>
      </c>
      <c r="M97" s="404">
        <f>$M$192*N97</f>
        <v/>
      </c>
      <c r="N97" s="27" t="n">
        <v>0.003458673191550431</v>
      </c>
      <c r="O97" s="404">
        <f>$O$192*P97</f>
        <v/>
      </c>
      <c r="P97" s="28" t="n">
        <v>0.001222675142921799</v>
      </c>
      <c r="Q97" s="405">
        <f>M97+O97</f>
        <v/>
      </c>
      <c r="R97" s="406">
        <f>K97+Q97</f>
        <v/>
      </c>
      <c r="T97" s="403" t="n">
        <v>7086000000</v>
      </c>
      <c r="U97" s="404" t="n">
        <v>157000000</v>
      </c>
      <c r="V97" s="404" t="n">
        <v>47000000</v>
      </c>
      <c r="W97" s="405">
        <f>SUM(U97:V97)</f>
        <v/>
      </c>
      <c r="X97" s="406">
        <f>SUM(T97,W97)</f>
        <v/>
      </c>
    </row>
    <row r="98" ht="11.25" customHeight="1" s="308">
      <c r="B98" s="45" t="n">
        <v>94</v>
      </c>
      <c r="C98" s="46" t="n">
        <v>26378</v>
      </c>
      <c r="D98" s="80" t="inlineStr">
        <is>
          <t>SK신공항</t>
        </is>
      </c>
      <c r="E98" s="81" t="inlineStr">
        <is>
          <t>신공항</t>
        </is>
      </c>
      <c r="F98" s="49" t="inlineStr">
        <is>
          <t>운영</t>
        </is>
      </c>
      <c r="G98" s="49" t="inlineStr">
        <is>
          <t>인천</t>
        </is>
      </c>
      <c r="H98" s="50" t="inlineStr">
        <is>
          <t>인천 중구 운서동 2797-1</t>
        </is>
      </c>
      <c r="K98" s="403">
        <f>$K$192*L98</f>
        <v/>
      </c>
      <c r="L98" s="25" t="n">
        <v>0.008077030289044723</v>
      </c>
      <c r="M98" s="404">
        <f>$M$192*N98</f>
        <v/>
      </c>
      <c r="N98" s="27" t="n">
        <v>0.005337116965304394</v>
      </c>
      <c r="O98" s="404">
        <f>$O$192*P98</f>
        <v/>
      </c>
      <c r="P98" s="28" t="n">
        <v>0.003382056757383084</v>
      </c>
      <c r="Q98" s="405">
        <f>M98+O98</f>
        <v/>
      </c>
      <c r="R98" s="406">
        <f>K98+Q98</f>
        <v/>
      </c>
      <c r="T98" s="403" t="n">
        <v>7088000000</v>
      </c>
      <c r="U98" s="404" t="n">
        <v>242000000</v>
      </c>
      <c r="V98" s="404" t="n">
        <v>130000000</v>
      </c>
      <c r="W98" s="405">
        <f>SUM(U98:V98)</f>
        <v/>
      </c>
      <c r="X98" s="406">
        <f>SUM(T98,W98)</f>
        <v/>
      </c>
    </row>
    <row r="99" ht="11.25" customHeight="1" s="308">
      <c r="B99" s="45" t="n">
        <v>95</v>
      </c>
      <c r="C99" s="46" t="n">
        <v>34566</v>
      </c>
      <c r="D99" s="80" t="inlineStr">
        <is>
          <t>영종행복</t>
        </is>
      </c>
      <c r="E99" s="81" t="inlineStr">
        <is>
          <t>영종셀프</t>
        </is>
      </c>
      <c r="F99" s="49" t="inlineStr">
        <is>
          <t>운영</t>
        </is>
      </c>
      <c r="G99" s="49" t="inlineStr">
        <is>
          <t>인천</t>
        </is>
      </c>
      <c r="H99" s="50" t="inlineStr">
        <is>
          <t>인천 중구 자연대로 55</t>
        </is>
      </c>
      <c r="K99" s="403">
        <f>$K$192*L99</f>
        <v/>
      </c>
      <c r="L99" s="25" t="n">
        <v>0.005649988606345972</v>
      </c>
      <c r="M99" s="404">
        <f>$M$192*N99</f>
        <v/>
      </c>
      <c r="N99" s="27" t="n">
        <v>0.01223086992743036</v>
      </c>
      <c r="O99" s="404">
        <f>$O$192*P99</f>
        <v/>
      </c>
      <c r="P99" s="28" t="n">
        <v>0.00345906835381758</v>
      </c>
      <c r="Q99" s="405">
        <f>M99+O99</f>
        <v/>
      </c>
      <c r="R99" s="406">
        <f>K99+Q99</f>
        <v/>
      </c>
      <c r="T99" s="403" t="n">
        <v>4958000000</v>
      </c>
      <c r="U99" s="404" t="n">
        <v>556000000</v>
      </c>
      <c r="V99" s="404" t="n">
        <v>133000000</v>
      </c>
      <c r="W99" s="405">
        <f>SUM(U99:V99)</f>
        <v/>
      </c>
      <c r="X99" s="406">
        <f>SUM(T99,W99)</f>
        <v/>
      </c>
    </row>
    <row r="100" ht="11.25" customHeight="1" s="308">
      <c r="B100" s="45" t="n">
        <v>96</v>
      </c>
      <c r="C100" s="46" t="n">
        <v>19670</v>
      </c>
      <c r="D100" s="80" t="inlineStr">
        <is>
          <t>샘터</t>
        </is>
      </c>
      <c r="E100" s="81" t="inlineStr">
        <is>
          <t>샘터</t>
        </is>
      </c>
      <c r="F100" s="49" t="inlineStr">
        <is>
          <t>운영</t>
        </is>
      </c>
      <c r="G100" s="49" t="inlineStr">
        <is>
          <t>강원</t>
        </is>
      </c>
      <c r="H100" s="50" t="inlineStr">
        <is>
          <t>강원 강릉시 연곡면 방내리 187-18</t>
        </is>
      </c>
      <c r="K100" s="403">
        <f>$K$192*L100</f>
        <v/>
      </c>
      <c r="L100" s="25" t="n">
        <v>0.0009496118557820187</v>
      </c>
      <c r="M100" s="404">
        <f>$M$192*N100</f>
        <v/>
      </c>
      <c r="N100" s="27" t="n">
        <v>0.005942907869696867</v>
      </c>
      <c r="O100" s="404">
        <f>$O$192*P100</f>
        <v/>
      </c>
      <c r="P100" s="28" t="n">
        <v>0.001329531280403242</v>
      </c>
      <c r="Q100" s="405">
        <f>M100+O100</f>
        <v/>
      </c>
      <c r="R100" s="406">
        <f>K100+Q100</f>
        <v/>
      </c>
      <c r="T100" s="403" t="n">
        <v>833000000</v>
      </c>
      <c r="U100" s="404" t="n">
        <v>270000000</v>
      </c>
      <c r="V100" s="404" t="n">
        <v>51000000</v>
      </c>
      <c r="W100" s="405">
        <f>SUM(U100:V100)</f>
        <v/>
      </c>
      <c r="X100" s="406">
        <f>SUM(T100,W100)</f>
        <v/>
      </c>
      <c r="Y100" s="415">
        <f>#REF!/10^8</f>
        <v/>
      </c>
    </row>
    <row r="101" ht="11.25" customHeight="1" s="308">
      <c r="B101" s="45" t="n">
        <v>97</v>
      </c>
      <c r="C101" s="46" t="n">
        <v>11398</v>
      </c>
      <c r="D101" s="80" t="inlineStr">
        <is>
          <t>삼천리</t>
        </is>
      </c>
      <c r="E101" s="81" t="inlineStr">
        <is>
          <t>삼천리</t>
        </is>
      </c>
      <c r="F101" s="49" t="inlineStr">
        <is>
          <t>운영</t>
        </is>
      </c>
      <c r="G101" s="49" t="inlineStr">
        <is>
          <t>강원</t>
        </is>
      </c>
      <c r="H101" s="50" t="inlineStr">
        <is>
          <t>강원 속초시 조양동 1534-1</t>
        </is>
      </c>
      <c r="K101" s="403">
        <f>$K$192*L101</f>
        <v/>
      </c>
      <c r="L101" s="25" t="n">
        <v>0.001912956319322933</v>
      </c>
      <c r="M101" s="404">
        <f>$M$192*N101</f>
        <v/>
      </c>
      <c r="N101" s="27" t="n">
        <v>0.003985548889223813</v>
      </c>
      <c r="O101" s="404">
        <f>$O$192*P101</f>
        <v/>
      </c>
      <c r="P101" s="28" t="n">
        <v>0.002546930415689276</v>
      </c>
      <c r="Q101" s="405">
        <f>M101+O101</f>
        <v/>
      </c>
      <c r="R101" s="406">
        <f>K101+Q101</f>
        <v/>
      </c>
      <c r="T101" s="403" t="n">
        <v>1679000000</v>
      </c>
      <c r="U101" s="404" t="n">
        <v>181000000</v>
      </c>
      <c r="V101" s="404" t="n">
        <v>98000000</v>
      </c>
      <c r="W101" s="405">
        <f>SUM(U101:V101)</f>
        <v/>
      </c>
      <c r="X101" s="406">
        <f>SUM(T101,W101)</f>
        <v/>
      </c>
    </row>
    <row r="102" ht="11.25" customFormat="1" customHeight="1" s="57">
      <c r="B102" s="51" t="n">
        <v>98</v>
      </c>
      <c r="C102" s="52" t="n">
        <v>16854</v>
      </c>
      <c r="D102" s="53" t="inlineStr">
        <is>
          <t>단계</t>
        </is>
      </c>
      <c r="E102" s="54" t="inlineStr">
        <is>
          <t>단계</t>
        </is>
      </c>
      <c r="F102" s="55" t="inlineStr">
        <is>
          <t>운영</t>
        </is>
      </c>
      <c r="G102" s="55" t="inlineStr">
        <is>
          <t>강원</t>
        </is>
      </c>
      <c r="H102" s="56" t="inlineStr">
        <is>
          <t>강원 원주시 단계동 879-1</t>
        </is>
      </c>
      <c r="K102" s="411">
        <f>$K$192*L102</f>
        <v/>
      </c>
      <c r="L102" s="59" t="n">
        <v>0.00625755132490782</v>
      </c>
      <c r="M102" s="412">
        <f>$M$192*N102</f>
        <v/>
      </c>
      <c r="N102" s="61" t="n">
        <v>0.008865064607249847</v>
      </c>
      <c r="O102" s="412">
        <f>$O$192*P102</f>
        <v/>
      </c>
      <c r="P102" s="62" t="n">
        <v>0.001472300499903241</v>
      </c>
      <c r="Q102" s="413">
        <f>M102+O102</f>
        <v/>
      </c>
      <c r="R102" s="414">
        <f>K102+Q102</f>
        <v/>
      </c>
      <c r="T102" s="411" t="n">
        <v>5491000000</v>
      </c>
      <c r="U102" s="412" t="n">
        <v>403000000</v>
      </c>
      <c r="V102" s="412" t="n">
        <v>56000000</v>
      </c>
      <c r="W102" s="413">
        <f>SUM(U102:V102)</f>
        <v/>
      </c>
      <c r="X102" s="414">
        <f>SUM(T102,W102)</f>
        <v/>
      </c>
    </row>
    <row r="103" ht="11.25" customHeight="1" s="308">
      <c r="B103" s="45" t="n">
        <v>99</v>
      </c>
      <c r="C103" s="46" t="n">
        <v>11378</v>
      </c>
      <c r="D103" s="80" t="inlineStr">
        <is>
          <t>SK평원</t>
        </is>
      </c>
      <c r="E103" s="81" t="inlineStr">
        <is>
          <t>평원현대</t>
        </is>
      </c>
      <c r="F103" s="49" t="inlineStr">
        <is>
          <t>운영</t>
        </is>
      </c>
      <c r="G103" s="49" t="inlineStr">
        <is>
          <t>강원</t>
        </is>
      </c>
      <c r="H103" s="50" t="inlineStr">
        <is>
          <t>강원 원주시 평원동 184-3</t>
        </is>
      </c>
      <c r="K103" s="403">
        <f>$K$192*L103</f>
        <v/>
      </c>
      <c r="L103" s="25" t="n">
        <v>0.005244993978260061</v>
      </c>
      <c r="M103" s="404">
        <f>$M$192*N103</f>
        <v/>
      </c>
      <c r="N103" s="27" t="n">
        <v>0.002773383950904143</v>
      </c>
      <c r="O103" s="404">
        <f>$O$192*P103</f>
        <v/>
      </c>
      <c r="P103" s="28" t="n">
        <v>0.001514372698131789</v>
      </c>
      <c r="Q103" s="405">
        <f>M103+O103</f>
        <v/>
      </c>
      <c r="R103" s="406">
        <f>K103+Q103</f>
        <v/>
      </c>
      <c r="T103" s="403" t="n">
        <v>4603000000</v>
      </c>
      <c r="U103" s="404" t="n">
        <v>126000000</v>
      </c>
      <c r="V103" s="404" t="n">
        <v>58000000</v>
      </c>
      <c r="W103" s="405">
        <f>SUM(U103:V103)</f>
        <v/>
      </c>
      <c r="X103" s="406">
        <f>SUM(T103,W103)</f>
        <v/>
      </c>
    </row>
    <row r="104" ht="11.25" customHeight="1" s="308">
      <c r="B104" s="45" t="n">
        <v>100</v>
      </c>
      <c r="C104" s="46" t="n">
        <v>11452</v>
      </c>
      <c r="D104" s="80" t="inlineStr">
        <is>
          <t>신철원</t>
        </is>
      </c>
      <c r="E104" s="81" t="inlineStr">
        <is>
          <t>신철원</t>
        </is>
      </c>
      <c r="F104" s="49" t="inlineStr">
        <is>
          <t>운영</t>
        </is>
      </c>
      <c r="G104" s="49" t="inlineStr">
        <is>
          <t>강원</t>
        </is>
      </c>
      <c r="H104" s="50" t="inlineStr">
        <is>
          <t>강원 철원군 갈말읍 지포리 38-4</t>
        </is>
      </c>
      <c r="K104" s="403">
        <f>$K$192*L104</f>
        <v/>
      </c>
      <c r="L104" s="25" t="n">
        <v>0.001061414862769422</v>
      </c>
      <c r="M104" s="404">
        <f>$M$192*N104</f>
        <v/>
      </c>
      <c r="N104" s="27" t="n">
        <v>0.001494494080991264</v>
      </c>
      <c r="O104" s="404">
        <f>$O$192*P104</f>
        <v/>
      </c>
      <c r="P104" s="28" t="n">
        <v>0.001124650091182625</v>
      </c>
      <c r="Q104" s="405">
        <f>M104+O104</f>
        <v/>
      </c>
      <c r="R104" s="406">
        <f>K104+Q104</f>
        <v/>
      </c>
      <c r="T104" s="403" t="n">
        <v>931000000</v>
      </c>
      <c r="U104" s="404" t="n">
        <v>68000000</v>
      </c>
      <c r="V104" s="404" t="n">
        <v>43000000</v>
      </c>
      <c r="W104" s="405">
        <f>SUM(U104:V104)</f>
        <v/>
      </c>
      <c r="X104" s="406">
        <f>SUM(T104,W104)</f>
        <v/>
      </c>
    </row>
    <row r="105" ht="12.75" customHeight="1" s="308">
      <c r="B105" s="45" t="n">
        <v>101</v>
      </c>
      <c r="C105" s="46" t="n">
        <v>17167</v>
      </c>
      <c r="D105" s="80" t="inlineStr">
        <is>
          <t>춘천제일</t>
        </is>
      </c>
      <c r="E105" s="81" t="inlineStr">
        <is>
          <t>춘천제일</t>
        </is>
      </c>
      <c r="F105" s="49" t="inlineStr">
        <is>
          <t>운영</t>
        </is>
      </c>
      <c r="G105" s="49" t="inlineStr">
        <is>
          <t>강원</t>
        </is>
      </c>
      <c r="H105" s="50" t="inlineStr">
        <is>
          <t>강원 춘천시 석사동 167</t>
        </is>
      </c>
      <c r="K105" s="403">
        <f>$K$192*L105</f>
        <v/>
      </c>
      <c r="L105" s="25" t="n">
        <v>0.0007864140717915572</v>
      </c>
      <c r="M105" s="404">
        <f>$M$192*N105</f>
        <v/>
      </c>
      <c r="N105" s="27" t="n">
        <v>0.003311729902120534</v>
      </c>
      <c r="O105" s="404">
        <f>$O$192*P105</f>
        <v/>
      </c>
      <c r="P105" s="28" t="n">
        <v>0.002163955663999587</v>
      </c>
      <c r="Q105" s="405">
        <f>M105+O105</f>
        <v/>
      </c>
      <c r="R105" s="406">
        <f>K105+Q105</f>
        <v/>
      </c>
      <c r="T105" s="403" t="n">
        <v>690000000</v>
      </c>
      <c r="U105" s="404" t="n">
        <v>150000000</v>
      </c>
      <c r="V105" s="404" t="n">
        <v>83000000</v>
      </c>
      <c r="W105" s="405">
        <f>SUM(U105:V105)</f>
        <v/>
      </c>
      <c r="X105" s="406">
        <f>SUM(T105,W105)</f>
        <v/>
      </c>
    </row>
    <row r="106" ht="11.25" customFormat="1" customHeight="1" s="37">
      <c r="B106" s="31" t="n">
        <v>102</v>
      </c>
      <c r="C106" s="32" t="n">
        <v>26215</v>
      </c>
      <c r="D106" s="66" t="inlineStr">
        <is>
          <t>개나리</t>
        </is>
      </c>
      <c r="E106" s="67" t="inlineStr">
        <is>
          <t>개나리셀프</t>
        </is>
      </c>
      <c r="F106" s="35" t="inlineStr">
        <is>
          <t>운영</t>
        </is>
      </c>
      <c r="G106" s="35" t="inlineStr">
        <is>
          <t>강원</t>
        </is>
      </c>
      <c r="H106" s="36" t="inlineStr">
        <is>
          <t>강원 춘천시 석사동 818-6</t>
        </is>
      </c>
      <c r="K106" s="407">
        <f>$K$192*L106</f>
        <v/>
      </c>
      <c r="L106" s="39" t="n">
        <v>0.004199873533159432</v>
      </c>
      <c r="M106" s="408">
        <f>$M$192*N106</f>
        <v/>
      </c>
      <c r="N106" s="41" t="n">
        <v>0.004975978152799993</v>
      </c>
      <c r="O106" s="408">
        <f>$O$192*P106</f>
        <v/>
      </c>
      <c r="P106" s="42" t="n">
        <v>0.008009364535854739</v>
      </c>
      <c r="Q106" s="409">
        <f>M106+O106</f>
        <v/>
      </c>
      <c r="R106" s="410">
        <f>K106+Q106</f>
        <v/>
      </c>
      <c r="T106" s="403" t="n">
        <v>3686000000</v>
      </c>
      <c r="U106" s="404" t="n">
        <v>226000000</v>
      </c>
      <c r="V106" s="404" t="n">
        <v>307000000</v>
      </c>
      <c r="W106" s="405">
        <f>SUM(U106:V106)</f>
        <v/>
      </c>
      <c r="X106" s="406">
        <f>SUM(T106,W106)</f>
        <v/>
      </c>
    </row>
    <row r="107" ht="11.25" customFormat="1" customHeight="1" s="57">
      <c r="B107" s="51" t="n">
        <v>103</v>
      </c>
      <c r="C107" s="52" t="n">
        <v>26123</v>
      </c>
      <c r="D107" s="53" t="inlineStr">
        <is>
          <t>장미(강원춘천)</t>
        </is>
      </c>
      <c r="E107" s="54" t="inlineStr">
        <is>
          <t>장미셀프</t>
        </is>
      </c>
      <c r="F107" s="55" t="inlineStr">
        <is>
          <t>운영</t>
        </is>
      </c>
      <c r="G107" s="55" t="inlineStr">
        <is>
          <t>강원</t>
        </is>
      </c>
      <c r="H107" s="56" t="inlineStr">
        <is>
          <t>강원 춘천시 퇴계동 623-2</t>
        </is>
      </c>
      <c r="K107" s="411">
        <f>$K$192*L107</f>
        <v/>
      </c>
      <c r="L107" s="59" t="n">
        <v>0.002067968586115971</v>
      </c>
      <c r="M107" s="412">
        <f>$M$192*N107</f>
        <v/>
      </c>
      <c r="N107" s="61" t="n">
        <v>0.00259114201443235</v>
      </c>
      <c r="O107" s="412">
        <f>$O$192*P107</f>
        <v/>
      </c>
      <c r="P107" s="62" t="n">
        <v>0.002048925111254148</v>
      </c>
      <c r="Q107" s="413">
        <f>M107+O107</f>
        <v/>
      </c>
      <c r="R107" s="414">
        <f>K107+Q107</f>
        <v/>
      </c>
      <c r="T107" s="411" t="n">
        <v>1815000000</v>
      </c>
      <c r="U107" s="412" t="n">
        <v>118000000</v>
      </c>
      <c r="V107" s="412" t="n">
        <v>79000000</v>
      </c>
      <c r="W107" s="413">
        <f>SUM(U107:V107)</f>
        <v/>
      </c>
      <c r="X107" s="414">
        <f>SUM(T107,W107)</f>
        <v/>
      </c>
    </row>
    <row r="108" ht="11.25" customHeight="1" s="308">
      <c r="B108" s="45" t="n">
        <v>104</v>
      </c>
      <c r="C108" s="46" t="n">
        <v>15664</v>
      </c>
      <c r="D108" s="80" t="inlineStr">
        <is>
          <t>동광(강원춘천)</t>
        </is>
      </c>
      <c r="E108" s="81" t="inlineStr">
        <is>
          <t>춘천</t>
        </is>
      </c>
      <c r="F108" s="49" t="inlineStr">
        <is>
          <t>운영</t>
        </is>
      </c>
      <c r="G108" s="49" t="inlineStr">
        <is>
          <t>강원</t>
        </is>
      </c>
      <c r="H108" s="50" t="inlineStr">
        <is>
          <t>강원 춘천시 후평동 753-6</t>
        </is>
      </c>
      <c r="K108" s="403">
        <f>$K$192*L108</f>
        <v/>
      </c>
      <c r="L108" s="25" t="n">
        <v>0.00135478961170152</v>
      </c>
      <c r="M108" s="404">
        <f>$M$192*N108</f>
        <v/>
      </c>
      <c r="N108" s="27" t="n">
        <v>0.004304316936165201</v>
      </c>
      <c r="O108" s="404">
        <f>$O$192*P108</f>
        <v/>
      </c>
      <c r="P108" s="28" t="n">
        <v>0.003564022411292995</v>
      </c>
      <c r="Q108" s="405">
        <f>M108+O108</f>
        <v/>
      </c>
      <c r="R108" s="406">
        <f>K108+Q108</f>
        <v/>
      </c>
      <c r="T108" s="403" t="n">
        <v>1189000000</v>
      </c>
      <c r="U108" s="404" t="n">
        <v>196000000</v>
      </c>
      <c r="V108" s="404" t="n">
        <v>137000000</v>
      </c>
      <c r="W108" s="405">
        <f>SUM(U108:V108)</f>
        <v/>
      </c>
      <c r="X108" s="406">
        <f>SUM(T108,W108)</f>
        <v/>
      </c>
    </row>
    <row r="109" ht="11.25" customHeight="1" s="308">
      <c r="B109" s="45" t="n">
        <v>105</v>
      </c>
      <c r="C109" s="46" t="n">
        <v>24808</v>
      </c>
      <c r="D109" s="80" t="inlineStr">
        <is>
          <t>보령고속</t>
        </is>
      </c>
      <c r="E109" s="81" t="inlineStr">
        <is>
          <t>현대보령셀프</t>
        </is>
      </c>
      <c r="F109" s="49" t="inlineStr">
        <is>
          <t>운영</t>
        </is>
      </c>
      <c r="G109" s="49" t="inlineStr">
        <is>
          <t>충남</t>
        </is>
      </c>
      <c r="H109" s="50" t="inlineStr">
        <is>
          <t>충남 보령시 내항동 374</t>
        </is>
      </c>
      <c r="K109" s="403">
        <f>$K$192*L109</f>
        <v/>
      </c>
      <c r="L109" s="25" t="n">
        <v>0.0003304615998147324</v>
      </c>
      <c r="M109" s="404">
        <f>$M$192*N109</f>
        <v/>
      </c>
      <c r="N109" s="27" t="n">
        <v>0.001010125658549023</v>
      </c>
      <c r="O109" s="404">
        <f>$O$192*P109</f>
        <v/>
      </c>
      <c r="P109" s="28" t="n">
        <v>0.00227203456719919</v>
      </c>
      <c r="Q109" s="405">
        <f>M109+O109</f>
        <v/>
      </c>
      <c r="R109" s="406">
        <f>K109+Q109</f>
        <v/>
      </c>
      <c r="T109" s="403" t="n">
        <v>290000000</v>
      </c>
      <c r="U109" s="404" t="n">
        <v>46000000</v>
      </c>
      <c r="V109" s="404" t="n">
        <v>87000000</v>
      </c>
      <c r="W109" s="405">
        <f>SUM(U109:V109)</f>
        <v/>
      </c>
      <c r="X109" s="406">
        <f>SUM(T109,W109)</f>
        <v/>
      </c>
    </row>
    <row r="110" ht="11.25" customHeight="1" s="308">
      <c r="B110" s="45" t="n">
        <v>106</v>
      </c>
      <c r="C110" s="46" t="n">
        <v>24574</v>
      </c>
      <c r="D110" s="80" t="inlineStr">
        <is>
          <t>잠홍</t>
        </is>
      </c>
      <c r="E110" s="81" t="inlineStr">
        <is>
          <t>잠홍셀프</t>
        </is>
      </c>
      <c r="F110" s="49" t="inlineStr">
        <is>
          <t>운영</t>
        </is>
      </c>
      <c r="G110" s="49" t="inlineStr">
        <is>
          <t>충남</t>
        </is>
      </c>
      <c r="H110" s="50" t="inlineStr">
        <is>
          <t>충남 서산시 잠홍동 752-1</t>
        </is>
      </c>
      <c r="K110" s="403">
        <f>$K$192*L110</f>
        <v/>
      </c>
      <c r="L110" s="25" t="n">
        <v>0.001052123847385223</v>
      </c>
      <c r="M110" s="404">
        <f>$M$192*N110</f>
        <v/>
      </c>
      <c r="N110" s="27" t="n">
        <v>0.00112600745396933</v>
      </c>
      <c r="O110" s="404">
        <f>$O$192*P110</f>
        <v/>
      </c>
      <c r="P110" s="28" t="n">
        <v>0.002492856998375081</v>
      </c>
      <c r="Q110" s="405">
        <f>M110+O110</f>
        <v/>
      </c>
      <c r="R110" s="406">
        <f>K110+Q110</f>
        <v/>
      </c>
      <c r="T110" s="403" t="n">
        <v>923000000</v>
      </c>
      <c r="U110" s="404" t="n">
        <v>51000000</v>
      </c>
      <c r="V110" s="404" t="n">
        <v>96000000</v>
      </c>
      <c r="W110" s="405">
        <f>SUM(U110:V110)</f>
        <v/>
      </c>
      <c r="X110" s="406">
        <f>SUM(T110,W110)</f>
        <v/>
      </c>
    </row>
    <row r="111" ht="11.25" customHeight="1" s="308">
      <c r="B111" s="45" t="n">
        <v>107</v>
      </c>
      <c r="C111" s="46" t="n">
        <v>23352</v>
      </c>
      <c r="D111" s="20" t="inlineStr">
        <is>
          <t>대성(충남아산)</t>
        </is>
      </c>
      <c r="E111" s="21" t="inlineStr">
        <is>
          <t>아산셀프</t>
        </is>
      </c>
      <c r="F111" s="49" t="inlineStr">
        <is>
          <t>운영</t>
        </is>
      </c>
      <c r="G111" s="49" t="inlineStr">
        <is>
          <t>충남</t>
        </is>
      </c>
      <c r="H111" s="50" t="inlineStr">
        <is>
          <t>충남 아산시 풍기동 474</t>
        </is>
      </c>
      <c r="K111" s="403">
        <f>$K$192*L111</f>
        <v/>
      </c>
      <c r="L111" s="25" t="n">
        <v>0.00787779809478067</v>
      </c>
      <c r="M111" s="404">
        <f>$M$192*N111</f>
        <v/>
      </c>
      <c r="N111" s="27" t="n">
        <v>0.004670017159961216</v>
      </c>
      <c r="O111" s="404">
        <f>$O$192*P111</f>
        <v/>
      </c>
      <c r="P111" s="28" t="n">
        <v>0.00208200771707326</v>
      </c>
      <c r="Q111" s="405">
        <f>M111+O111</f>
        <v/>
      </c>
      <c r="R111" s="406">
        <f>K111+Q111</f>
        <v/>
      </c>
      <c r="T111" s="403" t="n">
        <v>6913000000</v>
      </c>
      <c r="U111" s="404" t="n">
        <v>212000000</v>
      </c>
      <c r="V111" s="404" t="n">
        <v>80000000</v>
      </c>
      <c r="W111" s="405">
        <f>SUM(U111:V111)</f>
        <v/>
      </c>
      <c r="X111" s="406">
        <f>SUM(T111,W111)</f>
        <v/>
      </c>
    </row>
    <row r="112" ht="11.25" customHeight="1" s="308">
      <c r="B112" s="45" t="n">
        <v>108</v>
      </c>
      <c r="C112" s="46" t="n">
        <v>23337</v>
      </c>
      <c r="D112" s="80" t="inlineStr">
        <is>
          <t>천안푸른</t>
        </is>
      </c>
      <c r="E112" s="81" t="inlineStr">
        <is>
          <t>천안푸른</t>
        </is>
      </c>
      <c r="F112" s="49" t="inlineStr">
        <is>
          <t>운영</t>
        </is>
      </c>
      <c r="G112" s="49" t="inlineStr">
        <is>
          <t>충남</t>
        </is>
      </c>
      <c r="H112" s="50" t="inlineStr">
        <is>
          <t>충남 천안시 봉명동 146-2</t>
        </is>
      </c>
      <c r="K112" s="403">
        <f>$K$192*L112</f>
        <v/>
      </c>
      <c r="L112" s="25" t="n">
        <v>0.002417524974633154</v>
      </c>
      <c r="M112" s="404">
        <f>$M$192*N112</f>
        <v/>
      </c>
      <c r="N112" s="27" t="n">
        <v>0.001684790852642691</v>
      </c>
      <c r="O112" s="404">
        <f>$O$192*P112</f>
        <v/>
      </c>
      <c r="P112" s="28" t="n">
        <v>0.001985273362481032</v>
      </c>
      <c r="Q112" s="405">
        <f>M112+O112</f>
        <v/>
      </c>
      <c r="R112" s="406">
        <f>K112+Q112</f>
        <v/>
      </c>
      <c r="T112" s="403" t="n">
        <v>2122000000</v>
      </c>
      <c r="U112" s="404" t="n">
        <v>77000000</v>
      </c>
      <c r="V112" s="404" t="n">
        <v>76000000</v>
      </c>
      <c r="W112" s="405">
        <f>SUM(U112:V112)</f>
        <v/>
      </c>
      <c r="X112" s="406">
        <f>SUM(T112,W112)</f>
        <v/>
      </c>
    </row>
    <row r="113" ht="11.25" customHeight="1" s="308">
      <c r="B113" s="45" t="n">
        <v>109</v>
      </c>
      <c r="C113" s="46" t="n">
        <v>23345</v>
      </c>
      <c r="D113" s="80" t="inlineStr">
        <is>
          <t>쌍용대로</t>
        </is>
      </c>
      <c r="E113" s="81" t="inlineStr">
        <is>
          <t>쌍용대로셀프</t>
        </is>
      </c>
      <c r="F113" s="49" t="inlineStr">
        <is>
          <t>운영</t>
        </is>
      </c>
      <c r="G113" s="49" t="inlineStr">
        <is>
          <t>충남</t>
        </is>
      </c>
      <c r="H113" s="50" t="inlineStr">
        <is>
          <t>충남 천안시 봉명동 204-29</t>
        </is>
      </c>
      <c r="K113" s="403">
        <f>$K$192*L113</f>
        <v/>
      </c>
      <c r="L113" s="25" t="n">
        <v>0.002098413340980283</v>
      </c>
      <c r="M113" s="404">
        <f>$M$192*N113</f>
        <v/>
      </c>
      <c r="N113" s="27" t="n">
        <v>0.003370742611034509</v>
      </c>
      <c r="O113" s="404">
        <f>$O$192*P113</f>
        <v/>
      </c>
      <c r="P113" s="28" t="n">
        <v>0.00156851404687477</v>
      </c>
      <c r="Q113" s="405">
        <f>M113+O113</f>
        <v/>
      </c>
      <c r="R113" s="406">
        <f>K113+Q113</f>
        <v/>
      </c>
      <c r="T113" s="403" t="n">
        <v>1841000000</v>
      </c>
      <c r="U113" s="404" t="n">
        <v>153000000</v>
      </c>
      <c r="V113" s="404" t="n">
        <v>60000000</v>
      </c>
      <c r="W113" s="405">
        <f>SUM(U113:V113)</f>
        <v/>
      </c>
      <c r="X113" s="406">
        <f>SUM(T113,W113)</f>
        <v/>
      </c>
    </row>
    <row r="114" ht="11.25" customHeight="1" s="308">
      <c r="B114" s="45" t="n">
        <v>110</v>
      </c>
      <c r="C114" s="46" t="n">
        <v>11904</v>
      </c>
      <c r="D114" s="80" t="inlineStr">
        <is>
          <t>대양</t>
        </is>
      </c>
      <c r="E114" s="81" t="inlineStr">
        <is>
          <t>대양셀프</t>
        </is>
      </c>
      <c r="F114" s="49" t="inlineStr">
        <is>
          <t>운영</t>
        </is>
      </c>
      <c r="G114" s="49" t="inlineStr">
        <is>
          <t>충남</t>
        </is>
      </c>
      <c r="H114" s="50" t="inlineStr">
        <is>
          <t>충남 천안시 쌍용동 394-10 외 1필지</t>
        </is>
      </c>
      <c r="K114" s="403">
        <f>$K$192*L114</f>
        <v/>
      </c>
      <c r="L114" s="25" t="n">
        <v>0.009649698467990495</v>
      </c>
      <c r="M114" s="404">
        <f>$M$192*N114</f>
        <v/>
      </c>
      <c r="N114" s="27" t="n">
        <v>0.01062899971224527</v>
      </c>
      <c r="O114" s="404">
        <f>$O$192*P114</f>
        <v/>
      </c>
      <c r="P114" s="28" t="n">
        <v>0.006576034032265456</v>
      </c>
      <c r="Q114" s="405">
        <f>M114+O114</f>
        <v/>
      </c>
      <c r="R114" s="406">
        <f>K114+Q114</f>
        <v/>
      </c>
      <c r="T114" s="403" t="n">
        <v>8468000000</v>
      </c>
      <c r="U114" s="404" t="n">
        <v>483000000</v>
      </c>
      <c r="V114" s="404" t="n">
        <v>252000000</v>
      </c>
      <c r="W114" s="405">
        <f>SUM(U114:V114)</f>
        <v/>
      </c>
      <c r="X114" s="406">
        <f>SUM(T114,W114)</f>
        <v/>
      </c>
    </row>
    <row r="115" ht="11.25" customHeight="1" s="308">
      <c r="B115" s="45" t="n">
        <v>111</v>
      </c>
      <c r="C115" s="46" t="n">
        <v>31894</v>
      </c>
      <c r="D115" s="80" t="inlineStr">
        <is>
          <t>SK홍성</t>
        </is>
      </c>
      <c r="E115" s="81" t="inlineStr">
        <is>
          <t>옥암</t>
        </is>
      </c>
      <c r="F115" s="49" t="inlineStr">
        <is>
          <t>운영</t>
        </is>
      </c>
      <c r="G115" s="49" t="inlineStr">
        <is>
          <t>충남</t>
        </is>
      </c>
      <c r="H115" s="50" t="inlineStr">
        <is>
          <t>충남 홍성군 홍성읍 옥암리 227 외 2필지</t>
        </is>
      </c>
      <c r="K115" s="403">
        <f>$K$192*L115</f>
        <v/>
      </c>
      <c r="L115" s="25" t="n">
        <v>0.001430108604836864</v>
      </c>
      <c r="M115" s="404">
        <f>$M$192*N115</f>
        <v/>
      </c>
      <c r="N115" s="27" t="n">
        <v>0.006132324020155857</v>
      </c>
      <c r="O115" s="404">
        <f>$O$192*P115</f>
        <v/>
      </c>
      <c r="P115" s="28" t="n">
        <v>0.005884537374836277</v>
      </c>
      <c r="Q115" s="405">
        <f>M115+O115</f>
        <v/>
      </c>
      <c r="R115" s="406">
        <f>K115+Q115</f>
        <v/>
      </c>
      <c r="T115" s="403" t="n">
        <v>1255000000</v>
      </c>
      <c r="U115" s="404" t="n">
        <v>279000000</v>
      </c>
      <c r="V115" s="404" t="n">
        <v>226000000</v>
      </c>
      <c r="W115" s="405">
        <f>SUM(U115:V115)</f>
        <v/>
      </c>
      <c r="X115" s="406">
        <f>SUM(T115,W115)</f>
        <v/>
      </c>
    </row>
    <row r="116" ht="11.25" customFormat="1" customHeight="1" s="37">
      <c r="B116" s="31" t="n">
        <v>112</v>
      </c>
      <c r="C116" s="32" t="n">
        <v>11872</v>
      </c>
      <c r="D116" s="66" t="inlineStr">
        <is>
          <t>조양(충북체천)</t>
        </is>
      </c>
      <c r="E116" s="67" t="inlineStr">
        <is>
          <t>조양</t>
        </is>
      </c>
      <c r="F116" s="35" t="inlineStr">
        <is>
          <t>운영</t>
        </is>
      </c>
      <c r="G116" s="35" t="inlineStr">
        <is>
          <t>충북</t>
        </is>
      </c>
      <c r="H116" s="36" t="inlineStr">
        <is>
          <t>충북 제천시 천남동 30-3 외 2필지</t>
        </is>
      </c>
      <c r="K116" s="407">
        <f>$K$192*L116</f>
        <v/>
      </c>
      <c r="L116" s="39" t="n">
        <v>0.003682671037091856</v>
      </c>
      <c r="M116" s="408">
        <f>$M$192*N116</f>
        <v/>
      </c>
      <c r="N116" s="41" t="n">
        <v>0.007859834751322349</v>
      </c>
      <c r="O116" s="408">
        <f>$O$192*P116</f>
        <v/>
      </c>
      <c r="P116" s="42" t="n">
        <v>0.00403659871755231</v>
      </c>
      <c r="Q116" s="409">
        <f>M116+O116</f>
        <v/>
      </c>
      <c r="R116" s="410">
        <f>K116+Q116</f>
        <v/>
      </c>
      <c r="T116" s="403" t="n">
        <v>3232000000</v>
      </c>
      <c r="U116" s="404" t="n">
        <v>357000000</v>
      </c>
      <c r="V116" s="404" t="n">
        <v>155000000</v>
      </c>
      <c r="W116" s="405">
        <f>SUM(U116:V116)</f>
        <v/>
      </c>
      <c r="X116" s="406">
        <f>SUM(T116,W116)</f>
        <v/>
      </c>
    </row>
    <row r="117" ht="11.25" customHeight="1" s="308">
      <c r="B117" s="45" t="n">
        <v>113</v>
      </c>
      <c r="C117" s="46" t="n">
        <v>30007</v>
      </c>
      <c r="D117" s="80" t="inlineStr">
        <is>
          <t>SK제천</t>
        </is>
      </c>
      <c r="E117" s="81" t="inlineStr">
        <is>
          <t>제천대로셀프</t>
        </is>
      </c>
      <c r="F117" s="49" t="inlineStr">
        <is>
          <t>운영</t>
        </is>
      </c>
      <c r="G117" s="49" t="inlineStr">
        <is>
          <t>충북</t>
        </is>
      </c>
      <c r="H117" s="50" t="inlineStr">
        <is>
          <t>충북 제천시 청전동 125-12</t>
        </is>
      </c>
      <c r="K117" s="403">
        <f>$K$192*L117</f>
        <v/>
      </c>
      <c r="L117" s="25" t="n">
        <v>0.001820380744982311</v>
      </c>
      <c r="M117" s="404">
        <f>$M$192*N117</f>
        <v/>
      </c>
      <c r="N117" s="27" t="n">
        <v>0.004335325279351626</v>
      </c>
      <c r="O117" s="404">
        <f>$O$192*P117</f>
        <v/>
      </c>
      <c r="P117" s="28" t="n">
        <v>0.004705270414909164</v>
      </c>
      <c r="Q117" s="405">
        <f>M117+O117</f>
        <v/>
      </c>
      <c r="R117" s="406">
        <f>K117+Q117</f>
        <v/>
      </c>
      <c r="T117" s="403" t="n">
        <v>1597000000</v>
      </c>
      <c r="U117" s="404" t="n">
        <v>197000000</v>
      </c>
      <c r="V117" s="404" t="n">
        <v>181000000</v>
      </c>
      <c r="W117" s="405">
        <f>SUM(U117:V117)</f>
        <v/>
      </c>
      <c r="X117" s="406">
        <f>SUM(T117,W117)</f>
        <v/>
      </c>
    </row>
    <row r="118" ht="11.25" customHeight="1" s="308">
      <c r="B118" s="45" t="n">
        <v>114</v>
      </c>
      <c r="C118" s="46" t="n">
        <v>22612</v>
      </c>
      <c r="D118" s="80" t="inlineStr">
        <is>
          <t>보라매</t>
        </is>
      </c>
      <c r="E118" s="81" t="inlineStr">
        <is>
          <t>보라매</t>
        </is>
      </c>
      <c r="F118" s="49" t="inlineStr">
        <is>
          <t>운영</t>
        </is>
      </c>
      <c r="G118" s="49" t="inlineStr">
        <is>
          <t>충북</t>
        </is>
      </c>
      <c r="H118" s="50" t="inlineStr">
        <is>
          <t>충북 청주시 상당 방서동 45-26</t>
        </is>
      </c>
      <c r="K118" s="403">
        <f>$K$192*L118</f>
        <v/>
      </c>
      <c r="L118" s="25" t="n">
        <v>0.001054549053830065</v>
      </c>
      <c r="M118" s="404">
        <f>$M$192*N118</f>
        <v/>
      </c>
      <c r="N118" s="27" t="n">
        <v>0.001510439327940741</v>
      </c>
      <c r="O118" s="404">
        <f>$O$192*P118</f>
        <v/>
      </c>
      <c r="P118" s="28" t="n">
        <v>0.001582190907870488</v>
      </c>
      <c r="Q118" s="405">
        <f>M118+O118</f>
        <v/>
      </c>
      <c r="R118" s="406">
        <f>K118+Q118</f>
        <v/>
      </c>
      <c r="T118" s="403" t="n">
        <v>925000000</v>
      </c>
      <c r="U118" s="404" t="n">
        <v>69000000</v>
      </c>
      <c r="V118" s="404" t="n">
        <v>61000000</v>
      </c>
      <c r="W118" s="405">
        <f>SUM(U118:V118)</f>
        <v/>
      </c>
      <c r="X118" s="406">
        <f>SUM(T118,W118)</f>
        <v/>
      </c>
    </row>
    <row r="119" ht="11.25" customHeight="1" s="308">
      <c r="B119" s="45" t="n">
        <v>115</v>
      </c>
      <c r="C119" s="46" t="n">
        <v>22611</v>
      </c>
      <c r="D119" s="80" t="inlineStr">
        <is>
          <t>수동</t>
        </is>
      </c>
      <c r="E119" s="81" t="inlineStr">
        <is>
          <t>수암골셀프</t>
        </is>
      </c>
      <c r="F119" s="49" t="inlineStr">
        <is>
          <t>운영</t>
        </is>
      </c>
      <c r="G119" s="49" t="inlineStr">
        <is>
          <t>충북</t>
        </is>
      </c>
      <c r="H119" s="50" t="inlineStr">
        <is>
          <t>충북 청주시 상당 수동 448-1</t>
        </is>
      </c>
      <c r="K119" s="403">
        <f>$K$192*L119</f>
        <v/>
      </c>
      <c r="L119" s="25" t="n">
        <v>0.002332135930410717</v>
      </c>
      <c r="M119" s="404">
        <f>$M$192*N119</f>
        <v/>
      </c>
      <c r="N119" s="27" t="n">
        <v>0.002279460807642956</v>
      </c>
      <c r="O119" s="404">
        <f>$O$192*P119</f>
        <v/>
      </c>
      <c r="P119" s="28" t="n">
        <v>0.002206526026039238</v>
      </c>
      <c r="Q119" s="405">
        <f>M119+O119</f>
        <v/>
      </c>
      <c r="R119" s="406">
        <f>K119+Q119</f>
        <v/>
      </c>
      <c r="T119" s="403" t="n">
        <v>2047000000</v>
      </c>
      <c r="U119" s="404" t="n">
        <v>104000000</v>
      </c>
      <c r="V119" s="404" t="n">
        <v>85000000</v>
      </c>
      <c r="W119" s="405">
        <f>SUM(U119:V119)</f>
        <v/>
      </c>
      <c r="X119" s="406">
        <f>SUM(T119,W119)</f>
        <v/>
      </c>
    </row>
    <row r="120" ht="11.25" customHeight="1" s="308">
      <c r="B120" s="45" t="n">
        <v>116</v>
      </c>
      <c r="C120" s="46" t="n">
        <v>11784</v>
      </c>
      <c r="D120" s="80" t="inlineStr">
        <is>
          <t>동서(충북청주)</t>
        </is>
      </c>
      <c r="E120" s="81" t="inlineStr">
        <is>
          <t>동서셀프</t>
        </is>
      </c>
      <c r="F120" s="49" t="inlineStr">
        <is>
          <t>운영</t>
        </is>
      </c>
      <c r="G120" s="49" t="inlineStr">
        <is>
          <t>충북</t>
        </is>
      </c>
      <c r="H120" s="50" t="inlineStr">
        <is>
          <t>충북 청주시 상당 지북동 206-3</t>
        </is>
      </c>
      <c r="K120" s="403">
        <f>$K$192*L120</f>
        <v/>
      </c>
      <c r="L120" s="25" t="n">
        <v>0.001007067471160782</v>
      </c>
      <c r="M120" s="404">
        <f>$M$192*N120</f>
        <v/>
      </c>
      <c r="N120" s="27" t="n">
        <v>0.002100851672577482</v>
      </c>
      <c r="O120" s="404">
        <f>$O$192*P120</f>
        <v/>
      </c>
      <c r="P120" s="28" t="n">
        <v>0.002218210231790547</v>
      </c>
      <c r="Q120" s="405">
        <f>M120+O120</f>
        <v/>
      </c>
      <c r="R120" s="406">
        <f>K120+Q120</f>
        <v/>
      </c>
      <c r="T120" s="403" t="n">
        <v>884000000</v>
      </c>
      <c r="U120" s="404" t="n">
        <v>95000000</v>
      </c>
      <c r="V120" s="404" t="n">
        <v>85000000</v>
      </c>
      <c r="W120" s="405">
        <f>SUM(U120:V120)</f>
        <v/>
      </c>
      <c r="X120" s="406">
        <f>SUM(T120,W120)</f>
        <v/>
      </c>
    </row>
    <row r="121" ht="11.25" customHeight="1" s="308">
      <c r="B121" s="45" t="n">
        <v>117</v>
      </c>
      <c r="C121" s="46" t="n">
        <v>11666</v>
      </c>
      <c r="D121" s="80" t="inlineStr">
        <is>
          <t>서원경</t>
        </is>
      </c>
      <c r="E121" s="81" t="inlineStr">
        <is>
          <t>서원경</t>
        </is>
      </c>
      <c r="F121" s="49" t="inlineStr">
        <is>
          <t>운영</t>
        </is>
      </c>
      <c r="G121" s="49" t="inlineStr">
        <is>
          <t>충북</t>
        </is>
      </c>
      <c r="H121" s="50" t="inlineStr">
        <is>
          <t>충북 청주시 흥덕 봉명동 1614 외 1필지</t>
        </is>
      </c>
      <c r="K121" s="403">
        <f>$K$192*L121</f>
        <v/>
      </c>
      <c r="L121" s="25" t="n">
        <v>0.002983649329034194</v>
      </c>
      <c r="M121" s="404">
        <f>$M$192*N121</f>
        <v/>
      </c>
      <c r="N121" s="27" t="n">
        <v>0.002265790913018967</v>
      </c>
      <c r="O121" s="404">
        <f>$O$192*P121</f>
        <v/>
      </c>
      <c r="P121" s="28" t="n">
        <v>0.002127453842931547</v>
      </c>
      <c r="Q121" s="405">
        <f>M121+O121</f>
        <v/>
      </c>
      <c r="R121" s="406">
        <f>K121+Q121</f>
        <v/>
      </c>
      <c r="T121" s="403" t="n">
        <v>2618000000</v>
      </c>
      <c r="U121" s="404" t="n">
        <v>103000000</v>
      </c>
      <c r="V121" s="404" t="n">
        <v>82000000</v>
      </c>
      <c r="W121" s="405">
        <f>SUM(U121:V121)</f>
        <v/>
      </c>
      <c r="X121" s="406">
        <f>SUM(T121,W121)</f>
        <v/>
      </c>
      <c r="Y121" s="422">
        <f>#REF!/10^8</f>
        <v/>
      </c>
    </row>
    <row r="122" ht="11.25" customHeight="1" s="308">
      <c r="B122" s="45" t="n">
        <v>118</v>
      </c>
      <c r="C122" s="46" t="n">
        <v>11658</v>
      </c>
      <c r="D122" s="80" t="inlineStr">
        <is>
          <t>AUTO TOWN</t>
        </is>
      </c>
      <c r="E122" s="81" t="inlineStr">
        <is>
          <t>교대셀프</t>
        </is>
      </c>
      <c r="F122" s="49" t="inlineStr">
        <is>
          <t>운영</t>
        </is>
      </c>
      <c r="G122" s="49" t="inlineStr">
        <is>
          <t>충북</t>
        </is>
      </c>
      <c r="H122" s="50" t="inlineStr">
        <is>
          <t>충북 청주시 흥덕 분평동 246-3</t>
        </is>
      </c>
      <c r="K122" s="403">
        <f>$K$192*L122</f>
        <v/>
      </c>
      <c r="L122" s="25" t="n">
        <v>0.00680792074633902</v>
      </c>
      <c r="M122" s="404">
        <f>$M$192*N122</f>
        <v/>
      </c>
      <c r="N122" s="27" t="n">
        <v>0.003681248955203945</v>
      </c>
      <c r="O122" s="404">
        <f>$O$192*P122</f>
        <v/>
      </c>
      <c r="P122" s="28" t="n">
        <v>0.003674660064976896</v>
      </c>
      <c r="Q122" s="405">
        <f>M122+O122</f>
        <v/>
      </c>
      <c r="R122" s="406">
        <f>K122+Q122</f>
        <v/>
      </c>
      <c r="T122" s="403" t="n">
        <v>5974000000</v>
      </c>
      <c r="U122" s="404" t="n">
        <v>167000000</v>
      </c>
      <c r="V122" s="404" t="n">
        <v>141000000</v>
      </c>
      <c r="W122" s="405">
        <f>SUM(U122:V122)</f>
        <v/>
      </c>
      <c r="X122" s="406">
        <f>SUM(T122,W122)</f>
        <v/>
      </c>
      <c r="Y122" s="422">
        <f>#REF!/10^8</f>
        <v/>
      </c>
    </row>
    <row r="123" ht="11.25" customFormat="1" customHeight="1" s="57">
      <c r="B123" s="51" t="n">
        <v>119</v>
      </c>
      <c r="C123" s="52" t="n">
        <v>10910</v>
      </c>
      <c r="D123" s="53" t="inlineStr">
        <is>
          <t>호성(대전대덕)</t>
        </is>
      </c>
      <c r="E123" s="54" t="inlineStr">
        <is>
          <t>신탄진</t>
        </is>
      </c>
      <c r="F123" s="55" t="inlineStr">
        <is>
          <t>운영</t>
        </is>
      </c>
      <c r="G123" s="55" t="inlineStr">
        <is>
          <t>대전</t>
        </is>
      </c>
      <c r="H123" s="56" t="inlineStr">
        <is>
          <t>대전 대덕구 덕암동 49-8 외 2필지</t>
        </is>
      </c>
      <c r="K123" s="411">
        <f>$K$192*L123</f>
        <v/>
      </c>
      <c r="L123" s="59" t="n">
        <v>0.002689591562776815</v>
      </c>
      <c r="M123" s="412">
        <f>$M$192*N123</f>
        <v/>
      </c>
      <c r="N123" s="61" t="n">
        <v>0.0017117566742284</v>
      </c>
      <c r="O123" s="412">
        <f>$O$192*P123</f>
        <v/>
      </c>
      <c r="P123" s="62" t="n">
        <v>0.0008819763837470198</v>
      </c>
      <c r="Q123" s="413">
        <f>M123+O123</f>
        <v/>
      </c>
      <c r="R123" s="414">
        <f>K123+Q123</f>
        <v/>
      </c>
      <c r="T123" s="411" t="n">
        <v>2360000000</v>
      </c>
      <c r="U123" s="412" t="n">
        <v>78000000</v>
      </c>
      <c r="V123" s="412" t="n">
        <v>34000000</v>
      </c>
      <c r="W123" s="413">
        <f>SUM(U123:V123)</f>
        <v/>
      </c>
      <c r="X123" s="414">
        <f>SUM(T123,W123)</f>
        <v/>
      </c>
    </row>
    <row r="124" ht="11.25" customHeight="1" s="308">
      <c r="B124" s="45" t="n">
        <v>120</v>
      </c>
      <c r="C124" s="46" t="n">
        <v>10928</v>
      </c>
      <c r="D124" s="80" t="inlineStr">
        <is>
          <t>동남</t>
        </is>
      </c>
      <c r="E124" s="81" t="inlineStr">
        <is>
          <t>대덕</t>
        </is>
      </c>
      <c r="F124" s="49" t="inlineStr">
        <is>
          <t>운영</t>
        </is>
      </c>
      <c r="G124" s="49" t="inlineStr">
        <is>
          <t>대전</t>
        </is>
      </c>
      <c r="H124" s="50" t="inlineStr">
        <is>
          <t>대전 대덕구 상서동 442-2 외 1필지</t>
        </is>
      </c>
      <c r="K124" s="403">
        <f>$K$192*L124</f>
        <v/>
      </c>
      <c r="L124" s="25" t="n">
        <v>0.00256636335873375</v>
      </c>
      <c r="M124" s="404">
        <f>$M$192*N124</f>
        <v/>
      </c>
      <c r="N124" s="27" t="n">
        <v>0.003412978778829508</v>
      </c>
      <c r="O124" s="404">
        <f>$O$192*P124</f>
        <v/>
      </c>
      <c r="P124" s="28" t="n">
        <v>0.002311548014943441</v>
      </c>
      <c r="Q124" s="405">
        <f>M124+O124</f>
        <v/>
      </c>
      <c r="R124" s="406">
        <f>K124+Q124</f>
        <v/>
      </c>
      <c r="T124" s="403" t="n">
        <v>2259000000</v>
      </c>
      <c r="U124" s="404" t="n">
        <v>155000000</v>
      </c>
      <c r="V124" s="404" t="n">
        <v>89000000</v>
      </c>
      <c r="W124" s="405">
        <f>SUM(U124:V124)</f>
        <v/>
      </c>
      <c r="X124" s="406">
        <f>SUM(T124,W124)</f>
        <v/>
      </c>
    </row>
    <row r="125" ht="11.25" customHeight="1" s="308">
      <c r="B125" s="45" t="n">
        <v>121</v>
      </c>
      <c r="C125" s="46" t="n">
        <v>25584</v>
      </c>
      <c r="D125" s="80" t="inlineStr">
        <is>
          <t>공단(대전대덕)</t>
        </is>
      </c>
      <c r="E125" s="81" t="inlineStr">
        <is>
          <t>4공단</t>
        </is>
      </c>
      <c r="F125" s="49" t="inlineStr">
        <is>
          <t>운영</t>
        </is>
      </c>
      <c r="G125" s="49" t="inlineStr">
        <is>
          <t>대전</t>
        </is>
      </c>
      <c r="H125" s="50" t="inlineStr">
        <is>
          <t>대전 대덕구 신일동 1684</t>
        </is>
      </c>
      <c r="K125" s="403">
        <f>$K$192*L125</f>
        <v/>
      </c>
      <c r="L125" s="25" t="n">
        <v>0.001692920803163043</v>
      </c>
      <c r="M125" s="404">
        <f>$M$192*N125</f>
        <v/>
      </c>
      <c r="N125" s="27" t="n">
        <v>0.003495125479121021</v>
      </c>
      <c r="O125" s="404">
        <f>$O$192*P125</f>
        <v/>
      </c>
      <c r="P125" s="28" t="n">
        <v>0.003079829830711159</v>
      </c>
      <c r="Q125" s="405">
        <f>M125+O125</f>
        <v/>
      </c>
      <c r="R125" s="406">
        <f>K125+Q125</f>
        <v/>
      </c>
      <c r="T125" s="403" t="n">
        <v>1486000000</v>
      </c>
      <c r="U125" s="404" t="n">
        <v>159000000</v>
      </c>
      <c r="V125" s="404" t="n">
        <v>118000000</v>
      </c>
      <c r="W125" s="405">
        <f>SUM(U125:V125)</f>
        <v/>
      </c>
      <c r="X125" s="406">
        <f>SUM(T125,W125)</f>
        <v/>
      </c>
    </row>
    <row r="126" ht="11.25" customHeight="1" s="308">
      <c r="B126" s="45" t="n">
        <v>122</v>
      </c>
      <c r="C126" s="46" t="n">
        <v>19189</v>
      </c>
      <c r="D126" s="80" t="inlineStr">
        <is>
          <t>럭키(대전대덕)</t>
        </is>
      </c>
      <c r="E126" s="81" t="inlineStr">
        <is>
          <t>럭키셀프</t>
        </is>
      </c>
      <c r="F126" s="49" t="inlineStr">
        <is>
          <t>운영</t>
        </is>
      </c>
      <c r="G126" s="49" t="inlineStr">
        <is>
          <t>대전</t>
        </is>
      </c>
      <c r="H126" s="50" t="inlineStr">
        <is>
          <t>대전 대덕구 오정동 60-17 외 2필지</t>
        </is>
      </c>
      <c r="K126" s="403">
        <f>$K$192*L126</f>
        <v/>
      </c>
      <c r="L126" s="25" t="n">
        <v>0.00203140835148993</v>
      </c>
      <c r="M126" s="404">
        <f>$M$192*N126</f>
        <v/>
      </c>
      <c r="N126" s="27" t="n">
        <v>0.002305900665507345</v>
      </c>
      <c r="O126" s="404">
        <f>$O$192*P126</f>
        <v/>
      </c>
      <c r="P126" s="28" t="n">
        <v>0.001481629749456611</v>
      </c>
      <c r="Q126" s="405">
        <f>M126+O126</f>
        <v/>
      </c>
      <c r="R126" s="406">
        <f>K126+Q126</f>
        <v/>
      </c>
      <c r="T126" s="403" t="n">
        <v>1783000000</v>
      </c>
      <c r="U126" s="404" t="n">
        <v>105000000</v>
      </c>
      <c r="V126" s="404" t="n">
        <v>57000000</v>
      </c>
      <c r="W126" s="405">
        <f>SUM(U126:V126)</f>
        <v/>
      </c>
      <c r="X126" s="406">
        <f>SUM(T126,W126)</f>
        <v/>
      </c>
    </row>
    <row r="127" ht="11.25" customHeight="1" s="308">
      <c r="B127" s="45">
        <f>B126+1</f>
        <v/>
      </c>
      <c r="C127" s="46" t="n">
        <v>10930</v>
      </c>
      <c r="D127" s="80" t="inlineStr">
        <is>
          <t>동원(대전동삼)</t>
        </is>
      </c>
      <c r="E127" s="81" t="inlineStr">
        <is>
          <t>동원</t>
        </is>
      </c>
      <c r="F127" s="49" t="inlineStr">
        <is>
          <t>운영</t>
        </is>
      </c>
      <c r="G127" s="49" t="inlineStr">
        <is>
          <t>대전</t>
        </is>
      </c>
      <c r="H127" s="50" t="inlineStr">
        <is>
          <t>대전 동구 삼정동 95 외 1필지</t>
        </is>
      </c>
      <c r="K127" s="403">
        <f>$K$192*L127</f>
        <v/>
      </c>
      <c r="L127" s="25" t="n">
        <v>0.0007442978376824108</v>
      </c>
      <c r="M127" s="404">
        <f>$M$192*N127</f>
        <v/>
      </c>
      <c r="N127" s="27" t="n">
        <v>0.002149858643435655</v>
      </c>
      <c r="O127" s="404">
        <f>$O$192*P127</f>
        <v/>
      </c>
      <c r="P127" s="28" t="n">
        <v>0.001726590481661367</v>
      </c>
      <c r="Q127" s="405">
        <f>M127+O127</f>
        <v/>
      </c>
      <c r="R127" s="406">
        <f>K127+Q127</f>
        <v/>
      </c>
      <c r="T127" s="403" t="n">
        <v>672000000</v>
      </c>
      <c r="U127" s="404" t="n">
        <v>98000000</v>
      </c>
      <c r="V127" s="404" t="n">
        <v>66000000</v>
      </c>
      <c r="W127" s="405">
        <f>SUM(U127:V127)</f>
        <v/>
      </c>
      <c r="X127" s="406">
        <f>SUM(T127,W127)</f>
        <v/>
      </c>
    </row>
    <row r="128" ht="11.25" customHeight="1" s="308">
      <c r="B128" s="45">
        <f>B127+1</f>
        <v/>
      </c>
      <c r="C128" s="46" t="n">
        <v>17275</v>
      </c>
      <c r="D128" s="80" t="inlineStr">
        <is>
          <t>셀프스토리(SK푸른)</t>
        </is>
      </c>
      <c r="E128" s="81" t="inlineStr">
        <is>
          <t>홍도셀프</t>
        </is>
      </c>
      <c r="F128" s="49" t="inlineStr">
        <is>
          <t>운영</t>
        </is>
      </c>
      <c r="G128" s="49" t="inlineStr">
        <is>
          <t>대전</t>
        </is>
      </c>
      <c r="H128" s="50" t="inlineStr">
        <is>
          <t>대전 동구 홍도로 11-19 외 7필지</t>
        </is>
      </c>
      <c r="K128" s="403">
        <f>$K$192*L128</f>
        <v/>
      </c>
      <c r="L128" s="25" t="n">
        <v>0.005002142713795204</v>
      </c>
      <c r="M128" s="404">
        <f>$M$192*N128</f>
        <v/>
      </c>
      <c r="N128" s="27" t="n">
        <v>0.006372808934555791</v>
      </c>
      <c r="O128" s="404">
        <f>$O$192*P128</f>
        <v/>
      </c>
      <c r="P128" s="28" t="n">
        <v>0.000482562226290956</v>
      </c>
      <c r="Q128" s="405">
        <f>M128+O128</f>
        <v/>
      </c>
      <c r="R128" s="406">
        <f>K128+Q128</f>
        <v/>
      </c>
      <c r="T128" s="403" t="n">
        <v>4390000000</v>
      </c>
      <c r="U128" s="404" t="n">
        <v>290000000</v>
      </c>
      <c r="V128" s="404" t="n">
        <v>19000000</v>
      </c>
      <c r="W128" s="405">
        <f>SUM(U128:V128)</f>
        <v/>
      </c>
      <c r="X128" s="406">
        <f>SUM(T128,W128)</f>
        <v/>
      </c>
    </row>
    <row r="129" ht="11.25" customHeight="1" s="308">
      <c r="B129" s="45">
        <f>B128+1</f>
        <v/>
      </c>
      <c r="C129" s="46" t="n">
        <v>16994</v>
      </c>
      <c r="D129" s="80" t="inlineStr">
        <is>
          <t>SK대전청사</t>
        </is>
      </c>
      <c r="E129" s="81" t="inlineStr">
        <is>
          <t>대전청사셀프</t>
        </is>
      </c>
      <c r="F129" s="49" t="inlineStr">
        <is>
          <t>운영</t>
        </is>
      </c>
      <c r="G129" s="49" t="inlineStr">
        <is>
          <t>대전</t>
        </is>
      </c>
      <c r="H129" s="50" t="inlineStr">
        <is>
          <t>대전 서구 둔산동 1161</t>
        </is>
      </c>
      <c r="K129" s="403">
        <f>$K$192*L129</f>
        <v/>
      </c>
      <c r="L129" s="25" t="n">
        <v>0.01015428791078453</v>
      </c>
      <c r="M129" s="404">
        <f>$M$192*N129</f>
        <v/>
      </c>
      <c r="N129" s="27" t="n">
        <v>0.01893946071685064</v>
      </c>
      <c r="O129" s="404">
        <f>$O$192*P129</f>
        <v/>
      </c>
      <c r="P129" s="28" t="n">
        <v>0.002546545470926151</v>
      </c>
      <c r="Q129" s="405">
        <f>M129+O129</f>
        <v/>
      </c>
      <c r="R129" s="406">
        <f>K129+Q129</f>
        <v/>
      </c>
      <c r="T129" s="403" t="n">
        <v>8911000000</v>
      </c>
      <c r="U129" s="404" t="n">
        <v>861000000</v>
      </c>
      <c r="V129" s="404" t="n">
        <v>98000000</v>
      </c>
      <c r="W129" s="405">
        <f>SUM(U129:V129)</f>
        <v/>
      </c>
      <c r="X129" s="406">
        <f>SUM(T129,W129)</f>
        <v/>
      </c>
    </row>
    <row r="130" ht="11.25" customHeight="1" s="308">
      <c r="B130" s="45">
        <f>B129+1</f>
        <v/>
      </c>
      <c r="C130" s="46" t="n">
        <v>26164</v>
      </c>
      <c r="D130" s="80" t="inlineStr">
        <is>
          <t>노은</t>
        </is>
      </c>
      <c r="E130" s="81" t="inlineStr">
        <is>
          <t>노은</t>
        </is>
      </c>
      <c r="F130" s="49" t="inlineStr">
        <is>
          <t>운영</t>
        </is>
      </c>
      <c r="G130" s="49" t="inlineStr">
        <is>
          <t>대전</t>
        </is>
      </c>
      <c r="H130" s="50" t="inlineStr">
        <is>
          <t>대전 유성구 노은동 534-11</t>
        </is>
      </c>
      <c r="K130" s="403">
        <f>$K$192*L130</f>
        <v/>
      </c>
      <c r="L130" s="25" t="n">
        <v>0.003483303229242929</v>
      </c>
      <c r="M130" s="404">
        <f>$M$192*N130</f>
        <v/>
      </c>
      <c r="N130" s="27" t="n">
        <v>0.004283596145111358</v>
      </c>
      <c r="O130" s="404">
        <f>$O$192*P130</f>
        <v/>
      </c>
      <c r="P130" s="28" t="n">
        <v>0.002574669082443835</v>
      </c>
      <c r="Q130" s="405">
        <f>M130+O130</f>
        <v/>
      </c>
      <c r="R130" s="406">
        <f>K130+Q130</f>
        <v/>
      </c>
      <c r="T130" s="403" t="n">
        <v>3057000000</v>
      </c>
      <c r="U130" s="404" t="n">
        <v>195000000</v>
      </c>
      <c r="V130" s="404" t="n">
        <v>99000000</v>
      </c>
      <c r="W130" s="405">
        <f>SUM(U130:V130)</f>
        <v/>
      </c>
      <c r="X130" s="406">
        <f>SUM(T130,W130)</f>
        <v/>
      </c>
    </row>
    <row r="131" ht="11.25" customHeight="1" s="308">
      <c r="B131" s="45">
        <f>B130+1</f>
        <v/>
      </c>
      <c r="C131" s="46" t="n">
        <v>10922</v>
      </c>
      <c r="D131" s="80" t="inlineStr">
        <is>
          <t>대전첨단</t>
        </is>
      </c>
      <c r="E131" s="81" t="inlineStr">
        <is>
          <t>첨단</t>
        </is>
      </c>
      <c r="F131" s="49" t="inlineStr">
        <is>
          <t>운영</t>
        </is>
      </c>
      <c r="G131" s="49" t="inlineStr">
        <is>
          <t>대전</t>
        </is>
      </c>
      <c r="H131" s="50" t="inlineStr">
        <is>
          <t>대전 유성구 신성동 160-2 외 2필지</t>
        </is>
      </c>
      <c r="K131" s="403">
        <f>$K$192*L131</f>
        <v/>
      </c>
      <c r="L131" s="25" t="n">
        <v>0.004359131989979325</v>
      </c>
      <c r="M131" s="404">
        <f>$M$192*N131</f>
        <v/>
      </c>
      <c r="N131" s="27" t="n">
        <v>0.01045936216846402</v>
      </c>
      <c r="O131" s="404">
        <f>$O$192*P131</f>
        <v/>
      </c>
      <c r="P131" s="28" t="n">
        <v>0.005169242073522167</v>
      </c>
      <c r="Q131" s="405">
        <f>M131+O131</f>
        <v/>
      </c>
      <c r="R131" s="406">
        <f>K131+Q131</f>
        <v/>
      </c>
      <c r="T131" s="403" t="n">
        <v>3825000000</v>
      </c>
      <c r="U131" s="404" t="n">
        <v>475000000</v>
      </c>
      <c r="V131" s="404" t="n">
        <v>198000000</v>
      </c>
      <c r="W131" s="405">
        <f>SUM(U131:V131)</f>
        <v/>
      </c>
      <c r="X131" s="406">
        <f>SUM(T131,W131)</f>
        <v/>
      </c>
    </row>
    <row r="132" ht="11.25" customHeight="1" s="308">
      <c r="B132" s="45">
        <f>B131+1</f>
        <v/>
      </c>
      <c r="C132" s="46" t="n">
        <v>16826</v>
      </c>
      <c r="D132" s="80" t="inlineStr">
        <is>
          <t>스마트</t>
        </is>
      </c>
      <c r="E132" s="81" t="inlineStr">
        <is>
          <t>스마트셀프</t>
        </is>
      </c>
      <c r="F132" s="49" t="inlineStr">
        <is>
          <t>운영</t>
        </is>
      </c>
      <c r="G132" s="49" t="inlineStr">
        <is>
          <t>대전</t>
        </is>
      </c>
      <c r="H132" s="50" t="inlineStr">
        <is>
          <t>대전 유성구 원촌동 50</t>
        </is>
      </c>
      <c r="K132" s="403">
        <f>$K$192*L132</f>
        <v/>
      </c>
      <c r="L132" s="25" t="n">
        <v>0.001044769037636171</v>
      </c>
      <c r="M132" s="404">
        <f>$M$192*N132</f>
        <v/>
      </c>
      <c r="N132" s="27" t="n">
        <v>0.002199299997999694</v>
      </c>
      <c r="O132" s="404">
        <f>$O$192*P132</f>
        <v/>
      </c>
      <c r="P132" s="28" t="n">
        <v>0.001941276440436861</v>
      </c>
      <c r="Q132" s="405">
        <f>M132+O132</f>
        <v/>
      </c>
      <c r="R132" s="406">
        <f>K132+Q132</f>
        <v/>
      </c>
      <c r="T132" s="403" t="n">
        <v>917000000</v>
      </c>
      <c r="U132" s="404" t="n">
        <v>100000000</v>
      </c>
      <c r="V132" s="404" t="n">
        <v>74000000</v>
      </c>
      <c r="W132" s="405">
        <f>SUM(U132:V132)</f>
        <v/>
      </c>
      <c r="X132" s="406">
        <f>SUM(T132,W132)</f>
        <v/>
      </c>
    </row>
    <row r="133" ht="11.25" customHeight="1" s="308">
      <c r="B133" s="45">
        <f>B132+1</f>
        <v/>
      </c>
      <c r="C133" s="46" t="n">
        <v>32569</v>
      </c>
      <c r="D133" s="80" t="inlineStr">
        <is>
          <t>SK세종</t>
        </is>
      </c>
      <c r="E133" s="81" t="inlineStr">
        <is>
          <t>세종관문셀프</t>
        </is>
      </c>
      <c r="F133" s="49" t="inlineStr">
        <is>
          <t>운영</t>
        </is>
      </c>
      <c r="G133" s="49" t="inlineStr">
        <is>
          <t>대전</t>
        </is>
      </c>
      <c r="H133" s="50" t="inlineStr">
        <is>
          <t>대전 유성구 하기동 511-1</t>
        </is>
      </c>
      <c r="K133" s="403">
        <f>$K$192*L133</f>
        <v/>
      </c>
      <c r="L133" s="25" t="n">
        <v>0.005128133673425025</v>
      </c>
      <c r="M133" s="404">
        <f>$M$192*N133</f>
        <v/>
      </c>
      <c r="N133" s="27" t="n">
        <v>0.009551158949034074</v>
      </c>
      <c r="O133" s="404">
        <f>$O$192*P133</f>
        <v/>
      </c>
      <c r="P133" s="28" t="n">
        <v>0.01753305648222208</v>
      </c>
      <c r="Q133" s="405">
        <f>M133+O133</f>
        <v/>
      </c>
      <c r="R133" s="406">
        <f>K133+Q133</f>
        <v/>
      </c>
      <c r="T133" s="403" t="n">
        <v>4500000000</v>
      </c>
      <c r="U133" s="404" t="n">
        <v>434000000</v>
      </c>
      <c r="V133" s="404" t="n">
        <v>673000000</v>
      </c>
      <c r="W133" s="405">
        <f>SUM(U133:V133)</f>
        <v/>
      </c>
      <c r="X133" s="406">
        <f>SUM(T133,W133)</f>
        <v/>
      </c>
    </row>
    <row r="134" ht="11.25" customHeight="1" s="308">
      <c r="B134" s="45">
        <f>B133+1</f>
        <v/>
      </c>
      <c r="C134" s="46" t="n">
        <v>10905</v>
      </c>
      <c r="D134" s="80" t="inlineStr">
        <is>
          <t>대전</t>
        </is>
      </c>
      <c r="E134" s="81" t="inlineStr">
        <is>
          <t>중앙로셀프</t>
        </is>
      </c>
      <c r="F134" s="49" t="inlineStr">
        <is>
          <t>운영</t>
        </is>
      </c>
      <c r="G134" s="49" t="inlineStr">
        <is>
          <t>대전</t>
        </is>
      </c>
      <c r="H134" s="50" t="inlineStr">
        <is>
          <t>대전 중구 대흥동 522-1</t>
        </is>
      </c>
      <c r="K134" s="403">
        <f>$K$192*L134</f>
        <v/>
      </c>
      <c r="L134" s="25" t="n">
        <v>0.006425317207960183</v>
      </c>
      <c r="M134" s="404">
        <f>$M$192*N134</f>
        <v/>
      </c>
      <c r="N134" s="27" t="n">
        <v>0.009925049752917806</v>
      </c>
      <c r="O134" s="404">
        <f>$O$192*P134</f>
        <v/>
      </c>
      <c r="P134" s="28" t="n">
        <v>0.02676699824100464</v>
      </c>
      <c r="Q134" s="405">
        <f>M134+O134</f>
        <v/>
      </c>
      <c r="R134" s="406">
        <f>K134+Q134</f>
        <v/>
      </c>
      <c r="T134" s="403" t="n">
        <v>5639000000</v>
      </c>
      <c r="U134" s="404" t="n">
        <v>451000000</v>
      </c>
      <c r="V134" s="404" t="n">
        <v>1027000000</v>
      </c>
      <c r="W134" s="405">
        <f>SUM(U134:V134)</f>
        <v/>
      </c>
      <c r="X134" s="406">
        <f>SUM(T134,W134)</f>
        <v/>
      </c>
    </row>
    <row r="135" ht="11.25" customHeight="1" s="308">
      <c r="B135" s="45">
        <f>B134+1</f>
        <v/>
      </c>
      <c r="C135" s="46" t="n">
        <v>18344</v>
      </c>
      <c r="D135" s="80" t="inlineStr">
        <is>
          <t>중촌</t>
        </is>
      </c>
      <c r="E135" s="81" t="inlineStr">
        <is>
          <t>중촌셀프</t>
        </is>
      </c>
      <c r="F135" s="49" t="inlineStr">
        <is>
          <t>운영</t>
        </is>
      </c>
      <c r="G135" s="49" t="inlineStr">
        <is>
          <t>대전</t>
        </is>
      </c>
      <c r="H135" s="50" t="inlineStr">
        <is>
          <t>대전 중구 선화동 155-8</t>
        </is>
      </c>
      <c r="K135" s="403">
        <f>$K$192*L135</f>
        <v/>
      </c>
      <c r="L135" s="25" t="n">
        <v>0.001770322504200406</v>
      </c>
      <c r="M135" s="404">
        <f>$M$192*N135</f>
        <v/>
      </c>
      <c r="N135" s="27" t="n">
        <v>0.003664140890605226</v>
      </c>
      <c r="O135" s="404">
        <f>$O$192*P135</f>
        <v/>
      </c>
      <c r="P135" s="28" t="n">
        <v>0.0017799619408781</v>
      </c>
      <c r="Q135" s="405">
        <f>M135+O135</f>
        <v/>
      </c>
      <c r="R135" s="406">
        <f>K135+Q135</f>
        <v/>
      </c>
      <c r="T135" s="403" t="n">
        <v>1554000000</v>
      </c>
      <c r="U135" s="404" t="n">
        <v>166000000</v>
      </c>
      <c r="V135" s="404" t="n">
        <v>68000000</v>
      </c>
      <c r="W135" s="405">
        <f>SUM(U135:V135)</f>
        <v/>
      </c>
      <c r="X135" s="406">
        <f>SUM(T135,W135)</f>
        <v/>
      </c>
    </row>
    <row r="136" ht="11.25" customHeight="1" s="308">
      <c r="B136" s="45">
        <f>B135+1</f>
        <v/>
      </c>
      <c r="C136" s="46" t="n">
        <v>19030</v>
      </c>
      <c r="D136" s="80" t="inlineStr">
        <is>
          <t>구봉산(장미)</t>
        </is>
      </c>
      <c r="E136" s="81" t="inlineStr">
        <is>
          <t>구봉산셀프</t>
        </is>
      </c>
      <c r="F136" s="49" t="inlineStr">
        <is>
          <t>운영</t>
        </is>
      </c>
      <c r="G136" s="49" t="inlineStr">
        <is>
          <t>전남</t>
        </is>
      </c>
      <c r="H136" s="50" t="inlineStr">
        <is>
          <t>전남 여수시 여서동 497-1 외 8필지</t>
        </is>
      </c>
      <c r="K136" s="403">
        <f>$K$192*L136</f>
        <v/>
      </c>
      <c r="L136" s="25" t="n">
        <v>0.001536111903840459</v>
      </c>
      <c r="M136" s="404">
        <f>$M$192*N136</f>
        <v/>
      </c>
      <c r="N136" s="27" t="n">
        <v>0.002286723733795434</v>
      </c>
      <c r="O136" s="404">
        <f>$O$192*P136</f>
        <v/>
      </c>
      <c r="P136" s="28" t="n">
        <v>0.00142911875500451</v>
      </c>
      <c r="Q136" s="405">
        <f>M136+O136</f>
        <v/>
      </c>
      <c r="R136" s="406">
        <f>K136+Q136</f>
        <v/>
      </c>
      <c r="T136" s="403" t="n">
        <v>1348000000</v>
      </c>
      <c r="U136" s="404" t="n">
        <v>104000000</v>
      </c>
      <c r="V136" s="404" t="n">
        <v>55000000</v>
      </c>
      <c r="W136" s="405">
        <f>SUM(U136:V136)</f>
        <v/>
      </c>
      <c r="X136" s="406">
        <f>SUM(T136,W136)</f>
        <v/>
      </c>
    </row>
    <row r="137" ht="11.25" customHeight="1" s="308">
      <c r="A137" s="423" t="n"/>
      <c r="B137" s="45">
        <f>B136+1</f>
        <v/>
      </c>
      <c r="C137" s="46" t="n">
        <v>22956</v>
      </c>
      <c r="D137" s="80" t="inlineStr">
        <is>
          <t>산북</t>
        </is>
      </c>
      <c r="E137" s="81" t="inlineStr">
        <is>
          <t>산북</t>
        </is>
      </c>
      <c r="F137" s="49" t="inlineStr">
        <is>
          <t>운영</t>
        </is>
      </c>
      <c r="G137" s="49" t="inlineStr">
        <is>
          <t>전북</t>
        </is>
      </c>
      <c r="H137" s="50" t="inlineStr">
        <is>
          <t>전북 군산시 산북동 1055, -2, 1092-2</t>
        </is>
      </c>
      <c r="K137" s="403">
        <f>$K$192*L137</f>
        <v/>
      </c>
      <c r="L137" s="25" t="n">
        <v>0.001226514998492821</v>
      </c>
      <c r="M137" s="404">
        <f>$M$192*N137</f>
        <v/>
      </c>
      <c r="N137" s="27" t="n">
        <v>0.002973887210123326</v>
      </c>
      <c r="O137" s="404">
        <f>$O$192*P137</f>
        <v/>
      </c>
      <c r="P137" s="28" t="n">
        <v>0.003214469922566352</v>
      </c>
      <c r="Q137" s="405">
        <f>M137+O137</f>
        <v/>
      </c>
      <c r="R137" s="406">
        <f>K137+Q137</f>
        <v/>
      </c>
      <c r="T137" s="403" t="n">
        <v>1076000000</v>
      </c>
      <c r="U137" s="404" t="n">
        <v>135000000</v>
      </c>
      <c r="V137" s="404" t="n">
        <v>123000000</v>
      </c>
      <c r="W137" s="405">
        <f>SUM(U137:V137)</f>
        <v/>
      </c>
      <c r="X137" s="406">
        <f>SUM(T137,W137)</f>
        <v/>
      </c>
    </row>
    <row r="138" ht="11.25" customFormat="1" customHeight="1" s="57">
      <c r="B138" s="51">
        <f>B137+1</f>
        <v/>
      </c>
      <c r="C138" s="52" t="n">
        <v>17199</v>
      </c>
      <c r="D138" s="53" t="inlineStr">
        <is>
          <t>무궁화(전북익산)</t>
        </is>
      </c>
      <c r="E138" s="54" t="inlineStr">
        <is>
          <t>무궁화셀프</t>
        </is>
      </c>
      <c r="F138" s="55" t="inlineStr">
        <is>
          <t>운영</t>
        </is>
      </c>
      <c r="G138" s="55" t="inlineStr">
        <is>
          <t>전북</t>
        </is>
      </c>
      <c r="H138" s="56" t="inlineStr">
        <is>
          <t>전북 익산시 모현 1가 292</t>
        </is>
      </c>
      <c r="K138" s="411">
        <f>$K$192*L138</f>
        <v/>
      </c>
      <c r="L138" s="59" t="n">
        <v>0.002515820076662878</v>
      </c>
      <c r="M138" s="412">
        <f>$M$192*N138</f>
        <v/>
      </c>
      <c r="N138" s="61" t="n">
        <v>0.001147725109742531</v>
      </c>
      <c r="O138" s="412">
        <f>$O$192*P138</f>
        <v/>
      </c>
      <c r="P138" s="62" t="n">
        <v>0.003242548246464846</v>
      </c>
      <c r="Q138" s="413">
        <f>M138+O138</f>
        <v/>
      </c>
      <c r="R138" s="414">
        <f>K138+Q138</f>
        <v/>
      </c>
      <c r="T138" s="411" t="n">
        <v>2208000000</v>
      </c>
      <c r="U138" s="412" t="n">
        <v>52000000</v>
      </c>
      <c r="V138" s="412" t="n">
        <v>124000000</v>
      </c>
      <c r="W138" s="413">
        <f>SUM(U138:V138)</f>
        <v/>
      </c>
      <c r="X138" s="414">
        <f>SUM(T138,W138)</f>
        <v/>
      </c>
    </row>
    <row r="139" ht="11.25" customHeight="1" s="308">
      <c r="B139" s="45">
        <f>B138+1</f>
        <v/>
      </c>
      <c r="C139" s="46" t="n">
        <v>12999</v>
      </c>
      <c r="D139" s="80" t="inlineStr">
        <is>
          <t>이리</t>
        </is>
      </c>
      <c r="E139" s="81" t="inlineStr">
        <is>
          <t>이리</t>
        </is>
      </c>
      <c r="F139" s="49" t="inlineStr">
        <is>
          <t>운영</t>
        </is>
      </c>
      <c r="G139" s="49" t="inlineStr">
        <is>
          <t>전북</t>
        </is>
      </c>
      <c r="H139" s="50" t="inlineStr">
        <is>
          <t>전북 익산시 팔봉동 848-1 외 1필지</t>
        </is>
      </c>
      <c r="K139" s="403">
        <f>$K$192*L139</f>
        <v/>
      </c>
      <c r="L139" s="25" t="n">
        <v>0.001264096987442277</v>
      </c>
      <c r="M139" s="404">
        <f>$M$192*N139</f>
        <v/>
      </c>
      <c r="N139" s="27" t="n">
        <v>0.00569554738010752</v>
      </c>
      <c r="O139" s="404">
        <f>$O$192*P139</f>
        <v/>
      </c>
      <c r="P139" s="28" t="n">
        <v>0.001858671823032262</v>
      </c>
      <c r="Q139" s="405">
        <f>M139+O139</f>
        <v/>
      </c>
      <c r="R139" s="406">
        <f>K139+Q139</f>
        <v/>
      </c>
      <c r="T139" s="403" t="n">
        <v>1109000000</v>
      </c>
      <c r="U139" s="404" t="n">
        <v>259000000</v>
      </c>
      <c r="V139" s="404" t="n">
        <v>71000000</v>
      </c>
      <c r="W139" s="405">
        <f>SUM(U139:V139)</f>
        <v/>
      </c>
      <c r="X139" s="406">
        <f>SUM(T139,W139)</f>
        <v/>
      </c>
    </row>
    <row r="140" ht="11.25" customHeight="1" s="308">
      <c r="B140" s="45">
        <f>B139+1</f>
        <v/>
      </c>
      <c r="C140" s="46" t="n">
        <v>10873</v>
      </c>
      <c r="D140" s="80" t="inlineStr">
        <is>
          <t>하남제일</t>
        </is>
      </c>
      <c r="E140" s="81" t="inlineStr">
        <is>
          <t>하남제일</t>
        </is>
      </c>
      <c r="F140" s="49" t="inlineStr">
        <is>
          <t>운영</t>
        </is>
      </c>
      <c r="G140" s="49" t="inlineStr">
        <is>
          <t>광주</t>
        </is>
      </c>
      <c r="H140" s="50" t="inlineStr">
        <is>
          <t>광주 광산구 도천동 295-19 외 1필지</t>
        </is>
      </c>
      <c r="K140" s="403">
        <f>$K$192*L140</f>
        <v/>
      </c>
      <c r="L140" s="25" t="n">
        <v>0.004371103006967102</v>
      </c>
      <c r="M140" s="404">
        <f>$M$192*N140</f>
        <v/>
      </c>
      <c r="N140" s="27" t="n">
        <v>0.00461834347082425</v>
      </c>
      <c r="O140" s="404">
        <f>$O$192*P140</f>
        <v/>
      </c>
      <c r="P140" s="28" t="n">
        <v>0.002558886347155731</v>
      </c>
      <c r="Q140" s="405">
        <f>M140+O140</f>
        <v/>
      </c>
      <c r="R140" s="406">
        <f>K140+Q140</f>
        <v/>
      </c>
      <c r="T140" s="403" t="n">
        <v>3836000000</v>
      </c>
      <c r="U140" s="404" t="n">
        <v>210000000</v>
      </c>
      <c r="V140" s="404" t="n">
        <v>98000000</v>
      </c>
      <c r="W140" s="405">
        <f>SUM(U140:V140)</f>
        <v/>
      </c>
      <c r="X140" s="406">
        <f>SUM(T140,W140)</f>
        <v/>
      </c>
    </row>
    <row r="141" ht="11.25" customHeight="1" s="308">
      <c r="B141" s="45">
        <f>B140+1</f>
        <v/>
      </c>
      <c r="C141" s="46" t="n">
        <v>34244</v>
      </c>
      <c r="D141" s="80" t="inlineStr">
        <is>
          <t>장덕</t>
        </is>
      </c>
      <c r="E141" s="81" t="inlineStr">
        <is>
          <t>장덕셀프</t>
        </is>
      </c>
      <c r="F141" s="49" t="inlineStr">
        <is>
          <t>운영</t>
        </is>
      </c>
      <c r="G141" s="49" t="inlineStr">
        <is>
          <t>광주</t>
        </is>
      </c>
      <c r="H141" s="50" t="inlineStr">
        <is>
          <t>광주 광산구 장덕동 85-3</t>
        </is>
      </c>
      <c r="K141" s="403">
        <f>$K$192*L141</f>
        <v/>
      </c>
      <c r="L141" s="25" t="n">
        <v>0.001240686123172152</v>
      </c>
      <c r="M141" s="404">
        <f>$M$192*N141</f>
        <v/>
      </c>
      <c r="N141" s="27" t="n">
        <v>0.002404890823421821</v>
      </c>
      <c r="O141" s="404">
        <f>$O$192*P141</f>
        <v/>
      </c>
      <c r="P141" s="28" t="n">
        <v>0.001182482380889682</v>
      </c>
      <c r="Q141" s="405">
        <f>M141+O141</f>
        <v/>
      </c>
      <c r="R141" s="406">
        <f>K141+Q141</f>
        <v/>
      </c>
      <c r="T141" s="403" t="n">
        <v>1089000000</v>
      </c>
      <c r="U141" s="404" t="n">
        <v>109000000</v>
      </c>
      <c r="V141" s="404" t="n">
        <v>45000000</v>
      </c>
      <c r="W141" s="405">
        <f>SUM(U141:V141)</f>
        <v/>
      </c>
      <c r="X141" s="406">
        <f>SUM(T141,W141)</f>
        <v/>
      </c>
    </row>
    <row r="142" ht="11.25" customFormat="1" customHeight="1" s="57">
      <c r="B142" s="51">
        <f>B141+1</f>
        <v/>
      </c>
      <c r="C142" s="52" t="n">
        <v>13393</v>
      </c>
      <c r="D142" s="53" t="inlineStr">
        <is>
          <t>백운(광주남주)</t>
        </is>
      </c>
      <c r="E142" s="54" t="inlineStr">
        <is>
          <t>백운셀프</t>
        </is>
      </c>
      <c r="F142" s="55" t="inlineStr">
        <is>
          <t>운영</t>
        </is>
      </c>
      <c r="G142" s="55" t="inlineStr">
        <is>
          <t>광주</t>
        </is>
      </c>
      <c r="H142" s="56" t="inlineStr">
        <is>
          <t>광주 남구 주월동 398-11</t>
        </is>
      </c>
      <c r="K142" s="411">
        <f>$K$192*L142</f>
        <v/>
      </c>
      <c r="L142" s="59" t="n">
        <v>0.003942791751204352</v>
      </c>
      <c r="M142" s="412">
        <f>$M$192*N142</f>
        <v/>
      </c>
      <c r="N142" s="61" t="n">
        <v>0.005415685353342833</v>
      </c>
      <c r="O142" s="412">
        <f>$O$192*P142</f>
        <v/>
      </c>
      <c r="P142" s="62" t="n">
        <v>0.005828878890850393</v>
      </c>
      <c r="Q142" s="413">
        <f>M142+O142</f>
        <v/>
      </c>
      <c r="R142" s="414">
        <f>K142+Q142</f>
        <v/>
      </c>
      <c r="T142" s="411" t="n">
        <v>3460000000</v>
      </c>
      <c r="U142" s="412" t="n">
        <v>246000000</v>
      </c>
      <c r="V142" s="412" t="n">
        <v>224000000</v>
      </c>
      <c r="W142" s="413">
        <f>SUM(U142:V142)</f>
        <v/>
      </c>
      <c r="X142" s="414">
        <f>SUM(T142,W142)</f>
        <v/>
      </c>
    </row>
    <row r="143" ht="11.25" customHeight="1" s="308">
      <c r="B143" s="45">
        <f>B142+1</f>
        <v/>
      </c>
      <c r="C143" s="46" t="n">
        <v>26248</v>
      </c>
      <c r="D143" s="80" t="inlineStr">
        <is>
          <t>SKOK(광주북동)</t>
        </is>
      </c>
      <c r="E143" s="81" t="inlineStr">
        <is>
          <t>동천마을셀프</t>
        </is>
      </c>
      <c r="F143" s="49" t="inlineStr">
        <is>
          <t>운영</t>
        </is>
      </c>
      <c r="G143" s="49" t="inlineStr">
        <is>
          <t>광주</t>
        </is>
      </c>
      <c r="H143" s="50" t="inlineStr">
        <is>
          <t>광주 북구 동림동 885-12</t>
        </is>
      </c>
      <c r="K143" s="403">
        <f>$K$192*L143</f>
        <v/>
      </c>
      <c r="L143" s="25" t="n">
        <v>0.00243676824536284</v>
      </c>
      <c r="M143" s="404">
        <f>$M$192*N143</f>
        <v/>
      </c>
      <c r="N143" s="27" t="n">
        <v>0.003298243358717463</v>
      </c>
      <c r="O143" s="404">
        <f>$O$192*P143</f>
        <v/>
      </c>
      <c r="P143" s="28" t="n">
        <v>0.002494940228857873</v>
      </c>
      <c r="Q143" s="405">
        <f>M143+O143</f>
        <v/>
      </c>
      <c r="R143" s="406">
        <f>K143+Q143</f>
        <v/>
      </c>
      <c r="T143" s="403" t="n">
        <v>2138000000</v>
      </c>
      <c r="U143" s="404" t="n">
        <v>150000000</v>
      </c>
      <c r="V143" s="404" t="n">
        <v>96000000</v>
      </c>
      <c r="W143" s="405">
        <f>SUM(U143:V143)</f>
        <v/>
      </c>
      <c r="X143" s="406">
        <f>SUM(T143,W143)</f>
        <v/>
      </c>
    </row>
    <row r="144" ht="11.25" customHeight="1" s="308">
      <c r="B144" s="45">
        <f>B143+1</f>
        <v/>
      </c>
      <c r="C144" s="46" t="n">
        <v>10869</v>
      </c>
      <c r="D144" s="80" t="inlineStr">
        <is>
          <t>양산(신)</t>
        </is>
      </c>
      <c r="E144" s="81" t="inlineStr">
        <is>
          <t>양산</t>
        </is>
      </c>
      <c r="F144" s="49" t="inlineStr">
        <is>
          <t>운영</t>
        </is>
      </c>
      <c r="G144" s="49" t="inlineStr">
        <is>
          <t>광주</t>
        </is>
      </c>
      <c r="H144" s="50" t="inlineStr">
        <is>
          <t>광주 북구 양산동 610-17</t>
        </is>
      </c>
      <c r="K144" s="403">
        <f>$K$192*L144</f>
        <v/>
      </c>
      <c r="L144" s="25" t="n">
        <v>0.001994529375445425</v>
      </c>
      <c r="M144" s="404">
        <f>$M$192*N144</f>
        <v/>
      </c>
      <c r="N144" s="27" t="n">
        <v>0.001229269561498184</v>
      </c>
      <c r="O144" s="404">
        <f>$O$192*P144</f>
        <v/>
      </c>
      <c r="P144" s="28" t="n">
        <v>0.005054596465539852</v>
      </c>
      <c r="Q144" s="405">
        <f>M144+O144</f>
        <v/>
      </c>
      <c r="R144" s="406">
        <f>K144+Q144</f>
        <v/>
      </c>
      <c r="T144" s="403" t="n">
        <v>1750000000</v>
      </c>
      <c r="U144" s="404" t="n">
        <v>56000000</v>
      </c>
      <c r="V144" s="404" t="n">
        <v>194000000</v>
      </c>
      <c r="W144" s="405">
        <f>SUM(U144:V144)</f>
        <v/>
      </c>
      <c r="X144" s="406">
        <f>SUM(T144,W144)</f>
        <v/>
      </c>
    </row>
    <row r="145" ht="11.25" customHeight="1" s="308">
      <c r="B145" s="45">
        <f>B144+1</f>
        <v/>
      </c>
      <c r="C145" s="46" t="n">
        <v>34433</v>
      </c>
      <c r="D145" s="80" t="inlineStr">
        <is>
          <t>sk용두셀프</t>
        </is>
      </c>
      <c r="E145" s="81" t="inlineStr">
        <is>
          <t>빛고을로셀프</t>
        </is>
      </c>
      <c r="F145" s="49" t="inlineStr">
        <is>
          <t>운영</t>
        </is>
      </c>
      <c r="G145" s="49" t="inlineStr">
        <is>
          <t>광주</t>
        </is>
      </c>
      <c r="H145" s="50" t="inlineStr">
        <is>
          <t>광주 북구 용두동 1043-1</t>
        </is>
      </c>
      <c r="K145" s="403">
        <f>$K$192*L145</f>
        <v/>
      </c>
      <c r="L145" s="25" t="n">
        <v>0.001444953837919842</v>
      </c>
      <c r="M145" s="404">
        <f>$M$192*N145</f>
        <v/>
      </c>
      <c r="N145" s="27" t="n">
        <v>0.002364169071707001</v>
      </c>
      <c r="O145" s="404">
        <f>$O$192*P145</f>
        <v/>
      </c>
      <c r="P145" s="28" t="n">
        <v>0.001611831654631075</v>
      </c>
      <c r="Q145" s="405">
        <f>M145+O145</f>
        <v/>
      </c>
      <c r="R145" s="406">
        <f>K145+Q145</f>
        <v/>
      </c>
      <c r="T145" s="403" t="n">
        <v>1268000000</v>
      </c>
      <c r="U145" s="404" t="n">
        <v>107000000</v>
      </c>
      <c r="V145" s="404" t="n">
        <v>62000000</v>
      </c>
      <c r="W145" s="405">
        <f>SUM(U145:V145)</f>
        <v/>
      </c>
      <c r="X145" s="406">
        <f>SUM(T145,W145)</f>
        <v/>
      </c>
    </row>
    <row r="146" ht="11.25" customHeight="1" s="308">
      <c r="B146" s="45">
        <f>B145+1</f>
        <v/>
      </c>
      <c r="C146" s="46" t="n">
        <v>31940</v>
      </c>
      <c r="D146" s="80" t="inlineStr">
        <is>
          <t>행복날개</t>
        </is>
      </c>
      <c r="E146" s="81" t="inlineStr">
        <is>
          <t>베스트현대셀프</t>
        </is>
      </c>
      <c r="F146" s="49" t="inlineStr">
        <is>
          <t>운영</t>
        </is>
      </c>
      <c r="G146" s="49" t="inlineStr">
        <is>
          <t>광주</t>
        </is>
      </c>
      <c r="H146" s="50" t="inlineStr">
        <is>
          <t>광주 서구 치평동 203-5 외 2필지</t>
        </is>
      </c>
      <c r="K146" s="403">
        <f>$K$192*L146</f>
        <v/>
      </c>
      <c r="L146" s="25" t="n">
        <v>0.002537656833468272</v>
      </c>
      <c r="M146" s="404">
        <f>$M$192*N146</f>
        <v/>
      </c>
      <c r="N146" s="27" t="n">
        <v>0.003158405263680652</v>
      </c>
      <c r="O146" s="404">
        <f>$O$192*P146</f>
        <v/>
      </c>
      <c r="P146" s="28" t="n">
        <v>0.006121527486063397</v>
      </c>
      <c r="Q146" s="405">
        <f>M146+O146</f>
        <v/>
      </c>
      <c r="R146" s="406">
        <f>K146+Q146</f>
        <v/>
      </c>
      <c r="T146" s="403" t="n">
        <v>2227000000</v>
      </c>
      <c r="U146" s="404" t="n">
        <v>144000000</v>
      </c>
      <c r="V146" s="404" t="n">
        <v>235000000</v>
      </c>
      <c r="W146" s="405">
        <f>SUM(U146:V146)</f>
        <v/>
      </c>
      <c r="X146" s="406">
        <f>SUM(T146,W146)</f>
        <v/>
      </c>
    </row>
    <row r="147" ht="11.25" customHeight="1" s="308">
      <c r="B147" s="45">
        <f>B146+1</f>
        <v/>
      </c>
      <c r="C147" s="46" t="n">
        <v>23462</v>
      </c>
      <c r="D147" s="80" t="inlineStr">
        <is>
          <t>고현</t>
        </is>
      </c>
      <c r="E147" s="81" t="inlineStr">
        <is>
          <t>고현셀프</t>
        </is>
      </c>
      <c r="F147" s="49" t="inlineStr">
        <is>
          <t>운영</t>
        </is>
      </c>
      <c r="G147" s="49" t="inlineStr">
        <is>
          <t>경남</t>
        </is>
      </c>
      <c r="H147" s="50" t="inlineStr">
        <is>
          <t>경남 거제시 신현읍 고현리 963-4</t>
        </is>
      </c>
      <c r="K147" s="403">
        <f>$K$192*L147</f>
        <v/>
      </c>
      <c r="L147" s="25" t="n">
        <v>0.004482842661622885</v>
      </c>
      <c r="M147" s="404">
        <f>$M$192*N147</f>
        <v/>
      </c>
      <c r="N147" s="27" t="n">
        <v>0.004055885782512099</v>
      </c>
      <c r="O147" s="404">
        <f>$O$192*P147</f>
        <v/>
      </c>
      <c r="P147" s="28" t="n">
        <v>0.00678913492436926</v>
      </c>
      <c r="Q147" s="405">
        <f>M147+O147</f>
        <v/>
      </c>
      <c r="R147" s="406">
        <f>K147+Q147</f>
        <v/>
      </c>
      <c r="T147" s="403" t="n">
        <v>3934000000</v>
      </c>
      <c r="U147" s="404" t="n">
        <v>184000000</v>
      </c>
      <c r="V147" s="404" t="n">
        <v>260000000</v>
      </c>
      <c r="W147" s="405">
        <f>SUM(U147:V147)</f>
        <v/>
      </c>
      <c r="X147" s="406">
        <f>SUM(T147,W147)</f>
        <v/>
      </c>
    </row>
    <row r="148" ht="11.25" customHeight="1" s="308">
      <c r="B148" s="45">
        <f>B147+1</f>
        <v/>
      </c>
      <c r="C148" s="46" t="n">
        <v>30823</v>
      </c>
      <c r="D148" s="80" t="inlineStr">
        <is>
          <t>SK도움아주</t>
        </is>
      </c>
      <c r="E148" s="81" t="inlineStr">
        <is>
          <t>조선해양</t>
        </is>
      </c>
      <c r="F148" s="49" t="inlineStr">
        <is>
          <t>운영</t>
        </is>
      </c>
      <c r="G148" s="49" t="inlineStr">
        <is>
          <t>경남</t>
        </is>
      </c>
      <c r="H148" s="50" t="inlineStr">
        <is>
          <t>경남 거제시 아주동 246-7</t>
        </is>
      </c>
      <c r="K148" s="403">
        <f>$K$192*L148</f>
        <v/>
      </c>
      <c r="L148" s="25" t="n">
        <v>0.002498655554314485</v>
      </c>
      <c r="M148" s="404">
        <f>$M$192*N148</f>
        <v/>
      </c>
      <c r="N148" s="27" t="n">
        <v>0.004405398712804224</v>
      </c>
      <c r="O148" s="404">
        <f>$O$192*P148</f>
        <v/>
      </c>
      <c r="P148" s="28" t="n">
        <v>0.002022363922598558</v>
      </c>
      <c r="Q148" s="405">
        <f>M148+O148</f>
        <v/>
      </c>
      <c r="R148" s="406">
        <f>K148+Q148</f>
        <v/>
      </c>
      <c r="T148" s="403" t="n">
        <v>2193000000</v>
      </c>
      <c r="U148" s="404" t="n">
        <v>200000000</v>
      </c>
      <c r="V148" s="404" t="n">
        <v>78000000</v>
      </c>
      <c r="W148" s="405">
        <f>SUM(U148:V148)</f>
        <v/>
      </c>
      <c r="X148" s="406">
        <f>SUM(T148,W148)</f>
        <v/>
      </c>
    </row>
    <row r="149" ht="11.25" customFormat="1" customHeight="1" s="57">
      <c r="B149" s="51">
        <f>B148+1</f>
        <v/>
      </c>
      <c r="C149" s="52" t="n">
        <v>24033</v>
      </c>
      <c r="D149" s="53" t="inlineStr">
        <is>
          <t>무궁화Self</t>
        </is>
      </c>
      <c r="E149" s="54" t="inlineStr">
        <is>
          <t>차사랑셀프</t>
        </is>
      </c>
      <c r="F149" s="55" t="inlineStr">
        <is>
          <t>운영</t>
        </is>
      </c>
      <c r="G149" s="55" t="inlineStr">
        <is>
          <t>경남</t>
        </is>
      </c>
      <c r="H149" s="56" t="inlineStr">
        <is>
          <t>경남 김해시 내동 1144-4</t>
        </is>
      </c>
      <c r="K149" s="411">
        <f>$K$192*L149</f>
        <v/>
      </c>
      <c r="L149" s="59" t="n">
        <v>0.007256960093103809</v>
      </c>
      <c r="M149" s="412">
        <f>$M$192*N149</f>
        <v/>
      </c>
      <c r="N149" s="61" t="n">
        <v>0.005609205206206182</v>
      </c>
      <c r="O149" s="412">
        <f>$O$192*P149</f>
        <v/>
      </c>
      <c r="P149" s="62" t="n">
        <v>0.003755928697615357</v>
      </c>
      <c r="Q149" s="413">
        <f>M149+O149</f>
        <v/>
      </c>
      <c r="R149" s="414">
        <f>K149+Q149</f>
        <v/>
      </c>
      <c r="T149" s="411" t="n">
        <v>6368000000</v>
      </c>
      <c r="U149" s="412" t="n">
        <v>255000000</v>
      </c>
      <c r="V149" s="412" t="n">
        <v>144000000</v>
      </c>
      <c r="W149" s="413">
        <f>SUM(U149:V149)</f>
        <v/>
      </c>
      <c r="X149" s="414">
        <f>SUM(T149,W149)</f>
        <v/>
      </c>
    </row>
    <row r="150" ht="11.25" customFormat="1" customHeight="1" s="37">
      <c r="B150" s="31">
        <f>B149+1</f>
        <v/>
      </c>
      <c r="C150" s="32" t="n">
        <v>30404</v>
      </c>
      <c r="D150" s="66" t="inlineStr">
        <is>
          <t>김해신도시 Self</t>
        </is>
      </c>
      <c r="E150" s="67" t="inlineStr">
        <is>
          <t>김해대로셀프</t>
        </is>
      </c>
      <c r="F150" s="35" t="inlineStr">
        <is>
          <t>운영</t>
        </is>
      </c>
      <c r="G150" s="35" t="inlineStr">
        <is>
          <t>경남</t>
        </is>
      </c>
      <c r="H150" s="36" t="inlineStr">
        <is>
          <t>경남 김해시 삼계동 1492-1</t>
        </is>
      </c>
      <c r="K150" s="407">
        <f>$K$192*L150</f>
        <v/>
      </c>
      <c r="L150" s="39" t="n">
        <v>0.002559509428356572</v>
      </c>
      <c r="M150" s="408">
        <f>$M$192*N150</f>
        <v/>
      </c>
      <c r="N150" s="41" t="n">
        <v>0.002377356020362232</v>
      </c>
      <c r="O150" s="408">
        <f>$O$192*P150</f>
        <v/>
      </c>
      <c r="P150" s="42" t="n">
        <v>0.005326322180686559</v>
      </c>
      <c r="Q150" s="409">
        <f>M150+O150</f>
        <v/>
      </c>
      <c r="R150" s="410">
        <f>K150+Q150</f>
        <v/>
      </c>
      <c r="T150" s="403" t="n">
        <v>2246000000</v>
      </c>
      <c r="U150" s="404" t="n">
        <v>108000000</v>
      </c>
      <c r="V150" s="404" t="n">
        <v>204000000</v>
      </c>
      <c r="W150" s="405">
        <f>SUM(U150:V150)</f>
        <v/>
      </c>
      <c r="X150" s="406">
        <f>SUM(T150,W150)</f>
        <v/>
      </c>
    </row>
    <row r="151" ht="11.25" customHeight="1" s="308">
      <c r="B151" s="45">
        <f>B150+1</f>
        <v/>
      </c>
      <c r="C151" s="46" t="n">
        <v>32504</v>
      </c>
      <c r="D151" s="80" t="inlineStr">
        <is>
          <t>유통단지(부산)</t>
        </is>
      </c>
      <c r="E151" s="81" t="inlineStr">
        <is>
          <t>장유대로셀프</t>
        </is>
      </c>
      <c r="F151" s="49" t="inlineStr">
        <is>
          <t>운영</t>
        </is>
      </c>
      <c r="G151" s="49" t="inlineStr">
        <is>
          <t>경남</t>
        </is>
      </c>
      <c r="H151" s="50" t="inlineStr">
        <is>
          <t>경남 김해시 신문동 524-3</t>
        </is>
      </c>
      <c r="K151" s="403">
        <f>$K$192*L151</f>
        <v/>
      </c>
      <c r="L151" s="25" t="n">
        <v>0.002621004744756316</v>
      </c>
      <c r="M151" s="404">
        <f>$M$192*N151</f>
        <v/>
      </c>
      <c r="N151" s="27" t="n">
        <v>0.003948584212422711</v>
      </c>
      <c r="O151" s="404">
        <f>$O$192*P151</f>
        <v/>
      </c>
      <c r="P151" s="28" t="n">
        <v>0.001427828057857563</v>
      </c>
      <c r="Q151" s="405">
        <f>M151+O151</f>
        <v/>
      </c>
      <c r="R151" s="406">
        <f>K151+Q151</f>
        <v/>
      </c>
      <c r="T151" s="403" t="n">
        <v>2300000000</v>
      </c>
      <c r="U151" s="404" t="n">
        <v>179000000</v>
      </c>
      <c r="V151" s="404" t="n">
        <v>55000000</v>
      </c>
      <c r="W151" s="405">
        <f>SUM(U151:V151)</f>
        <v/>
      </c>
      <c r="X151" s="406">
        <f>SUM(T151,W151)</f>
        <v/>
      </c>
    </row>
    <row r="152" ht="11.25" customHeight="1" s="308">
      <c r="B152" s="45">
        <f>B151+1</f>
        <v/>
      </c>
      <c r="C152" s="46" t="n">
        <v>25266</v>
      </c>
      <c r="D152" s="80" t="inlineStr">
        <is>
          <t>SK밀양</t>
        </is>
      </c>
      <c r="E152" s="81" t="inlineStr">
        <is>
          <t>밀양현대</t>
        </is>
      </c>
      <c r="F152" s="49" t="inlineStr">
        <is>
          <t>운영</t>
        </is>
      </c>
      <c r="G152" s="49" t="inlineStr">
        <is>
          <t>경남</t>
        </is>
      </c>
      <c r="H152" s="50" t="inlineStr">
        <is>
          <t>경남 밀양시 삼문동 358-110</t>
        </is>
      </c>
      <c r="K152" s="403">
        <f>$K$192*L152</f>
        <v/>
      </c>
      <c r="L152" s="25" t="n">
        <v>0.001963452087145091</v>
      </c>
      <c r="M152" s="404">
        <f>$M$192*N152</f>
        <v/>
      </c>
      <c r="N152" s="27" t="n">
        <v>0.003199493144267275</v>
      </c>
      <c r="O152" s="404">
        <f>$O$192*P152</f>
        <v/>
      </c>
      <c r="P152" s="28" t="n">
        <v>0.004223930954336368</v>
      </c>
      <c r="Q152" s="405">
        <f>M152+O152</f>
        <v/>
      </c>
      <c r="R152" s="406">
        <f>K152+Q152</f>
        <v/>
      </c>
      <c r="T152" s="403" t="n">
        <v>1723000000</v>
      </c>
      <c r="U152" s="404" t="n">
        <v>145000000</v>
      </c>
      <c r="V152" s="404" t="n">
        <v>162000000</v>
      </c>
      <c r="W152" s="405">
        <f>SUM(U152:V152)</f>
        <v/>
      </c>
      <c r="X152" s="406">
        <f>SUM(T152,W152)</f>
        <v/>
      </c>
    </row>
    <row r="153" ht="11.25" customHeight="1" s="308">
      <c r="B153" s="45">
        <f>B152+1</f>
        <v/>
      </c>
      <c r="C153" s="46" t="n">
        <v>24052</v>
      </c>
      <c r="D153" s="80" t="inlineStr">
        <is>
          <t>SK삽량</t>
        </is>
      </c>
      <c r="E153" s="81" t="inlineStr">
        <is>
          <t>양산대로</t>
        </is>
      </c>
      <c r="F153" s="49" t="inlineStr">
        <is>
          <t>운영</t>
        </is>
      </c>
      <c r="G153" s="49" t="inlineStr">
        <is>
          <t>경남</t>
        </is>
      </c>
      <c r="H153" s="50" t="inlineStr">
        <is>
          <t>경남 양산시 상북면 소토리 563</t>
        </is>
      </c>
      <c r="K153" s="403">
        <f>$K$192*L153</f>
        <v/>
      </c>
      <c r="L153" s="25" t="n">
        <v>0.002719448328813275</v>
      </c>
      <c r="M153" s="404">
        <f>$M$192*N153</f>
        <v/>
      </c>
      <c r="N153" s="27" t="n">
        <v>0.0024641622124212</v>
      </c>
      <c r="O153" s="404">
        <f>$O$192*P153</f>
        <v/>
      </c>
      <c r="P153" s="28" t="n">
        <v>0.001593376949810694</v>
      </c>
      <c r="Q153" s="405">
        <f>M153+O153</f>
        <v/>
      </c>
      <c r="R153" s="406">
        <f>K153+Q153</f>
        <v/>
      </c>
      <c r="T153" s="403" t="n">
        <v>2386000000</v>
      </c>
      <c r="U153" s="404" t="n">
        <v>112000000</v>
      </c>
      <c r="V153" s="404" t="n">
        <v>61000000</v>
      </c>
      <c r="W153" s="405">
        <f>SUM(U153:V153)</f>
        <v/>
      </c>
      <c r="X153" s="406">
        <f>SUM(T153,W153)</f>
        <v/>
      </c>
    </row>
    <row r="154" ht="11.25" customHeight="1" s="308">
      <c r="B154" s="45">
        <f>B153+1</f>
        <v/>
      </c>
      <c r="C154" s="46" t="n">
        <v>24271</v>
      </c>
      <c r="D154" s="80" t="inlineStr">
        <is>
          <t>SK진주 Self</t>
        </is>
      </c>
      <c r="E154" s="81" t="inlineStr">
        <is>
          <t>진주셀프</t>
        </is>
      </c>
      <c r="F154" s="49" t="inlineStr">
        <is>
          <t>운영</t>
        </is>
      </c>
      <c r="G154" s="49" t="inlineStr">
        <is>
          <t>경남</t>
        </is>
      </c>
      <c r="H154" s="50" t="inlineStr">
        <is>
          <t>경남 진주시 평거동 194-2</t>
        </is>
      </c>
      <c r="K154" s="403">
        <f>$K$192*L154</f>
        <v/>
      </c>
      <c r="L154" s="25" t="n">
        <v>0.004764455654237589</v>
      </c>
      <c r="M154" s="404">
        <f>$M$192*N154</f>
        <v/>
      </c>
      <c r="N154" s="27" t="n">
        <v>0.002789099005079912</v>
      </c>
      <c r="O154" s="404">
        <f>$O$192*P154</f>
        <v/>
      </c>
      <c r="P154" s="28" t="n">
        <v>0.006581513834187581</v>
      </c>
      <c r="Q154" s="405">
        <f>M154+O154</f>
        <v/>
      </c>
      <c r="R154" s="406">
        <f>K154+Q154</f>
        <v/>
      </c>
      <c r="T154" s="403" t="n">
        <v>4181000000</v>
      </c>
      <c r="U154" s="404" t="n">
        <v>127000000</v>
      </c>
      <c r="V154" s="404" t="n">
        <v>252000000</v>
      </c>
      <c r="W154" s="405">
        <f>SUM(U154:V154)</f>
        <v/>
      </c>
      <c r="X154" s="406">
        <f>SUM(T154,W154)</f>
        <v/>
      </c>
    </row>
    <row r="155" ht="11.25" customFormat="1" customHeight="1" s="57">
      <c r="B155" s="51">
        <f>B154+1</f>
        <v/>
      </c>
      <c r="C155" s="52" t="n">
        <v>33106</v>
      </c>
      <c r="D155" s="53" t="inlineStr">
        <is>
          <t>SK행복한</t>
        </is>
      </c>
      <c r="E155" s="54" t="inlineStr">
        <is>
          <t>중리현대셀프</t>
        </is>
      </c>
      <c r="F155" s="55" t="inlineStr">
        <is>
          <t>운영</t>
        </is>
      </c>
      <c r="G155" s="55" t="inlineStr">
        <is>
          <t>경남</t>
        </is>
      </c>
      <c r="H155" s="56" t="inlineStr">
        <is>
          <t>경남 창원시 내서읍 삼계리 1423-60 외 1필지</t>
        </is>
      </c>
      <c r="K155" s="411">
        <f>$K$192*L155</f>
        <v/>
      </c>
      <c r="L155" s="59" t="n">
        <v>0.001975385092733896</v>
      </c>
      <c r="M155" s="412">
        <f>$M$192*N155</f>
        <v/>
      </c>
      <c r="N155" s="61" t="n">
        <v>0.004810610264352984</v>
      </c>
      <c r="O155" s="412">
        <f>$O$192*P155</f>
        <v/>
      </c>
      <c r="P155" s="62" t="n">
        <v>0.003394624071708619</v>
      </c>
      <c r="Q155" s="413">
        <f>M155+O155</f>
        <v/>
      </c>
      <c r="R155" s="414">
        <f>K155+Q155</f>
        <v/>
      </c>
      <c r="T155" s="411" t="n">
        <v>1734000000</v>
      </c>
      <c r="U155" s="412" t="n">
        <v>219000000</v>
      </c>
      <c r="V155" s="412" t="n">
        <v>130000000</v>
      </c>
      <c r="W155" s="413">
        <f>SUM(U155:V155)</f>
        <v/>
      </c>
      <c r="X155" s="414">
        <f>SUM(T155,W155)</f>
        <v/>
      </c>
    </row>
    <row r="156" ht="11.25" customHeight="1" s="308">
      <c r="B156" s="45">
        <f>B155+1</f>
        <v/>
      </c>
      <c r="C156" s="46" t="n">
        <v>12601</v>
      </c>
      <c r="D156" s="80" t="inlineStr">
        <is>
          <t>극동 Self</t>
        </is>
      </c>
      <c r="E156" s="81" t="inlineStr">
        <is>
          <t>극동셀프</t>
        </is>
      </c>
      <c r="F156" s="49" t="inlineStr">
        <is>
          <t>운영</t>
        </is>
      </c>
      <c r="G156" s="49" t="inlineStr">
        <is>
          <t>경남</t>
        </is>
      </c>
      <c r="H156" s="50" t="inlineStr">
        <is>
          <t>경남 창원시 석전동 270-32</t>
        </is>
      </c>
      <c r="K156" s="403">
        <f>$K$192*L156</f>
        <v/>
      </c>
      <c r="L156" s="25" t="n">
        <v>0.002556044847721083</v>
      </c>
      <c r="M156" s="404">
        <f>$M$192*N156</f>
        <v/>
      </c>
      <c r="N156" s="27" t="n">
        <v>0.004936006057119811</v>
      </c>
      <c r="O156" s="404">
        <f>$O$192*P156</f>
        <v/>
      </c>
      <c r="P156" s="28" t="n">
        <v>0.007319679383193205</v>
      </c>
      <c r="Q156" s="405">
        <f>M156+O156</f>
        <v/>
      </c>
      <c r="R156" s="406">
        <f>K156+Q156</f>
        <v/>
      </c>
      <c r="T156" s="403" t="n">
        <v>2243000000</v>
      </c>
      <c r="U156" s="404" t="n">
        <v>224000000</v>
      </c>
      <c r="V156" s="404" t="n">
        <v>281000000</v>
      </c>
      <c r="W156" s="405">
        <f>SUM(U156:V156)</f>
        <v/>
      </c>
      <c r="X156" s="406">
        <f>SUM(T156,W156)</f>
        <v/>
      </c>
    </row>
    <row r="157" ht="11.25" customHeight="1" s="308">
      <c r="B157" s="45">
        <f>B156+1</f>
        <v/>
      </c>
      <c r="C157" s="46" t="n">
        <v>26085</v>
      </c>
      <c r="D157" s="80" t="inlineStr">
        <is>
          <t>녹원</t>
        </is>
      </c>
      <c r="E157" s="81" t="inlineStr">
        <is>
          <t>녹원</t>
        </is>
      </c>
      <c r="F157" s="49" t="inlineStr">
        <is>
          <t>운영</t>
        </is>
      </c>
      <c r="G157" s="49" t="inlineStr">
        <is>
          <t>경남</t>
        </is>
      </c>
      <c r="H157" s="50" t="inlineStr">
        <is>
          <t>경남 창원시 용원동 1237</t>
        </is>
      </c>
      <c r="K157" s="403">
        <f>$K$192*L157</f>
        <v/>
      </c>
      <c r="L157" s="25" t="n">
        <v>0.002206134082098899</v>
      </c>
      <c r="M157" s="404">
        <f>$M$192*N157</f>
        <v/>
      </c>
      <c r="N157" s="27" t="n">
        <v>0.002394236186467379</v>
      </c>
      <c r="O157" s="404">
        <f>$O$192*P157</f>
        <v/>
      </c>
      <c r="P157" s="28" t="n">
        <v>0.005504936550776328</v>
      </c>
      <c r="Q157" s="405">
        <f>M157+O157</f>
        <v/>
      </c>
      <c r="R157" s="406">
        <f>K157+Q157</f>
        <v/>
      </c>
      <c r="T157" s="403" t="n">
        <v>1936000000</v>
      </c>
      <c r="U157" s="404" t="n">
        <v>109000000</v>
      </c>
      <c r="V157" s="404" t="n">
        <v>211000000</v>
      </c>
      <c r="W157" s="405">
        <f>SUM(U157:V157)</f>
        <v/>
      </c>
      <c r="X157" s="406">
        <f>SUM(T157,W157)</f>
        <v/>
      </c>
    </row>
    <row r="158" ht="11.25" customFormat="1" customHeight="1" s="57">
      <c r="B158" s="51">
        <f>B157+1</f>
        <v/>
      </c>
      <c r="C158" s="52" t="n">
        <v>12612</v>
      </c>
      <c r="D158" s="53" t="inlineStr">
        <is>
          <t>해안</t>
        </is>
      </c>
      <c r="E158" s="54" t="inlineStr">
        <is>
          <t>해안셀프</t>
        </is>
      </c>
      <c r="F158" s="55" t="inlineStr">
        <is>
          <t>운영</t>
        </is>
      </c>
      <c r="G158" s="55" t="inlineStr">
        <is>
          <t>경남</t>
        </is>
      </c>
      <c r="H158" s="56" t="inlineStr">
        <is>
          <t>마산합포구 중앙동3가 4-261</t>
        </is>
      </c>
      <c r="K158" s="411">
        <f>$K$192*L158</f>
        <v/>
      </c>
      <c r="L158" s="59" t="n">
        <v>0.001779819414662372</v>
      </c>
      <c r="M158" s="412">
        <f>$M$192*N158</f>
        <v/>
      </c>
      <c r="N158" s="61" t="n">
        <v>0.002324180342495828</v>
      </c>
      <c r="O158" s="412">
        <f>$O$192*P158</f>
        <v/>
      </c>
      <c r="P158" s="62" t="n">
        <v>0.008443061421038478</v>
      </c>
      <c r="Q158" s="413">
        <f>M158+O158</f>
        <v/>
      </c>
      <c r="R158" s="414">
        <f>K158+Q158</f>
        <v/>
      </c>
      <c r="T158" s="411" t="n">
        <v>1562000000</v>
      </c>
      <c r="U158" s="412" t="n">
        <v>106000000</v>
      </c>
      <c r="V158" s="412" t="n">
        <v>324000000</v>
      </c>
      <c r="W158" s="413">
        <f>SUM(U158:V158)</f>
        <v/>
      </c>
      <c r="X158" s="414">
        <f>SUM(T158,W158)</f>
        <v/>
      </c>
    </row>
    <row r="159" ht="11.25" customHeight="1" s="308">
      <c r="B159" s="45">
        <f>B158+1</f>
        <v/>
      </c>
      <c r="C159" s="46" t="n">
        <v>23467</v>
      </c>
      <c r="D159" s="80" t="inlineStr">
        <is>
          <t>터미널</t>
        </is>
      </c>
      <c r="E159" s="81" t="inlineStr">
        <is>
          <t>마산현대</t>
        </is>
      </c>
      <c r="F159" s="49" t="inlineStr">
        <is>
          <t>운영</t>
        </is>
      </c>
      <c r="G159" s="49" t="inlineStr">
        <is>
          <t>경남</t>
        </is>
      </c>
      <c r="H159" s="50" t="inlineStr">
        <is>
          <t>경남 창원시 합성동 132-8 외 1필지</t>
        </is>
      </c>
      <c r="K159" s="403">
        <f>$K$192*L159</f>
        <v/>
      </c>
      <c r="L159" s="25" t="n">
        <v>0.007554661608309541</v>
      </c>
      <c r="M159" s="404">
        <f>$M$192*N159</f>
        <v/>
      </c>
      <c r="N159" s="27" t="n">
        <v>0.002536946146665198</v>
      </c>
      <c r="O159" s="404">
        <f>$O$192*P159</f>
        <v/>
      </c>
      <c r="P159" s="28" t="n">
        <v>0.002463148320185707</v>
      </c>
      <c r="Q159" s="405">
        <f>M159+O159</f>
        <v/>
      </c>
      <c r="R159" s="406">
        <f>K159+Q159</f>
        <v/>
      </c>
      <c r="T159" s="403" t="n">
        <v>6630000000</v>
      </c>
      <c r="U159" s="404" t="n">
        <v>115000000</v>
      </c>
      <c r="V159" s="404" t="n">
        <v>94000000</v>
      </c>
      <c r="W159" s="405">
        <f>SUM(U159:V159)</f>
        <v/>
      </c>
      <c r="X159" s="406">
        <f>SUM(T159,W159)</f>
        <v/>
      </c>
    </row>
    <row r="160" ht="11.25" customHeight="1" s="308">
      <c r="B160" s="45">
        <f>B159+1</f>
        <v/>
      </c>
      <c r="C160" s="46" t="n">
        <v>12596</v>
      </c>
      <c r="D160" s="80" t="inlineStr">
        <is>
          <t>거북</t>
        </is>
      </c>
      <c r="E160" s="81" t="inlineStr">
        <is>
          <t>거북셀프</t>
        </is>
      </c>
      <c r="F160" s="49" t="inlineStr">
        <is>
          <t>운영</t>
        </is>
      </c>
      <c r="G160" s="49" t="inlineStr">
        <is>
          <t>경남</t>
        </is>
      </c>
      <c r="H160" s="50" t="inlineStr">
        <is>
          <t>경남 통영시 북신동 663-8</t>
        </is>
      </c>
      <c r="K160" s="403">
        <f>$K$192*L160</f>
        <v/>
      </c>
      <c r="L160" s="25" t="n">
        <v>0.007879763006941083</v>
      </c>
      <c r="M160" s="404">
        <f>$M$192*N160</f>
        <v/>
      </c>
      <c r="N160" s="27" t="n">
        <v>0.008717252359218206</v>
      </c>
      <c r="O160" s="404">
        <f>$O$192*P160</f>
        <v/>
      </c>
      <c r="P160" s="28" t="n">
        <v>0.005717675141926603</v>
      </c>
      <c r="Q160" s="405">
        <f>M160+O160</f>
        <v/>
      </c>
      <c r="R160" s="406">
        <f>K160+Q160</f>
        <v/>
      </c>
      <c r="T160" s="403" t="n">
        <v>6915000000</v>
      </c>
      <c r="U160" s="404" t="n">
        <v>396000000</v>
      </c>
      <c r="V160" s="404" t="n">
        <v>219000000</v>
      </c>
      <c r="W160" s="405">
        <f>SUM(U160:V160)</f>
        <v/>
      </c>
      <c r="X160" s="406">
        <f>SUM(T160,W160)</f>
        <v/>
      </c>
    </row>
    <row r="161" ht="11.25" customHeight="1" s="308">
      <c r="B161" s="45">
        <f>B160+1</f>
        <v/>
      </c>
      <c r="C161" s="46" t="n">
        <v>12354</v>
      </c>
      <c r="D161" s="80" t="inlineStr">
        <is>
          <t>SK경산</t>
        </is>
      </c>
      <c r="E161" s="81" t="inlineStr">
        <is>
          <t>진량현대</t>
        </is>
      </c>
      <c r="F161" s="49" t="inlineStr">
        <is>
          <t>운영</t>
        </is>
      </c>
      <c r="G161" s="49" t="inlineStr">
        <is>
          <t>경북</t>
        </is>
      </c>
      <c r="H161" s="50" t="inlineStr">
        <is>
          <t>경북 경산시 진량읍 신상리 1083</t>
        </is>
      </c>
      <c r="K161" s="403">
        <f>$K$192*L161</f>
        <v/>
      </c>
      <c r="L161" s="25" t="n">
        <v>0.002462901082156241</v>
      </c>
      <c r="M161" s="404">
        <f>$M$192*N161</f>
        <v/>
      </c>
      <c r="N161" s="27" t="n">
        <v>0.003856268880185695</v>
      </c>
      <c r="O161" s="404">
        <f>$O$192*P161</f>
        <v/>
      </c>
      <c r="P161" s="28" t="n">
        <v>0.003685280011677213</v>
      </c>
      <c r="Q161" s="405">
        <f>M161+O161</f>
        <v/>
      </c>
      <c r="R161" s="406">
        <f>K161+Q161</f>
        <v/>
      </c>
      <c r="T161" s="403" t="n">
        <v>2161000000</v>
      </c>
      <c r="U161" s="404" t="n">
        <v>175000000</v>
      </c>
      <c r="V161" s="404" t="n">
        <v>141000000</v>
      </c>
      <c r="W161" s="405">
        <f>SUM(U161:V161)</f>
        <v/>
      </c>
      <c r="X161" s="406">
        <f>SUM(T161,W161)</f>
        <v/>
      </c>
    </row>
    <row r="162" ht="11.25" customHeight="1" s="308">
      <c r="B162" s="45">
        <f>B161+1</f>
        <v/>
      </c>
      <c r="C162" s="46" t="n">
        <v>22879</v>
      </c>
      <c r="D162" s="80" t="inlineStr">
        <is>
          <t>새화랑</t>
        </is>
      </c>
      <c r="E162" s="81" t="inlineStr">
        <is>
          <t>새화랑</t>
        </is>
      </c>
      <c r="F162" s="49" t="inlineStr">
        <is>
          <t>운영</t>
        </is>
      </c>
      <c r="G162" s="49" t="inlineStr">
        <is>
          <t>경북</t>
        </is>
      </c>
      <c r="H162" s="50" t="inlineStr">
        <is>
          <t>경북 경주시 동천동 936</t>
        </is>
      </c>
      <c r="K162" s="403">
        <f>$K$192*L162</f>
        <v/>
      </c>
      <c r="L162" s="25" t="n">
        <v>0.002958009452571214</v>
      </c>
      <c r="M162" s="404">
        <f>$M$192*N162</f>
        <v/>
      </c>
      <c r="N162" s="27" t="n">
        <v>0.003954520662276204</v>
      </c>
      <c r="O162" s="404">
        <f>$O$192*P162</f>
        <v/>
      </c>
      <c r="P162" s="28" t="n">
        <v>0.002194071930761681</v>
      </c>
      <c r="Q162" s="405">
        <f>M162+O162</f>
        <v/>
      </c>
      <c r="R162" s="406">
        <f>K162+Q162</f>
        <v/>
      </c>
      <c r="T162" s="403" t="n">
        <v>2596000000</v>
      </c>
      <c r="U162" s="404" t="n">
        <v>180000000</v>
      </c>
      <c r="V162" s="404" t="n">
        <v>84000000</v>
      </c>
      <c r="W162" s="405">
        <f>SUM(U162:V162)</f>
        <v/>
      </c>
      <c r="X162" s="406">
        <f>SUM(T162,W162)</f>
        <v/>
      </c>
    </row>
    <row r="163" ht="11.25" customHeight="1" s="308">
      <c r="B163" s="45">
        <f>B162+1</f>
        <v/>
      </c>
      <c r="C163" s="46" t="n">
        <v>12375</v>
      </c>
      <c r="D163" s="80" t="inlineStr">
        <is>
          <t>하이웨이 Self</t>
        </is>
      </c>
      <c r="E163" s="81" t="inlineStr">
        <is>
          <t>하이웨이셀프</t>
        </is>
      </c>
      <c r="F163" s="49" t="inlineStr">
        <is>
          <t>운영</t>
        </is>
      </c>
      <c r="G163" s="49" t="inlineStr">
        <is>
          <t>경북</t>
        </is>
      </c>
      <c r="H163" s="50" t="inlineStr">
        <is>
          <t>경북 구미시 오태동 163-5</t>
        </is>
      </c>
      <c r="K163" s="403">
        <f>$K$192*L163</f>
        <v/>
      </c>
      <c r="L163" s="25" t="n">
        <v>0.001218423717888683</v>
      </c>
      <c r="M163" s="404">
        <f>$M$192*N163</f>
        <v/>
      </c>
      <c r="N163" s="27" t="n">
        <v>0.005195213062194573</v>
      </c>
      <c r="O163" s="404">
        <f>$O$192*P163</f>
        <v/>
      </c>
      <c r="P163" s="28" t="n">
        <v>0.007795040878032774</v>
      </c>
      <c r="Q163" s="405">
        <f>M163+O163</f>
        <v/>
      </c>
      <c r="R163" s="406">
        <f>K163+Q163</f>
        <v/>
      </c>
      <c r="T163" s="403" t="n">
        <v>1070000000</v>
      </c>
      <c r="U163" s="404" t="n">
        <v>236000000</v>
      </c>
      <c r="V163" s="404" t="n">
        <v>299000000</v>
      </c>
      <c r="W163" s="405">
        <f>SUM(U163:V163)</f>
        <v/>
      </c>
      <c r="X163" s="406">
        <f>SUM(T163,W163)</f>
        <v/>
      </c>
    </row>
    <row r="164" ht="11.25" customHeight="1" s="308">
      <c r="B164" s="45">
        <f>B163+1</f>
        <v/>
      </c>
      <c r="C164" s="46" t="n">
        <v>31061</v>
      </c>
      <c r="D164" s="80" t="inlineStr">
        <is>
          <t>가산IC</t>
        </is>
      </c>
      <c r="E164" s="81" t="inlineStr">
        <is>
          <t>가산IC셀프</t>
        </is>
      </c>
      <c r="F164" s="49" t="inlineStr">
        <is>
          <t>운영</t>
        </is>
      </c>
      <c r="G164" s="49" t="inlineStr">
        <is>
          <t>경북</t>
        </is>
      </c>
      <c r="H164" s="50" t="inlineStr">
        <is>
          <t>경북 칠곡군 가산면 천평리 4</t>
        </is>
      </c>
      <c r="K164" s="403">
        <f>$K$192*L164</f>
        <v/>
      </c>
      <c r="L164" s="25" t="n">
        <v>0.0008220083813364234</v>
      </c>
      <c r="M164" s="404">
        <f>$M$192*N164</f>
        <v/>
      </c>
      <c r="N164" s="27" t="n">
        <v>0.00346350035695787</v>
      </c>
      <c r="O164" s="404">
        <f>$O$192*P164</f>
        <v/>
      </c>
      <c r="P164" s="28" t="n">
        <v>0.008318588399691691</v>
      </c>
      <c r="Q164" s="405">
        <f>M164+O164</f>
        <v/>
      </c>
      <c r="R164" s="406">
        <f>K164+Q164</f>
        <v/>
      </c>
      <c r="T164" s="403" t="n">
        <v>721000000</v>
      </c>
      <c r="U164" s="404" t="n">
        <v>157000000</v>
      </c>
      <c r="V164" s="404" t="n">
        <v>319000000</v>
      </c>
      <c r="W164" s="405">
        <f>SUM(U164:V164)</f>
        <v/>
      </c>
      <c r="X164" s="406">
        <f>SUM(T164,W164)</f>
        <v/>
      </c>
    </row>
    <row r="165" ht="11.25" customHeight="1" s="308">
      <c r="B165" s="45">
        <f>B164+1</f>
        <v/>
      </c>
      <c r="C165" s="46" t="n">
        <v>12440</v>
      </c>
      <c r="D165" s="80" t="inlineStr">
        <is>
          <t>포항제일</t>
        </is>
      </c>
      <c r="E165" s="81" t="inlineStr">
        <is>
          <t>포항제일</t>
        </is>
      </c>
      <c r="F165" s="49" t="inlineStr">
        <is>
          <t>운영</t>
        </is>
      </c>
      <c r="G165" s="49" t="inlineStr">
        <is>
          <t>경북</t>
        </is>
      </c>
      <c r="H165" s="50" t="inlineStr">
        <is>
          <t>경북 포항시 대신동 949-3</t>
        </is>
      </c>
      <c r="K165" s="403">
        <f>$K$192*L165</f>
        <v/>
      </c>
      <c r="L165" s="25" t="n">
        <v>0.00255765241313595</v>
      </c>
      <c r="M165" s="404">
        <f>$M$192*N165</f>
        <v/>
      </c>
      <c r="N165" s="27" t="n">
        <v>0.005144279660781688</v>
      </c>
      <c r="O165" s="404">
        <f>$O$192*P165</f>
        <v/>
      </c>
      <c r="P165" s="28" t="n">
        <v>0.003592644186621782</v>
      </c>
      <c r="Q165" s="405">
        <f>M165+O165</f>
        <v/>
      </c>
      <c r="R165" s="406">
        <f>K165+Q165</f>
        <v/>
      </c>
      <c r="T165" s="403" t="n">
        <v>2244000000</v>
      </c>
      <c r="U165" s="404" t="n">
        <v>234000000</v>
      </c>
      <c r="V165" s="404" t="n">
        <v>138000000</v>
      </c>
      <c r="W165" s="405">
        <f>SUM(U165:V165)</f>
        <v/>
      </c>
      <c r="X165" s="406">
        <f>SUM(T165,W165)</f>
        <v/>
      </c>
    </row>
    <row r="166" ht="11.25" customHeight="1" s="308">
      <c r="B166" s="45">
        <f>B165+1</f>
        <v/>
      </c>
      <c r="C166" s="46" t="n">
        <v>12431</v>
      </c>
      <c r="D166" s="80" t="inlineStr">
        <is>
          <t>포항 Self</t>
        </is>
      </c>
      <c r="E166" s="81" t="inlineStr">
        <is>
          <t>포항셀프</t>
        </is>
      </c>
      <c r="F166" s="49" t="inlineStr">
        <is>
          <t>운영</t>
        </is>
      </c>
      <c r="G166" s="49" t="inlineStr">
        <is>
          <t>경북</t>
        </is>
      </c>
      <c r="H166" s="50" t="inlineStr">
        <is>
          <t>경북 포항시 대잠동 948-6</t>
        </is>
      </c>
      <c r="K166" s="403">
        <f>$K$192*L166</f>
        <v/>
      </c>
      <c r="L166" s="25" t="n">
        <v>0.002550677717376621</v>
      </c>
      <c r="M166" s="404">
        <f>$M$192*N166</f>
        <v/>
      </c>
      <c r="N166" s="27" t="n">
        <v>0.005088690400211566</v>
      </c>
      <c r="O166" s="404">
        <f>$O$192*P166</f>
        <v/>
      </c>
      <c r="P166" s="28" t="n">
        <v>0.009048262520098983</v>
      </c>
      <c r="Q166" s="405">
        <f>M166+O166</f>
        <v/>
      </c>
      <c r="R166" s="406">
        <f>K166+Q166</f>
        <v/>
      </c>
      <c r="T166" s="403" t="n">
        <v>2238000000</v>
      </c>
      <c r="U166" s="404" t="n">
        <v>231000000</v>
      </c>
      <c r="V166" s="404" t="n">
        <v>347000000</v>
      </c>
      <c r="W166" s="405">
        <f>SUM(U166:V166)</f>
        <v/>
      </c>
      <c r="X166" s="406">
        <f>SUM(T166,W166)</f>
        <v/>
      </c>
    </row>
    <row r="167" ht="11.25" customHeight="1" s="308">
      <c r="B167" s="45">
        <f>B166+1</f>
        <v/>
      </c>
      <c r="C167" s="46" t="n">
        <v>26445</v>
      </c>
      <c r="D167" s="80" t="inlineStr">
        <is>
          <t>대잠</t>
        </is>
      </c>
      <c r="E167" s="81" t="inlineStr">
        <is>
          <t>대잠셀프</t>
        </is>
      </c>
      <c r="F167" s="49" t="inlineStr">
        <is>
          <t>운영</t>
        </is>
      </c>
      <c r="G167" s="49" t="inlineStr">
        <is>
          <t>경북</t>
        </is>
      </c>
      <c r="H167" s="50" t="inlineStr">
        <is>
          <t>경북 포항시 대잠동 98-59</t>
        </is>
      </c>
      <c r="K167" s="403">
        <f>$K$192*L167</f>
        <v/>
      </c>
      <c r="L167" s="25" t="n">
        <v>0.00135428477280892</v>
      </c>
      <c r="M167" s="404">
        <f>$M$192*N167</f>
        <v/>
      </c>
      <c r="N167" s="27" t="n">
        <v>0.002285239908117079</v>
      </c>
      <c r="O167" s="404">
        <f>$O$192*P167</f>
        <v/>
      </c>
      <c r="P167" s="28" t="n">
        <v>0.002093193759013466</v>
      </c>
      <c r="Q167" s="405">
        <f>M167+O167</f>
        <v/>
      </c>
      <c r="R167" s="406">
        <f>K167+Q167</f>
        <v/>
      </c>
      <c r="T167" s="403" t="n">
        <v>1188000000</v>
      </c>
      <c r="U167" s="404" t="n">
        <v>104000000</v>
      </c>
      <c r="V167" s="404" t="n">
        <v>80000000</v>
      </c>
      <c r="W167" s="405">
        <f>SUM(U167:V167)</f>
        <v/>
      </c>
      <c r="X167" s="406">
        <f>SUM(T167,W167)</f>
        <v/>
      </c>
    </row>
    <row r="168" ht="11.25" customFormat="1" customHeight="1" s="37">
      <c r="B168" s="31">
        <f>B167+1</f>
        <v/>
      </c>
      <c r="C168" s="32" t="n">
        <v>16550</v>
      </c>
      <c r="D168" s="66" t="inlineStr">
        <is>
          <t>영일대</t>
        </is>
      </c>
      <c r="E168" s="67" t="inlineStr">
        <is>
          <t>영일대셀프</t>
        </is>
      </c>
      <c r="F168" s="35" t="inlineStr">
        <is>
          <t>운영</t>
        </is>
      </c>
      <c r="G168" s="35" t="inlineStr">
        <is>
          <t>경북</t>
        </is>
      </c>
      <c r="H168" s="36" t="inlineStr">
        <is>
          <t>경북 포항시 두호동 1087-2</t>
        </is>
      </c>
      <c r="K168" s="407">
        <f>$K$192*L168</f>
        <v/>
      </c>
      <c r="L168" s="39" t="n">
        <v>0.003360623418820454</v>
      </c>
      <c r="M168" s="408">
        <f>$M$192*N168</f>
        <v/>
      </c>
      <c r="N168" s="41" t="n">
        <v>0.008645021155297122</v>
      </c>
      <c r="O168" s="408">
        <f>$O$192*P168</f>
        <v/>
      </c>
      <c r="P168" s="42" t="n">
        <v>0.001323077794668507</v>
      </c>
      <c r="Q168" s="409">
        <f>M168+O168</f>
        <v/>
      </c>
      <c r="R168" s="410">
        <f>K168+Q168</f>
        <v/>
      </c>
      <c r="T168" s="403" t="n">
        <v>2949000000</v>
      </c>
      <c r="U168" s="404" t="n">
        <v>393000000</v>
      </c>
      <c r="V168" s="404" t="n">
        <v>51000000</v>
      </c>
      <c r="W168" s="405">
        <f>SUM(U168:V168)</f>
        <v/>
      </c>
      <c r="X168" s="406">
        <f>SUM(T168,W168)</f>
        <v/>
      </c>
    </row>
    <row r="169" ht="11.25" customHeight="1" s="308">
      <c r="B169" s="45">
        <f>B168+1</f>
        <v/>
      </c>
      <c r="C169" s="46" t="n">
        <v>34276</v>
      </c>
      <c r="D169" s="80" t="inlineStr">
        <is>
          <t>법원앞</t>
        </is>
      </c>
      <c r="E169" s="81" t="inlineStr">
        <is>
          <t>법원앞셀프</t>
        </is>
      </c>
      <c r="F169" s="49" t="inlineStr">
        <is>
          <t>운영</t>
        </is>
      </c>
      <c r="G169" s="49" t="inlineStr">
        <is>
          <t>경북</t>
        </is>
      </c>
      <c r="H169" s="50" t="inlineStr">
        <is>
          <t>경북 포항시 북구 장성동 1370-8</t>
        </is>
      </c>
      <c r="K169" s="403">
        <f>$K$192*L169</f>
        <v/>
      </c>
      <c r="L169" s="25" t="n">
        <v>0.004525108565615485</v>
      </c>
      <c r="M169" s="404">
        <f>$M$192*N169</f>
        <v/>
      </c>
      <c r="N169" s="27" t="n">
        <v>0.007948011584572933</v>
      </c>
      <c r="O169" s="404">
        <f>$O$192*P169</f>
        <v/>
      </c>
      <c r="P169" s="28" t="n">
        <v>0.003684691272627729</v>
      </c>
      <c r="Q169" s="405">
        <f>M169+O169</f>
        <v/>
      </c>
      <c r="R169" s="406">
        <f>K169+Q169</f>
        <v/>
      </c>
      <c r="T169" s="403" t="n">
        <v>3971000000</v>
      </c>
      <c r="U169" s="404" t="n">
        <v>361000000</v>
      </c>
      <c r="V169" s="404" t="n">
        <v>141000000</v>
      </c>
      <c r="W169" s="405">
        <f>SUM(U169:V169)</f>
        <v/>
      </c>
      <c r="X169" s="406">
        <f>SUM(T169,W169)</f>
        <v/>
      </c>
    </row>
    <row r="170" ht="11.25" customHeight="1" s="308">
      <c r="B170" s="45">
        <f>B169+1</f>
        <v/>
      </c>
      <c r="C170" s="46" t="n">
        <v>22932</v>
      </c>
      <c r="D170" s="80" t="inlineStr">
        <is>
          <t>열린</t>
        </is>
      </c>
      <c r="E170" s="81" t="inlineStr">
        <is>
          <t>열린</t>
        </is>
      </c>
      <c r="F170" s="49" t="inlineStr">
        <is>
          <t>운영</t>
        </is>
      </c>
      <c r="G170" s="49" t="inlineStr">
        <is>
          <t>경북</t>
        </is>
      </c>
      <c r="H170" s="50" t="inlineStr">
        <is>
          <t>경북 포항시 연일읍 생지리 379-1</t>
        </is>
      </c>
      <c r="K170" s="403">
        <f>$K$192*L170</f>
        <v/>
      </c>
      <c r="L170" s="25" t="n">
        <v>0.00210148592906387</v>
      </c>
      <c r="M170" s="404">
        <f>$M$192*N170</f>
        <v/>
      </c>
      <c r="N170" s="27" t="n">
        <v>0.002574914188646046</v>
      </c>
      <c r="O170" s="404">
        <f>$O$192*P170</f>
        <v/>
      </c>
      <c r="P170" s="28" t="n">
        <v>0.0005391717502798533</v>
      </c>
      <c r="Q170" s="405">
        <f>M170+O170</f>
        <v/>
      </c>
      <c r="R170" s="406">
        <f>K170+Q170</f>
        <v/>
      </c>
      <c r="T170" s="403" t="n">
        <v>1844000000</v>
      </c>
      <c r="U170" s="404" t="n">
        <v>117000000</v>
      </c>
      <c r="V170" s="404" t="n">
        <v>21000000</v>
      </c>
      <c r="W170" s="405">
        <f>SUM(U170:V170)</f>
        <v/>
      </c>
      <c r="X170" s="406">
        <f>SUM(T170,W170)</f>
        <v/>
      </c>
    </row>
    <row r="171" ht="11.25" customHeight="1" s="308">
      <c r="B171" s="45">
        <f>B170+1</f>
        <v/>
      </c>
      <c r="C171" s="46" t="n">
        <v>32403</v>
      </c>
      <c r="D171" s="80" t="inlineStr">
        <is>
          <t>독도랑우리랑 Self</t>
        </is>
      </c>
      <c r="E171" s="81" t="inlineStr">
        <is>
          <t>포항나루끝셀프</t>
        </is>
      </c>
      <c r="F171" s="49" t="inlineStr">
        <is>
          <t>운영</t>
        </is>
      </c>
      <c r="G171" s="49" t="inlineStr">
        <is>
          <t>경북</t>
        </is>
      </c>
      <c r="H171" s="50" t="inlineStr">
        <is>
          <t>경북 포항시 우현동 142-20</t>
        </is>
      </c>
      <c r="K171" s="403">
        <f>$K$192*L171</f>
        <v/>
      </c>
      <c r="L171" s="25" t="n">
        <v>0.001246298743801644</v>
      </c>
      <c r="M171" s="404">
        <f>$M$192*N171</f>
        <v/>
      </c>
      <c r="N171" s="27" t="n">
        <v>0.002330500319512159</v>
      </c>
      <c r="O171" s="404">
        <f>$O$192*P171</f>
        <v/>
      </c>
      <c r="P171" s="28" t="n">
        <v>0.01076679180554433</v>
      </c>
      <c r="Q171" s="405">
        <f>M171+O171</f>
        <v/>
      </c>
      <c r="R171" s="406">
        <f>K171+Q171</f>
        <v/>
      </c>
      <c r="T171" s="403" t="n">
        <v>1094000000</v>
      </c>
      <c r="U171" s="404" t="n">
        <v>106000000</v>
      </c>
      <c r="V171" s="404" t="n">
        <v>413000000</v>
      </c>
      <c r="W171" s="405">
        <f>SUM(U171:V171)</f>
        <v/>
      </c>
      <c r="X171" s="406">
        <f>SUM(T171,W171)</f>
        <v/>
      </c>
    </row>
    <row r="172" ht="11.25" customHeight="1" s="308">
      <c r="B172" s="45">
        <f>B171+1</f>
        <v/>
      </c>
      <c r="C172" s="46" t="n">
        <v>31926</v>
      </c>
      <c r="D172" s="80" t="inlineStr">
        <is>
          <t>인덕</t>
        </is>
      </c>
      <c r="E172" s="81" t="inlineStr">
        <is>
          <t>인덕</t>
        </is>
      </c>
      <c r="F172" s="49" t="inlineStr">
        <is>
          <t>운영</t>
        </is>
      </c>
      <c r="G172" s="49" t="inlineStr">
        <is>
          <t>경북</t>
        </is>
      </c>
      <c r="H172" s="50" t="inlineStr">
        <is>
          <t>경북 포항시 인덕동 85-2</t>
        </is>
      </c>
      <c r="K172" s="403">
        <f>$K$192*L172</f>
        <v/>
      </c>
      <c r="L172" s="25" t="n">
        <v>0.00137134040833734</v>
      </c>
      <c r="M172" s="404">
        <f>$M$192*N172</f>
        <v/>
      </c>
      <c r="N172" s="27" t="n">
        <v>0.003755592426370807</v>
      </c>
      <c r="O172" s="404">
        <f>$O$192*P172</f>
        <v/>
      </c>
      <c r="P172" s="28" t="n">
        <v>0.008582456712908739</v>
      </c>
      <c r="Q172" s="405">
        <f>M172+O172</f>
        <v/>
      </c>
      <c r="R172" s="406">
        <f>K172+Q172</f>
        <v/>
      </c>
      <c r="T172" s="403" t="n">
        <v>1203000000</v>
      </c>
      <c r="U172" s="404" t="n">
        <v>171000000</v>
      </c>
      <c r="V172" s="404" t="n">
        <v>329000000</v>
      </c>
      <c r="W172" s="405">
        <f>SUM(U172:V172)</f>
        <v/>
      </c>
      <c r="X172" s="406">
        <f>SUM(T172,W172)</f>
        <v/>
      </c>
    </row>
    <row r="173" ht="11.25" customFormat="1" customHeight="1" s="57">
      <c r="B173" s="51">
        <f>B172+1</f>
        <v/>
      </c>
      <c r="C173" s="52" t="n">
        <v>10713</v>
      </c>
      <c r="D173" s="53" t="inlineStr">
        <is>
          <t>대구제일 Self</t>
        </is>
      </c>
      <c r="E173" s="54" t="inlineStr">
        <is>
          <t>대구제일셀프</t>
        </is>
      </c>
      <c r="F173" s="55" t="inlineStr">
        <is>
          <t>운영</t>
        </is>
      </c>
      <c r="G173" s="55" t="inlineStr">
        <is>
          <t>대구</t>
        </is>
      </c>
      <c r="H173" s="56" t="inlineStr">
        <is>
          <t>대구 남구 대명9동 332-9</t>
        </is>
      </c>
      <c r="K173" s="411">
        <f>$K$192*L173</f>
        <v/>
      </c>
      <c r="L173" s="59" t="n">
        <v>0.005399446962750512</v>
      </c>
      <c r="M173" s="412">
        <f>$M$192*N173</f>
        <v/>
      </c>
      <c r="N173" s="61" t="n">
        <v>0.01089633401351398</v>
      </c>
      <c r="O173" s="412">
        <f>$O$192*P173</f>
        <v/>
      </c>
      <c r="P173" s="62" t="n">
        <v>0.002093306978061444</v>
      </c>
      <c r="Q173" s="413">
        <f>M173+O173</f>
        <v/>
      </c>
      <c r="R173" s="414">
        <f>K173+Q173</f>
        <v/>
      </c>
      <c r="T173" s="411" t="n">
        <v>4738000000</v>
      </c>
      <c r="U173" s="412" t="n">
        <v>495000000</v>
      </c>
      <c r="V173" s="412" t="n">
        <v>80000000</v>
      </c>
      <c r="W173" s="413">
        <f>SUM(U173:V173)</f>
        <v/>
      </c>
      <c r="X173" s="414">
        <f>SUM(T173,W173)</f>
        <v/>
      </c>
    </row>
    <row r="174" ht="11.25" customHeight="1" s="308">
      <c r="B174" s="45">
        <f>B173+1</f>
        <v/>
      </c>
      <c r="C174" s="46" t="n">
        <v>10681</v>
      </c>
      <c r="D174" s="80" t="inlineStr">
        <is>
          <t>송현 Self</t>
        </is>
      </c>
      <c r="E174" s="81" t="inlineStr">
        <is>
          <t>송현셀프</t>
        </is>
      </c>
      <c r="F174" s="49" t="inlineStr">
        <is>
          <t>운영</t>
        </is>
      </c>
      <c r="G174" s="49" t="inlineStr">
        <is>
          <t>대구</t>
        </is>
      </c>
      <c r="H174" s="50" t="inlineStr">
        <is>
          <t>대구 달서구 성당동 830-27 외 1필지</t>
        </is>
      </c>
      <c r="K174" s="403">
        <f>$K$192*L174</f>
        <v/>
      </c>
      <c r="L174" s="25" t="n">
        <v>0.004700644018212976</v>
      </c>
      <c r="M174" s="404">
        <f>$M$192*N174</f>
        <v/>
      </c>
      <c r="N174" s="27" t="n">
        <v>0.007067185818823212</v>
      </c>
      <c r="O174" s="404">
        <f>$O$192*P174</f>
        <v/>
      </c>
      <c r="P174" s="28" t="n">
        <v>0.004460060600798857</v>
      </c>
      <c r="Q174" s="405">
        <f>M174+O174</f>
        <v/>
      </c>
      <c r="R174" s="406">
        <f>K174+Q174</f>
        <v/>
      </c>
      <c r="T174" s="403" t="n">
        <v>4125000000</v>
      </c>
      <c r="U174" s="404" t="n">
        <v>321000000</v>
      </c>
      <c r="V174" s="404" t="n">
        <v>171000000</v>
      </c>
      <c r="W174" s="405">
        <f>SUM(U174:V174)</f>
        <v/>
      </c>
      <c r="X174" s="406">
        <f>SUM(T174,W174)</f>
        <v/>
      </c>
    </row>
    <row r="175" ht="11.25" customHeight="1" s="308">
      <c r="B175" s="45">
        <f>B174+1</f>
        <v/>
      </c>
      <c r="C175" s="46" t="n">
        <v>17673</v>
      </c>
      <c r="D175" s="80" t="inlineStr">
        <is>
          <t>남대구IC Self</t>
        </is>
      </c>
      <c r="E175" s="81" t="inlineStr">
        <is>
          <t>남대구IC셀프</t>
        </is>
      </c>
      <c r="F175" s="49" t="inlineStr">
        <is>
          <t>운영</t>
        </is>
      </c>
      <c r="G175" s="49" t="inlineStr">
        <is>
          <t>대구</t>
        </is>
      </c>
      <c r="H175" s="50" t="inlineStr">
        <is>
          <t>대구 달서구 월성동 210</t>
        </is>
      </c>
      <c r="K175" s="403">
        <f>$K$192*L175</f>
        <v/>
      </c>
      <c r="L175" s="25" t="n">
        <v>0.003816530554284963</v>
      </c>
      <c r="M175" s="404">
        <f>$M$192*N175</f>
        <v/>
      </c>
      <c r="N175" s="27" t="n">
        <v>0.004733428577467117</v>
      </c>
      <c r="O175" s="404">
        <f>$O$192*P175</f>
        <v/>
      </c>
      <c r="P175" s="28" t="n">
        <v>0.002901441898717346</v>
      </c>
      <c r="Q175" s="405">
        <f>M175+O175</f>
        <v/>
      </c>
      <c r="R175" s="406">
        <f>K175+Q175</f>
        <v/>
      </c>
      <c r="T175" s="403" t="n">
        <v>3349000000</v>
      </c>
      <c r="U175" s="404" t="n">
        <v>215000000</v>
      </c>
      <c r="V175" s="404" t="n">
        <v>111000000</v>
      </c>
      <c r="W175" s="405">
        <f>SUM(U175:V175)</f>
        <v/>
      </c>
      <c r="X175" s="406">
        <f>SUM(T175,W175)</f>
        <v/>
      </c>
    </row>
    <row r="176" ht="11.25" customHeight="1" s="308">
      <c r="B176" s="45">
        <f>B175+1</f>
        <v/>
      </c>
      <c r="C176" s="46" t="n">
        <v>30110</v>
      </c>
      <c r="D176" s="80" t="inlineStr">
        <is>
          <t>공단제일</t>
        </is>
      </c>
      <c r="E176" s="81" t="inlineStr">
        <is>
          <t>공단제일</t>
        </is>
      </c>
      <c r="F176" s="49" t="inlineStr">
        <is>
          <t>운영</t>
        </is>
      </c>
      <c r="G176" s="49" t="inlineStr">
        <is>
          <t>대구</t>
        </is>
      </c>
      <c r="H176" s="50" t="inlineStr">
        <is>
          <t>대구 달서구 호산동 720-2</t>
        </is>
      </c>
      <c r="K176" s="403">
        <f>$K$192*L176</f>
        <v/>
      </c>
      <c r="L176" s="25" t="n">
        <v>0.01258002097188325</v>
      </c>
      <c r="M176" s="404">
        <f>$M$192*N176</f>
        <v/>
      </c>
      <c r="N176" s="27" t="n">
        <v>0.010130490494181</v>
      </c>
      <c r="O176" s="404">
        <f>$O$192*P176</f>
        <v/>
      </c>
      <c r="P176" s="28" t="n">
        <v>0.002152837553488168</v>
      </c>
      <c r="Q176" s="405">
        <f>M176+O176</f>
        <v/>
      </c>
      <c r="R176" s="406">
        <f>K176+Q176</f>
        <v/>
      </c>
      <c r="T176" s="403" t="n">
        <v>11040000000</v>
      </c>
      <c r="U176" s="404" t="n">
        <v>460000000</v>
      </c>
      <c r="V176" s="404" t="n">
        <v>83000000</v>
      </c>
      <c r="W176" s="405">
        <f>SUM(U176:V176)</f>
        <v/>
      </c>
      <c r="X176" s="406">
        <f>SUM(T176,W176)</f>
        <v/>
      </c>
    </row>
    <row r="177" ht="11.25" customHeight="1" s="308">
      <c r="B177" s="45">
        <f>B176+1</f>
        <v/>
      </c>
      <c r="C177" s="46" t="n">
        <v>10725</v>
      </c>
      <c r="D177" s="80" t="inlineStr">
        <is>
          <t>중앙 Self</t>
        </is>
      </c>
      <c r="E177" s="81" t="inlineStr">
        <is>
          <t>중앙셀프</t>
        </is>
      </c>
      <c r="F177" s="49" t="inlineStr">
        <is>
          <t>운영</t>
        </is>
      </c>
      <c r="G177" s="49" t="inlineStr">
        <is>
          <t>대구</t>
        </is>
      </c>
      <c r="H177" s="50" t="inlineStr">
        <is>
          <t>대구 북구 복현2동 375-9</t>
        </is>
      </c>
      <c r="K177" s="403">
        <f>$K$192*L177</f>
        <v/>
      </c>
      <c r="L177" s="25" t="n">
        <v>0.006064623677520175</v>
      </c>
      <c r="M177" s="404">
        <f>$M$192*N177</f>
        <v/>
      </c>
      <c r="N177" s="27" t="n">
        <v>0.008298428461238886</v>
      </c>
      <c r="O177" s="404">
        <f>$O$192*P177</f>
        <v/>
      </c>
      <c r="P177" s="28" t="n">
        <v>0.009076952226856555</v>
      </c>
      <c r="Q177" s="405">
        <f>M177+O177</f>
        <v/>
      </c>
      <c r="R177" s="406">
        <f>K177+Q177</f>
        <v/>
      </c>
      <c r="T177" s="403" t="n">
        <v>5322000000</v>
      </c>
      <c r="U177" s="404" t="n">
        <v>377000000</v>
      </c>
      <c r="V177" s="404" t="n">
        <v>348000000</v>
      </c>
      <c r="W177" s="405">
        <f>SUM(U177:V177)</f>
        <v/>
      </c>
      <c r="X177" s="406">
        <f>SUM(T177,W177)</f>
        <v/>
      </c>
    </row>
    <row r="178" ht="11.25" customHeight="1" s="308">
      <c r="B178" s="45">
        <f>B177+1</f>
        <v/>
      </c>
      <c r="C178" s="46" t="n">
        <v>10761</v>
      </c>
      <c r="D178" s="80" t="inlineStr">
        <is>
          <t>경대 Self</t>
        </is>
      </c>
      <c r="E178" s="81" t="inlineStr">
        <is>
          <t>경대셀프</t>
        </is>
      </c>
      <c r="F178" s="49" t="inlineStr">
        <is>
          <t>운영</t>
        </is>
      </c>
      <c r="G178" s="49" t="inlineStr">
        <is>
          <t>대구</t>
        </is>
      </c>
      <c r="H178" s="50" t="inlineStr">
        <is>
          <t>대구 북구 침산동 13-50 외 3필지</t>
        </is>
      </c>
      <c r="K178" s="403">
        <f>$K$192*L178</f>
        <v/>
      </c>
      <c r="L178" s="25" t="n">
        <v>0.005837968832586138</v>
      </c>
      <c r="M178" s="404">
        <f>$M$192*N178</f>
        <v/>
      </c>
      <c r="N178" s="27" t="n">
        <v>0.009007903620705349</v>
      </c>
      <c r="O178" s="404">
        <f>$O$192*P178</f>
        <v/>
      </c>
      <c r="P178" s="28" t="n">
        <v>0.004153984226495687</v>
      </c>
      <c r="Q178" s="405">
        <f>M178+O178</f>
        <v/>
      </c>
      <c r="R178" s="406">
        <f>K178+Q178</f>
        <v/>
      </c>
      <c r="T178" s="403" t="n">
        <v>5123000000</v>
      </c>
      <c r="U178" s="404" t="n">
        <v>409000000</v>
      </c>
      <c r="V178" s="404" t="n">
        <v>159000000</v>
      </c>
      <c r="W178" s="405">
        <f>SUM(U178:V178)</f>
        <v/>
      </c>
      <c r="X178" s="406">
        <f>SUM(T178,W178)</f>
        <v/>
      </c>
    </row>
    <row r="179" ht="11.25" customFormat="1" customHeight="1" s="57">
      <c r="B179" s="51">
        <f>B178+1</f>
        <v/>
      </c>
      <c r="C179" s="52" t="n">
        <v>14732</v>
      </c>
      <c r="D179" s="53" t="inlineStr">
        <is>
          <t>SK제일 Self</t>
        </is>
      </c>
      <c r="E179" s="54" t="inlineStr">
        <is>
          <t>범물셀프</t>
        </is>
      </c>
      <c r="F179" s="55" t="inlineStr">
        <is>
          <t>운영</t>
        </is>
      </c>
      <c r="G179" s="55" t="inlineStr">
        <is>
          <t>대구</t>
        </is>
      </c>
      <c r="H179" s="56" t="inlineStr">
        <is>
          <t>대구 수성구 범물동 1275-7</t>
        </is>
      </c>
      <c r="K179" s="411">
        <f>$K$192*L179</f>
        <v/>
      </c>
      <c r="L179" s="59" t="n">
        <v>0.008365606098856577</v>
      </c>
      <c r="M179" s="412">
        <f>$M$192*N179</f>
        <v/>
      </c>
      <c r="N179" s="61" t="n">
        <v>0.00478798369126566</v>
      </c>
      <c r="O179" s="412">
        <f>$O$192*P179</f>
        <v/>
      </c>
      <c r="P179" s="62" t="n">
        <v>0.002488532030742329</v>
      </c>
      <c r="Q179" s="413">
        <f>M179+O179</f>
        <v/>
      </c>
      <c r="R179" s="414">
        <f>K179+Q179</f>
        <v/>
      </c>
      <c r="T179" s="411" t="n">
        <v>7341000000</v>
      </c>
      <c r="U179" s="412" t="n">
        <v>218000000</v>
      </c>
      <c r="V179" s="412" t="n">
        <v>95000000</v>
      </c>
      <c r="W179" s="413">
        <f>SUM(U179:V179)</f>
        <v/>
      </c>
      <c r="X179" s="414">
        <f>SUM(T179,W179)</f>
        <v/>
      </c>
    </row>
    <row r="180" ht="11.25" customFormat="1" customHeight="1" s="57">
      <c r="B180" s="51">
        <f>B179+1</f>
        <v/>
      </c>
      <c r="C180" s="52" t="n">
        <v>12710</v>
      </c>
      <c r="D180" s="53" t="inlineStr">
        <is>
          <t>동광</t>
        </is>
      </c>
      <c r="E180" s="54" t="inlineStr">
        <is>
          <t>동광</t>
        </is>
      </c>
      <c r="F180" s="55" t="inlineStr">
        <is>
          <t>운영</t>
        </is>
      </c>
      <c r="G180" s="55" t="inlineStr">
        <is>
          <t>울산</t>
        </is>
      </c>
      <c r="H180" s="56" t="inlineStr">
        <is>
          <t>울산 북구 화봉동 982-8</t>
        </is>
      </c>
      <c r="K180" s="411">
        <f>$K$192*L180</f>
        <v/>
      </c>
      <c r="L180" s="59" t="n">
        <v>0.005343868160196001</v>
      </c>
      <c r="M180" s="412">
        <f>$M$192*N180</f>
        <v/>
      </c>
      <c r="N180" s="61" t="n">
        <v>0.01911900113846157</v>
      </c>
      <c r="O180" s="412">
        <f>$O$192*P180</f>
        <v/>
      </c>
      <c r="P180" s="62" t="n">
        <v>0.01018971431800151</v>
      </c>
      <c r="Q180" s="413">
        <f>M180+O180</f>
        <v/>
      </c>
      <c r="R180" s="414">
        <f>K180+Q180</f>
        <v/>
      </c>
      <c r="T180" s="411" t="n">
        <v>4690000000</v>
      </c>
      <c r="U180" s="412" t="n">
        <v>869000000</v>
      </c>
      <c r="V180" s="412" t="n">
        <v>391000000</v>
      </c>
      <c r="W180" s="413">
        <f>SUM(U180:V180)</f>
        <v/>
      </c>
      <c r="X180" s="414">
        <f>SUM(T180,W180)</f>
        <v/>
      </c>
    </row>
    <row r="181" ht="11.25" customHeight="1" s="308">
      <c r="B181" s="45">
        <f>B180+1</f>
        <v/>
      </c>
      <c r="C181" s="46" t="n">
        <v>12730</v>
      </c>
      <c r="D181" s="80" t="inlineStr">
        <is>
          <t>대성</t>
        </is>
      </c>
      <c r="E181" s="81" t="inlineStr">
        <is>
          <t>대성</t>
        </is>
      </c>
      <c r="F181" s="49" t="inlineStr">
        <is>
          <t>운영</t>
        </is>
      </c>
      <c r="G181" s="49" t="inlineStr">
        <is>
          <t>울산</t>
        </is>
      </c>
      <c r="H181" s="50" t="inlineStr">
        <is>
          <t>울산 울주군 청량면 상남리 624</t>
        </is>
      </c>
      <c r="K181" s="403">
        <f>$K$192*L181</f>
        <v/>
      </c>
      <c r="L181" s="25" t="n">
        <v>0.003623317821405026</v>
      </c>
      <c r="M181" s="404">
        <f>$M$192*N181</f>
        <v/>
      </c>
      <c r="N181" s="27" t="n">
        <v>0.003031822372133138</v>
      </c>
      <c r="O181" s="404">
        <f>$O$192*P181</f>
        <v/>
      </c>
      <c r="P181" s="28" t="n">
        <v>0.004334500676591483</v>
      </c>
      <c r="Q181" s="405">
        <f>M181+O181</f>
        <v/>
      </c>
      <c r="R181" s="406">
        <f>K181+Q181</f>
        <v/>
      </c>
      <c r="T181" s="403" t="n">
        <v>3181000000</v>
      </c>
      <c r="U181" s="404" t="n">
        <v>138000000</v>
      </c>
      <c r="V181" s="404" t="n">
        <v>166000000</v>
      </c>
      <c r="W181" s="405">
        <f>SUM(U181:V181)</f>
        <v/>
      </c>
      <c r="X181" s="406">
        <f>SUM(T181,W181)</f>
        <v/>
      </c>
    </row>
    <row r="182" ht="11.25" customHeight="1" s="308">
      <c r="B182" s="45">
        <f>B181+1</f>
        <v/>
      </c>
      <c r="C182" s="46" t="n">
        <v>30343</v>
      </c>
      <c r="D182" s="80" t="inlineStr">
        <is>
          <t>SK성안 Self</t>
        </is>
      </c>
      <c r="E182" s="81" t="inlineStr">
        <is>
          <t>함월셀프</t>
        </is>
      </c>
      <c r="F182" s="49" t="inlineStr">
        <is>
          <t>운영</t>
        </is>
      </c>
      <c r="G182" s="49" t="inlineStr">
        <is>
          <t>울산</t>
        </is>
      </c>
      <c r="H182" s="50" t="inlineStr">
        <is>
          <t>울산 중구 성안동 826-13</t>
        </is>
      </c>
      <c r="K182" s="403">
        <f>$K$192*L182</f>
        <v/>
      </c>
      <c r="L182" s="25" t="n">
        <v>0.002823799517793833</v>
      </c>
      <c r="M182" s="404">
        <f>$M$192*N182</f>
        <v/>
      </c>
      <c r="N182" s="27" t="n">
        <v>0.00424688460388533</v>
      </c>
      <c r="O182" s="404">
        <f>$O$192*P182</f>
        <v/>
      </c>
      <c r="P182" s="28" t="n">
        <v>0.003246646776001642</v>
      </c>
      <c r="Q182" s="405">
        <f>M182+O182</f>
        <v/>
      </c>
      <c r="R182" s="406">
        <f>K182+Q182</f>
        <v/>
      </c>
      <c r="T182" s="403" t="n">
        <v>2478000000</v>
      </c>
      <c r="U182" s="404" t="n">
        <v>193000000</v>
      </c>
      <c r="V182" s="404" t="n">
        <v>125000000</v>
      </c>
      <c r="W182" s="405">
        <f>SUM(U182:V182)</f>
        <v/>
      </c>
      <c r="X182" s="406">
        <f>SUM(T182,W182)</f>
        <v/>
      </c>
    </row>
    <row r="183" ht="11.25" customFormat="1" customHeight="1" s="57">
      <c r="B183" s="51">
        <f>B182+1</f>
        <v/>
      </c>
      <c r="C183" s="52" t="n">
        <v>10505</v>
      </c>
      <c r="D183" s="53" t="inlineStr">
        <is>
          <t>금사</t>
        </is>
      </c>
      <c r="E183" s="54" t="inlineStr">
        <is>
          <t>금사셀프</t>
        </is>
      </c>
      <c r="F183" s="55" t="inlineStr">
        <is>
          <t>운영</t>
        </is>
      </c>
      <c r="G183" s="55" t="inlineStr">
        <is>
          <t>부산</t>
        </is>
      </c>
      <c r="H183" s="56" t="inlineStr">
        <is>
          <t>부산 금정구 금사동 145-6</t>
        </is>
      </c>
      <c r="K183" s="411">
        <f>$K$192*L183</f>
        <v/>
      </c>
      <c r="L183" s="59" t="n">
        <v>0.007828301116061713</v>
      </c>
      <c r="M183" s="412">
        <f>$M$192*N183</f>
        <v/>
      </c>
      <c r="N183" s="61" t="n">
        <v>0.005018692678003475</v>
      </c>
      <c r="O183" s="412">
        <f>$O$192*P183</f>
        <v/>
      </c>
      <c r="P183" s="62" t="n">
        <v>0.012583617868444</v>
      </c>
      <c r="Q183" s="413">
        <f>M183+O183</f>
        <v/>
      </c>
      <c r="R183" s="414">
        <f>K183+Q183</f>
        <v/>
      </c>
      <c r="T183" s="411" t="n">
        <v>6870000000</v>
      </c>
      <c r="U183" s="412" t="n">
        <v>228000000</v>
      </c>
      <c r="V183" s="412" t="n">
        <v>483000000</v>
      </c>
      <c r="W183" s="413">
        <f>SUM(U183:V183)</f>
        <v/>
      </c>
      <c r="X183" s="414">
        <f>SUM(T183,W183)</f>
        <v/>
      </c>
    </row>
    <row r="184" ht="11.25" customHeight="1" s="308">
      <c r="B184" s="45">
        <f>B183+1</f>
        <v/>
      </c>
      <c r="C184" s="46" t="n">
        <v>10455</v>
      </c>
      <c r="D184" s="80" t="inlineStr">
        <is>
          <t>박물관</t>
        </is>
      </c>
      <c r="E184" s="81" t="inlineStr">
        <is>
          <t>부경셀프</t>
        </is>
      </c>
      <c r="F184" s="49" t="inlineStr">
        <is>
          <t>운영</t>
        </is>
      </c>
      <c r="G184" s="49" t="inlineStr">
        <is>
          <t>부산</t>
        </is>
      </c>
      <c r="H184" s="50" t="inlineStr">
        <is>
          <t>부산 남구 대연동 574-2</t>
        </is>
      </c>
      <c r="K184" s="403">
        <f>$K$192*L184</f>
        <v/>
      </c>
      <c r="L184" s="25" t="n">
        <v>0.01585029802653197</v>
      </c>
      <c r="M184" s="404">
        <f>$M$192*N184</f>
        <v/>
      </c>
      <c r="N184" s="27" t="n">
        <v>0.0002355078560235696</v>
      </c>
      <c r="O184" s="404">
        <f>$O$192*P184</f>
        <v/>
      </c>
      <c r="P184" s="28" t="n">
        <v>0.002956579575082532</v>
      </c>
      <c r="Q184" s="405">
        <f>M184+O184</f>
        <v/>
      </c>
      <c r="R184" s="406">
        <f>K184+Q184</f>
        <v/>
      </c>
      <c r="T184" s="403" t="n">
        <v>13910000000</v>
      </c>
      <c r="U184" s="404" t="n">
        <v>11000000</v>
      </c>
      <c r="V184" s="404" t="n">
        <v>113000000</v>
      </c>
      <c r="W184" s="405">
        <f>SUM(U184:V184)</f>
        <v/>
      </c>
      <c r="X184" s="406">
        <f>SUM(T184,W184)</f>
        <v/>
      </c>
    </row>
    <row r="185" ht="11.25" customHeight="1" s="308">
      <c r="B185" s="45">
        <f>B184+1</f>
        <v/>
      </c>
      <c r="C185" s="46" t="n">
        <v>10452</v>
      </c>
      <c r="D185" s="80" t="inlineStr">
        <is>
          <t>명성</t>
        </is>
      </c>
      <c r="E185" s="81" t="inlineStr">
        <is>
          <t>우암로셀프</t>
        </is>
      </c>
      <c r="F185" s="49" t="inlineStr">
        <is>
          <t>운영</t>
        </is>
      </c>
      <c r="G185" s="49" t="inlineStr">
        <is>
          <t>부산</t>
        </is>
      </c>
      <c r="H185" s="50" t="inlineStr">
        <is>
          <t>부산 남구 우암로 232</t>
        </is>
      </c>
      <c r="K185" s="403">
        <f>$K$192*L185</f>
        <v/>
      </c>
      <c r="L185" s="25" t="n">
        <v>0.004049758203624612</v>
      </c>
      <c r="M185" s="404">
        <f>$M$192*N185</f>
        <v/>
      </c>
      <c r="N185" s="27" t="n">
        <v>0.002054753466552514</v>
      </c>
      <c r="O185" s="404">
        <f>$O$192*P185</f>
        <v/>
      </c>
      <c r="P185" s="28" t="n">
        <v>0.02179602536430119</v>
      </c>
      <c r="Q185" s="405">
        <f>M185+O185</f>
        <v/>
      </c>
      <c r="R185" s="406">
        <f>K185+Q185</f>
        <v/>
      </c>
      <c r="T185" s="403" t="n">
        <v>3554000000</v>
      </c>
      <c r="U185" s="404" t="n">
        <v>93000000</v>
      </c>
      <c r="V185" s="404" t="n">
        <v>836000000</v>
      </c>
      <c r="W185" s="405">
        <f>SUM(U185:V185)</f>
        <v/>
      </c>
      <c r="X185" s="406">
        <f>SUM(T185,W185)</f>
        <v/>
      </c>
    </row>
    <row r="186" ht="11.25" customFormat="1" customHeight="1" s="57">
      <c r="B186" s="51">
        <f>B185+1</f>
        <v/>
      </c>
      <c r="C186" s="52" t="n">
        <v>10493</v>
      </c>
      <c r="D186" s="53" t="inlineStr">
        <is>
          <t>안락 Self</t>
        </is>
      </c>
      <c r="E186" s="54" t="inlineStr">
        <is>
          <t>안락대로셀프</t>
        </is>
      </c>
      <c r="F186" s="55" t="inlineStr">
        <is>
          <t>운영</t>
        </is>
      </c>
      <c r="G186" s="55" t="inlineStr">
        <is>
          <t>부산</t>
        </is>
      </c>
      <c r="H186" s="56" t="inlineStr">
        <is>
          <t>부산 동래구 안락동 437-4</t>
        </is>
      </c>
      <c r="K186" s="411">
        <f>$K$192*L186</f>
        <v/>
      </c>
      <c r="L186" s="59" t="n">
        <v>0.01139129464932179</v>
      </c>
      <c r="M186" s="412">
        <f>$M$192*N186</f>
        <v/>
      </c>
      <c r="N186" s="61" t="n">
        <v>0.002144087381751999</v>
      </c>
      <c r="O186" s="412">
        <f>$O$192*P186</f>
        <v/>
      </c>
      <c r="P186" s="62" t="n">
        <v>0.002779414408806879</v>
      </c>
      <c r="Q186" s="413">
        <f>M186+O186</f>
        <v/>
      </c>
      <c r="R186" s="414">
        <f>K186+Q186</f>
        <v/>
      </c>
      <c r="T186" s="411" t="n">
        <v>9997000000</v>
      </c>
      <c r="U186" s="412" t="n">
        <v>97000000</v>
      </c>
      <c r="V186" s="412" t="n">
        <v>107000000</v>
      </c>
      <c r="W186" s="413">
        <f>SUM(U186:V186)</f>
        <v/>
      </c>
      <c r="X186" s="414">
        <f>SUM(T186,W186)</f>
        <v/>
      </c>
    </row>
    <row r="187" ht="11.25" customHeight="1" s="308">
      <c r="B187" s="45">
        <f>B186+1</f>
        <v/>
      </c>
      <c r="C187" s="46" t="n">
        <v>10503</v>
      </c>
      <c r="D187" s="80" t="inlineStr">
        <is>
          <t>SK동래</t>
        </is>
      </c>
      <c r="E187" s="81" t="inlineStr">
        <is>
          <t>동래</t>
        </is>
      </c>
      <c r="F187" s="49" t="inlineStr">
        <is>
          <t>운영</t>
        </is>
      </c>
      <c r="G187" s="49" t="inlineStr">
        <is>
          <t>부산</t>
        </is>
      </c>
      <c r="H187" s="50" t="inlineStr">
        <is>
          <t>부산 동래구 온천동 504-3, 504-4, 504-10</t>
        </is>
      </c>
      <c r="K187" s="403">
        <f>$K$192*L187</f>
        <v/>
      </c>
      <c r="L187" s="25" t="n">
        <v>0.01014150063859903</v>
      </c>
      <c r="M187" s="404">
        <f>$M$192*N187</f>
        <v/>
      </c>
      <c r="N187" s="27" t="n">
        <v>0.005927966752687182</v>
      </c>
      <c r="O187" s="404">
        <f>$O$192*P187</f>
        <v/>
      </c>
      <c r="P187" s="28" t="n">
        <v>0.007489915543732618</v>
      </c>
      <c r="Q187" s="405">
        <f>M187+O187</f>
        <v/>
      </c>
      <c r="R187" s="406">
        <f>K187+Q187</f>
        <v/>
      </c>
      <c r="T187" s="403" t="n">
        <v>8900000000</v>
      </c>
      <c r="U187" s="404" t="n">
        <v>269000000</v>
      </c>
      <c r="V187" s="404" t="n">
        <v>287000000</v>
      </c>
      <c r="W187" s="405">
        <f>SUM(U187:V187)</f>
        <v/>
      </c>
      <c r="X187" s="406">
        <f>SUM(T187,W187)</f>
        <v/>
      </c>
    </row>
    <row r="188" ht="11.25" customFormat="1" customHeight="1" s="37">
      <c r="B188" s="31">
        <f>B187+1</f>
        <v/>
      </c>
      <c r="C188" s="32" t="n">
        <v>10474</v>
      </c>
      <c r="D188" s="66" t="inlineStr">
        <is>
          <t>강변</t>
        </is>
      </c>
      <c r="E188" s="67" t="inlineStr">
        <is>
          <t>낙동로</t>
        </is>
      </c>
      <c r="F188" s="35" t="inlineStr">
        <is>
          <t>운영</t>
        </is>
      </c>
      <c r="G188" s="35" t="inlineStr">
        <is>
          <t>부산</t>
        </is>
      </c>
      <c r="H188" s="36" t="inlineStr">
        <is>
          <t>부산 사상구 삼락동 409-1</t>
        </is>
      </c>
      <c r="K188" s="407">
        <f>$K$192*L188</f>
        <v/>
      </c>
      <c r="L188" s="39" t="n">
        <v>0.006401937227951723</v>
      </c>
      <c r="M188" s="408">
        <f>$M$192*N188</f>
        <v/>
      </c>
      <c r="N188" s="41" t="n">
        <v>0.004592305685553802</v>
      </c>
      <c r="O188" s="408">
        <f>$O$192*P188</f>
        <v/>
      </c>
      <c r="P188" s="42" t="n">
        <v>0.01815591975276712</v>
      </c>
      <c r="Q188" s="409">
        <f>M188+O188</f>
        <v/>
      </c>
      <c r="R188" s="410">
        <f>K188+Q188</f>
        <v/>
      </c>
      <c r="T188" s="403" t="n">
        <v>5619000000</v>
      </c>
      <c r="U188" s="404" t="n">
        <v>209000000</v>
      </c>
      <c r="V188" s="404" t="n">
        <v>697000000</v>
      </c>
      <c r="W188" s="405">
        <f>SUM(U188:V188)</f>
        <v/>
      </c>
      <c r="X188" s="406">
        <f>SUM(T188,W188)</f>
        <v/>
      </c>
    </row>
    <row r="189" ht="11.25" customFormat="1" customHeight="1" s="37">
      <c r="B189" s="31">
        <f>B188+1</f>
        <v/>
      </c>
      <c r="C189" s="32" t="n">
        <v>15924</v>
      </c>
      <c r="D189" s="66" t="inlineStr">
        <is>
          <t>괴정제일</t>
        </is>
      </c>
      <c r="E189" s="67" t="inlineStr">
        <is>
          <t>괴정제일셀프</t>
        </is>
      </c>
      <c r="F189" s="35" t="inlineStr">
        <is>
          <t>운영</t>
        </is>
      </c>
      <c r="G189" s="35" t="inlineStr">
        <is>
          <t>부산</t>
        </is>
      </c>
      <c r="H189" s="36" t="inlineStr">
        <is>
          <t>부산 사하구 괴정3동 273-3</t>
        </is>
      </c>
      <c r="K189" s="407">
        <f>$K$192*L189</f>
        <v/>
      </c>
      <c r="L189" s="39" t="n">
        <v>0.003987633323429392</v>
      </c>
      <c r="M189" s="408">
        <f>$M$192*N189</f>
        <v/>
      </c>
      <c r="N189" s="41" t="n">
        <v>0.003611954047477705</v>
      </c>
      <c r="O189" s="408">
        <f>$O$192*P189</f>
        <v/>
      </c>
      <c r="P189" s="42" t="n">
        <v>0.002258085980488326</v>
      </c>
      <c r="Q189" s="409">
        <f>M189+O189</f>
        <v/>
      </c>
      <c r="R189" s="410">
        <f>K189+Q189</f>
        <v/>
      </c>
      <c r="T189" s="403" t="n">
        <v>3500000000</v>
      </c>
      <c r="U189" s="404" t="n">
        <v>164000000</v>
      </c>
      <c r="V189" s="404" t="n">
        <v>87000000</v>
      </c>
      <c r="W189" s="405">
        <f>SUM(U189:V189)</f>
        <v/>
      </c>
      <c r="X189" s="406">
        <f>SUM(T189,W189)</f>
        <v/>
      </c>
    </row>
    <row r="190" ht="11.25" customHeight="1" s="308">
      <c r="B190" s="45">
        <f>B189+1</f>
        <v/>
      </c>
      <c r="C190" s="46" t="n">
        <v>10500</v>
      </c>
      <c r="D190" s="80" t="inlineStr">
        <is>
          <t>SK Self</t>
        </is>
      </c>
      <c r="E190" s="81" t="inlineStr">
        <is>
          <t>연산셀프</t>
        </is>
      </c>
      <c r="F190" s="49" t="inlineStr">
        <is>
          <t>운영</t>
        </is>
      </c>
      <c r="G190" s="49" t="inlineStr">
        <is>
          <t>부산</t>
        </is>
      </c>
      <c r="H190" s="50" t="inlineStr">
        <is>
          <t>부산 연제구 거제1동 1-1</t>
        </is>
      </c>
      <c r="K190" s="403">
        <f>$K$192*L190</f>
        <v/>
      </c>
      <c r="L190" s="25" t="n">
        <v>0.02744590493520962</v>
      </c>
      <c r="M190" s="404">
        <f>$M$192*N190</f>
        <v/>
      </c>
      <c r="N190" s="27" t="n">
        <v>0.01797046633902083</v>
      </c>
      <c r="O190" s="404">
        <f>$O$192*P190</f>
        <v/>
      </c>
      <c r="P190" s="28" t="n">
        <v>0.007015822102230401</v>
      </c>
      <c r="Q190" s="405">
        <f>M190+O190</f>
        <v/>
      </c>
      <c r="R190" s="406">
        <f>K190+Q190</f>
        <v/>
      </c>
      <c r="T190" s="403" t="n">
        <v>24085000000</v>
      </c>
      <c r="U190" s="404" t="n">
        <v>816000000</v>
      </c>
      <c r="V190" s="404" t="n">
        <v>269000000</v>
      </c>
      <c r="W190" s="405">
        <f>SUM(U190:V190)</f>
        <v/>
      </c>
      <c r="X190" s="406">
        <f>SUM(T190,W190)</f>
        <v/>
      </c>
    </row>
    <row r="191" ht="11.25" customFormat="1" customHeight="1" s="57" thickBot="1">
      <c r="B191" s="51">
        <f>B190+1</f>
        <v/>
      </c>
      <c r="C191" s="52" t="n">
        <v>32813</v>
      </c>
      <c r="D191" s="53" t="inlineStr">
        <is>
          <t>행복가득 Self</t>
        </is>
      </c>
      <c r="E191" s="54" t="inlineStr">
        <is>
          <t>반송대로셀프</t>
        </is>
      </c>
      <c r="F191" s="55" t="inlineStr">
        <is>
          <t>운영</t>
        </is>
      </c>
      <c r="G191" s="55" t="inlineStr">
        <is>
          <t>부산</t>
        </is>
      </c>
      <c r="H191" s="56" t="inlineStr">
        <is>
          <t>부산 해운대구 반송동 15-9</t>
        </is>
      </c>
      <c r="K191" s="424">
        <f>$K$192*L191</f>
        <v/>
      </c>
      <c r="L191" s="85" t="n">
        <v>0.003139259810117359</v>
      </c>
      <c r="M191" s="425">
        <f>$M$192*N191</f>
        <v/>
      </c>
      <c r="N191" s="87" t="n">
        <v>0.004056155360428151</v>
      </c>
      <c r="O191" s="425">
        <f>$O$192*P191</f>
        <v/>
      </c>
      <c r="P191" s="88" t="n">
        <v>0.003485357816758024</v>
      </c>
      <c r="Q191" s="426">
        <f>M191+O191</f>
        <v/>
      </c>
      <c r="R191" s="427">
        <f>K191+Q191</f>
        <v/>
      </c>
      <c r="T191" s="411" t="n">
        <v>2755000000</v>
      </c>
      <c r="U191" s="412" t="n">
        <v>184000000</v>
      </c>
      <c r="V191" s="412" t="n">
        <v>134000000</v>
      </c>
      <c r="W191" s="413">
        <f>SUM(U191:V191)</f>
        <v/>
      </c>
      <c r="X191" s="414">
        <f>SUM(T191,W191)</f>
        <v/>
      </c>
    </row>
    <row r="192" ht="12" customHeight="1" s="308" thickBot="1">
      <c r="B192" s="428" t="n"/>
      <c r="C192" s="429" t="n"/>
      <c r="D192" s="429" t="n"/>
      <c r="E192" s="429" t="n"/>
      <c r="F192" s="430" t="n">
        <v>187</v>
      </c>
      <c r="G192" s="430" t="n"/>
      <c r="H192" s="431" t="n"/>
      <c r="K192" s="432" t="n">
        <v>927428356853.5</v>
      </c>
      <c r="L192" s="433" t="n"/>
      <c r="M192" s="433" t="n">
        <v>49560764853.71562</v>
      </c>
      <c r="N192" s="95" t="n"/>
      <c r="O192" s="433" t="n">
        <v>40512567435.28438</v>
      </c>
      <c r="P192" s="95" t="n"/>
      <c r="Q192" s="434">
        <f>M192+O192</f>
        <v/>
      </c>
      <c r="R192" s="435">
        <f>K192+Q192</f>
        <v/>
      </c>
      <c r="T192" s="436">
        <f>SUM(T5:T191)</f>
        <v/>
      </c>
      <c r="U192" s="437">
        <f>SUM(U5:U191)</f>
        <v/>
      </c>
      <c r="V192" s="437">
        <f>SUM(V5:V191)</f>
        <v/>
      </c>
      <c r="W192" s="437">
        <f>SUM(W5:W191)</f>
        <v/>
      </c>
      <c r="X192" s="438">
        <f>SUM(T192:V192)</f>
        <v/>
      </c>
    </row>
    <row r="193">
      <c r="T193" s="439" t="n"/>
      <c r="U193" s="439" t="n"/>
      <c r="V193" s="439" t="n"/>
      <c r="W193" s="439" t="n"/>
      <c r="X193" s="440" t="n"/>
    </row>
    <row r="224" ht="9.6" customHeight="1" s="308"/>
  </sheetData>
  <mergeCells count="12">
    <mergeCell ref="E2:E4"/>
    <mergeCell ref="O3:P3"/>
    <mergeCell ref="T2:X2"/>
    <mergeCell ref="C2:C4"/>
    <mergeCell ref="F2:F4"/>
    <mergeCell ref="G2:G4"/>
    <mergeCell ref="H2:H4"/>
    <mergeCell ref="K2:R2"/>
    <mergeCell ref="M3:N3"/>
    <mergeCell ref="B2:B4"/>
    <mergeCell ref="D2:D4"/>
    <mergeCell ref="K3:L3"/>
  </mergeCells>
  <hyperlinks>
    <hyperlink ref="D5" location="'1.(강동구)고속'!A1" display="고속"/>
    <hyperlink ref="D6" location="'2.(강동구)명일'!A1" display="명일"/>
    <hyperlink ref="D7" location="'3.(강서구)해바라기'!A1" display="해바라기(서울강서)"/>
    <hyperlink ref="D8" location="'4.(광진구)장호'!A1" display="장호"/>
    <hyperlink ref="D9" location="'5.(광진구)대명'!A1" display="대명"/>
    <hyperlink ref="D10" location="'6.(금천구)순환도로'!A1" display="순환도로"/>
    <hyperlink ref="D11" location="'7.(노원구)하계'!A1" display="하계"/>
    <hyperlink ref="D12" location="'8.(동작구)흑석동'!A1" display="흑석동"/>
    <hyperlink ref="D13" location="'9.(마포구)Happy Auto'!A1" display="Happy Auto"/>
    <hyperlink ref="D14" location="'10.(성북구)아리랑'!A1" display="아리랑"/>
    <hyperlink ref="D15" location="'11.(성북구)북악'!A1" display="북악"/>
    <hyperlink ref="D16" location="'12.(송파구)서원'!A1" display="서원"/>
    <hyperlink ref="D17" location="'13.(송파구)올림픽'!A1" display="올림픽"/>
    <hyperlink ref="D18" location="'14.(양천구)SKOK'!A1" display="SKOK(서울양천)"/>
    <hyperlink ref="D19" location="'15.(양천구)남부'!A1" display="남부(신월)"/>
    <hyperlink ref="D20" location="'16.(영등포구)윈윈'!A1" display="윈윈"/>
    <hyperlink ref="D21" location="'17.(용산구)강변'!A1" display="강변(용산)"/>
    <hyperlink ref="D22" location="'18.(용산구)SK흥국'!A1" display="SK흥국"/>
    <hyperlink ref="D23" location="'19.(종로구)재동'!A1" display="재동"/>
    <hyperlink ref="D24" location="'20.(서대문구)독립문'!A1" display="독립문"/>
    <hyperlink ref="D25" location="'21.(고양시덕양구)삼일'!A1" display="삼일"/>
    <hyperlink ref="D26" location="'22.(고양시덕양구)레이디스'!A1" display="레이디스"/>
    <hyperlink ref="D27" location="'23.(고양시일산동구)유공판매'!A1" display="유공판매"/>
    <hyperlink ref="D28" location="'24.(고양시일산서구)유공'!A1" display="유공(고양)"/>
    <hyperlink ref="D29" location="'25.(광주시)새광주'!A1" display="새광주"/>
    <hyperlink ref="D30" location="'26.(구리시)토평'!A1" display="토평"/>
    <hyperlink ref="D31" location="'27.(김포시)김포'!A1" display="김포"/>
    <hyperlink ref="D32" location="'28.(남양주시)강변'!A1" display="강변(남양주)"/>
    <hyperlink ref="D33" location="'29.(부천시)SK상동'!A1" display="SK상동"/>
    <hyperlink ref="D34" location="'30.(부천시)중동대로'!A1" display="중동대로"/>
    <hyperlink ref="D35" location="'31.(부천시)부천'!A1" display="부천"/>
    <hyperlink ref="D36" location="'32.(성남시분당구)분당'!A1" display="분당"/>
    <hyperlink ref="D37" location="'33.(성남시분당구)수내동'!A1" display="수내동"/>
    <hyperlink ref="D38" location="'34.(성남시분당구)이매동'!A1" display="이매동"/>
    <hyperlink ref="D39" location="'35.(성남시수정구)남문'!A1" display="남문"/>
    <hyperlink ref="D40" location="'36.(수원시영통구)영통제일'!A1" display="영통제일"/>
    <hyperlink ref="D41" location="'37.(수원시영통구)갤럭시'!A1" display="갤럭시(구.애니콜)"/>
    <hyperlink ref="D42" location="'38.(수원시장안구)송죽동'!A1" display="송죽동"/>
    <hyperlink ref="D43" location="'39.(수원시장안구)장안'!A1" display="장안(경기수원)"/>
    <hyperlink ref="D44" location="'40.(수원시장안구)북수원'!A1" display="북수원"/>
    <hyperlink ref="D45" location="'41.(수원시장안구)천천'!A1" display="천천"/>
    <hyperlink ref="D46" location="'42.(시흥시)군자'!A1" display="군자"/>
    <hyperlink ref="D47" location="'43.(시흥시)목감'!A1" display="목감"/>
    <hyperlink ref="D48" location="'44.(안산시단원구)안산공원'!A1" display="안산공원"/>
    <hyperlink ref="D49" location="'45.(안산시상록구)신도시'!A1" display="신도시(경기안산)"/>
    <hyperlink ref="D50" location="'46.(안산시단원구)제이'!A1" display="제이"/>
    <hyperlink ref="D51" location="'47.(안산시단원구)동양'!A1" display="동양"/>
    <hyperlink ref="D52" location="'48.(안산시단원구)중앙'!A1" display="중앙(경기안산)"/>
    <hyperlink ref="D53" location="'49.(안산시상록구)반월'!A1" display="반월"/>
    <hyperlink ref="D54" location="'50.(안산시상록구)팔곡'!A1" display="팔곡"/>
    <hyperlink ref="D55" location="'51.(안성시)안평'!A1" display="안평"/>
    <hyperlink ref="D56" location="'52.(안양시동안구)새관양'!A1" display="새관양"/>
    <hyperlink ref="D57" location="'53.(안양시동안구)비산'!A1" display="비산"/>
    <hyperlink ref="D58" location="'54.(안양시동안구)호계'!A1" display="호계"/>
    <hyperlink ref="D59" location="'55.(안양시만안구)석수동'!A1" display="석수동"/>
    <hyperlink ref="D60" location="'56.(안양시만안구)목련'!A1" display="목련"/>
    <hyperlink ref="D61" location="'57.(양주시)드림셀프'!A1" display="드림셀프"/>
    <hyperlink ref="D62" location="'58.(오산시)원동'!A1" display="원동"/>
    <hyperlink ref="D63" location="'59.(용인시기흥구)동백스카이'!A1" display="동백스카이"/>
    <hyperlink ref="D64" location="'60.(용인시기흥구)구갈SS'!A1" display="구갈S/S"/>
    <hyperlink ref="D65" location="'61.(용인시기흥구)기흥톨게이트'!A1" display="기흥톨게이트"/>
    <hyperlink ref="D66" location="'62.(용인시처인구)용인행복'!A1" display="용인행복"/>
    <hyperlink ref="D67" location="'63.(용인시처인구)일석삼조'!A1" display="일석삼조"/>
    <hyperlink ref="D68" location="'64.(용인시)백암'!A1" display="백암"/>
    <hyperlink ref="D69" location="'65.(용인시수지구)SK고속'!A1" display="SK고속(용인)"/>
    <hyperlink ref="D70" location="'66.(용인시수지구)클린파워'!A1" display="클린파워"/>
    <hyperlink ref="D71" location="'67.(용인시수지구)죽전'!A1" display="죽전"/>
    <hyperlink ref="D72" location="'68.(용인시처인구)SKTG'!A1" display="SKTG"/>
    <hyperlink ref="D73" location="'69.(용인시처인구)둔전'!A1" display="둔전"/>
    <hyperlink ref="D74" location="'70.(의정부시)민락'!A1" display="민락"/>
    <hyperlink ref="D75" location="'71.(이천시)한일'!A1" display="한일"/>
    <hyperlink ref="D76" location="'72.(파주시)SK교하'!A1" display="SK교하"/>
    <hyperlink ref="D77" location="'73.(평택시)SK송탄내트럭'!A1" display="SK송탄내트럭"/>
    <hyperlink ref="D78" location="'74.(평택시)중리'!A1" display="중리(경기평택)"/>
    <hyperlink ref="D79" location="'75.(평택시)경기'!A1" display="경기"/>
    <hyperlink ref="D80" location="'76.(포천시)포천대로'!A1" display="포천대로"/>
    <hyperlink ref="D81" location="'77.(화성시)삼성'!A1" display="삼성(반월리)"/>
    <hyperlink ref="D82" location="'78.(화성시)봉담톨게이트'!A1" display="봉담톨게이트"/>
    <hyperlink ref="D83" location="'79.(화성시)SK프리미엄'!A1" display="SK프리미엄"/>
    <hyperlink ref="D84" location="'80.(화성시)우영'!A1" display="우영"/>
    <hyperlink ref="D85" location="'81.(화성시)21세기'!A1" display="21세기(경기화성)"/>
    <hyperlink ref="D86" location="'82.(계양구)유화'!A1" display="유화(인천)"/>
    <hyperlink ref="D87" location="'83.(미추홀구)SK인천'!A1" display="SK인천"/>
    <hyperlink ref="D88" location="'84.(미추홀구)장미'!A1" display="장미(인천남주)"/>
    <hyperlink ref="D89" location="'85.(남동구)공단2'!A1" display="공단2"/>
    <hyperlink ref="D90" location="'86.(남동구)공단1'!A1" display="공단1"/>
    <hyperlink ref="D91" location="'87.(남동구)인천HW'!A1" display="인천HW"/>
    <hyperlink ref="D92" location="'88.(부평구)공단'!A1" display="공단(인천부평)"/>
    <hyperlink ref="D93" location="'89.(부평구)부평'!A1" display="부평"/>
    <hyperlink ref="D94" location="'90.(서구)SK서인천'!A1" display="SK서인천"/>
    <hyperlink ref="D95" location="'91.(연수구)인천대교'!A1" display="인천대교"/>
    <hyperlink ref="D96" location="'92.(연수구)송도행복'!A1" display="송도행복"/>
    <hyperlink ref="D97" location="'93.(연수구)송도역'!A1" display="송도역"/>
    <hyperlink ref="D98" location="'94.(중구)SK신공항'!A1" display="SK신공항"/>
    <hyperlink ref="D99" location="'95.(중구)영종행복'!A1" display="영종행복"/>
    <hyperlink ref="D100" location="'96.(강릉)샘터'!A1" display="샘터"/>
    <hyperlink ref="D101" location="'97.(속초)삼천리'!A1" display="삼천리"/>
    <hyperlink ref="D102" location="'98.(원주)단계'!A1" display="단계"/>
    <hyperlink ref="D103" location="'99.(원주)SK평원'!A1" display="SK평원"/>
    <hyperlink ref="D104" location="'100.(철원)신철원'!Print_Area" display="신철원"/>
    <hyperlink ref="D105" location="'101.(춘천)춘천제일'!Print_Area" display="춘천제일"/>
    <hyperlink ref="D106" location="'102.(춘천)개나리'!Print_Area" display="개나리"/>
    <hyperlink ref="D107" location="'103.(춘천)장미'!Print_Area" display="장미(강원춘천)"/>
    <hyperlink ref="D108" location="'104.(춘천)동광'!Print_Area" display="동광(강원춘천)"/>
    <hyperlink ref="D109" location="'105.(보령시)보령고속'!Print_Area" display="보령고속"/>
    <hyperlink ref="D110" location="'106.(서산시)잠흥'!Print_Area" display="잠홍"/>
    <hyperlink ref="D111" location="'107.(아산시)대성'!Print_Area" display="대성(충남아산)"/>
    <hyperlink ref="D112" location="'108.(천안시동남구)천안푸른'!Print_Area" display="천안푸른"/>
    <hyperlink ref="D113" location="'109.(천안시동남구)쌍용대로'!Print_Area" display="쌍용대로"/>
    <hyperlink ref="D114" location="'110.(천안시북구)대양'!Print_Area" display="대양"/>
    <hyperlink ref="D115" location="'111.(홍성군)SK홍성'!Print_Area" display="SK홍성"/>
    <hyperlink ref="D116" location="'112.(제천시)조양'!Print_Area" display="조양(충북체천)"/>
    <hyperlink ref="D117" location="'113.(제천시)SK제천'!Print_Area" display="SK제천"/>
    <hyperlink ref="D118" location="'114.(청주시상당구)보라매'!Print_Area" display="보라매"/>
    <hyperlink ref="D119" location="'115.(청주시상당구)수동'!Print_Area" display="수동"/>
    <hyperlink ref="D120" location="'116.(청주시상당구)동서'!Print_Area" display="동서(충북청주)"/>
    <hyperlink ref="D121" location="'117.(청주시흥덕구)서원경'!Print_Area" display="서원경"/>
    <hyperlink ref="D122" location="'118.(청주시서원구)AUTOTOWN'!Print_Area" display="AUTO TOWN"/>
    <hyperlink ref="D123" location="'119.(대덕구)호성'!Print_Area" display="호성(대전대덕)"/>
    <hyperlink ref="D124" location="'120.(대덕구)동남'!Print_Area" display="동남"/>
    <hyperlink ref="D125" location="'121.(대덕구)공단'!Print_Area" display="공단(대전대덕)"/>
    <hyperlink ref="D126" location="'122.(대덕구)럭키'!Print_Area" display="럭키(대전대덕)"/>
    <hyperlink ref="D127" location="'124.(동구)동원'!Print_Area" display="동원(대전동삼)"/>
    <hyperlink ref="D128" location="'125.(동구)셀프스토리'!Print_Area" display="셀프스토리(SK푸른)"/>
    <hyperlink ref="D129" location="'126.(서구)SK대전청사'!Print_Area" display="SK대전청사"/>
    <hyperlink ref="D130" location="'127.(유성구)노은'!Print_Area" display="노은"/>
    <hyperlink ref="D131" location="'128.(유성구)대전첨단'!Print_Area" display="대전첨단"/>
    <hyperlink ref="D132" location="'129.(유성구)스마트'!Print_Area" display="스마트"/>
    <hyperlink ref="D133" location="'130.(유성구)SK세종'!Print_Area" display="SK세종"/>
    <hyperlink ref="D134" location="'131.(중구)대전'!Print_Area" display="대전"/>
    <hyperlink ref="D135" location="'132.(중구)중촌'!Print_Area" display="중촌"/>
    <hyperlink ref="D136" location="'133.(여수시)구봉산'!Print_Area" display="구봉산(장미)"/>
    <hyperlink ref="D137" location="'134.(군산시)산북'!Print_Area" display="산북"/>
    <hyperlink ref="D138" location="'135.(익산시)무궁화'!Print_Area" display="무궁화(전북익산)"/>
    <hyperlink ref="D139" location="'136.(익산시)이리'!Print_Area" display="이리"/>
    <hyperlink ref="D140" location="'137.(광산구)하남제일'!Print_Area" display="하남제일"/>
    <hyperlink ref="D141" location="'138.(광산구)장덕'!Print_Area" display="장덕"/>
    <hyperlink ref="D142" location="'137.(광산구)하남제일'!Print_Area" display="백운(광주남주)"/>
    <hyperlink ref="D143" location="'140.(북구)SKOK'!Print_Area" display="SKOK(광주북동)"/>
    <hyperlink ref="D144" location="'141.(북구)양산'!Print_Area" display="양산(신)"/>
    <hyperlink ref="D145" location="'142.(북구)SK용두셀프'!Print_Area" display="sk용두셀프"/>
    <hyperlink ref="D146" location="'143.(서구)행복날개'!Print_Area" display="행복날개"/>
    <hyperlink ref="D147" location="'144.(거제시)고현'!Print_Area" display="고현"/>
    <hyperlink ref="D148" location="'145.(거제시)SK도움아주'!Print_Area" display="SK도움아주"/>
    <hyperlink ref="D149" location="'146.(김해시)무궁화self'!Print_Area" display="무궁화Self"/>
    <hyperlink ref="D150" location="'147.(김해시)김해신도시'!Print_Area" display="김해신도시 Self"/>
    <hyperlink ref="D151" location="'148.(김해시)유통단지'!Print_Area" display="유통단지(부산)"/>
    <hyperlink ref="D152" location="'149.(밀양시)SK밀양'!Print_Area" display="SK밀양"/>
    <hyperlink ref="D153" location="'150.(양산시)SK삽량'!Print_Area" display="SK삽량"/>
    <hyperlink ref="D154" location="'151.(진주시)SK진주self'!Print_Area" display="SK진주 Self"/>
    <hyperlink ref="D155" location="'152.(창원시마산회원구)SK행복한'!Print_Area" display="SK행복한"/>
    <hyperlink ref="D156" location="'153.(창원시마산회원구)극동self'!Print_Area" display="극동 Self"/>
    <hyperlink ref="D157" location="'154.(창원시진해구)녹원'!Print_Area" display="녹원"/>
    <hyperlink ref="D158" location="'155.(창원시마산합포구)해안'!Print_Area" display="해안"/>
    <hyperlink ref="D159" location="'156.(창원시마산회원구)터미널'!Print_Area" display="터미널"/>
    <hyperlink ref="D160" location="'157.(통영시)거북 '!Print_Area" display="거북"/>
    <hyperlink ref="D161" location="'158.(경산시)SK경산'!Print_Area" display="SK경산"/>
    <hyperlink ref="D162" location="'159.(경주시)새화랑'!Print_Area" display="새화랑"/>
    <hyperlink ref="D163" location="'160.(구미시)하이웨이self'!Print_Area" display="하이웨이 Self"/>
    <hyperlink ref="D164" location="'161.(칠곡군)가산IC'!Print_Area" display="가산IC"/>
    <hyperlink ref="D165" location="'163.(포항시)포항self'!Print_Area" display="포항제일"/>
    <hyperlink ref="D166" location="'163.(포항시)포항self'!Print_Area" display="포항 Self"/>
    <hyperlink ref="D167" location="'164.(남구)대잠'!Print_Area" display="대잠"/>
    <hyperlink ref="D168" location="'165.(포항시)영일대'!Print_Area" display="영일대"/>
    <hyperlink ref="D169" location="'166.(포항시)법원앞'!Print_Area" display="법원앞"/>
    <hyperlink ref="D170" location="'167.(남구)열린'!Print_Area" display="열린"/>
    <hyperlink ref="D171" location="'168.(포항시)독도랑우리랑self'!Print_Area" display="독도랑우리랑 Self"/>
    <hyperlink ref="D172" location="'169.(포항시)인덕'!Print_Area" display="인덕"/>
    <hyperlink ref="D173" location="'170.(남구)대구제일self'!Print_Area" display="대구제일 Self"/>
    <hyperlink ref="D174" location="'171.(달서구)송현self'!Print_Area" display="송현 Self"/>
    <hyperlink ref="D175" location="'172.(달서구)남대구ICself'!Print_Area" display="남대구IC Self"/>
    <hyperlink ref="D176" location="'173.(달서구)공단제일'!Print_Area" display="공단제일"/>
    <hyperlink ref="D177" location="'174.(북구)중앙self'!Print_Area" display="중앙 Self"/>
    <hyperlink ref="D178" location="'175.(북구)경대self'!Print_Area" display="경대 Self"/>
    <hyperlink ref="D179" location="'176.(수성구)SK제일self'!Print_Area" display="SK제일 Self"/>
    <hyperlink ref="D180" location="'178.(북구)동광'!Print_Area" display="동광"/>
    <hyperlink ref="D181" location="'179.(울주군)대성'!Print_Area" display="대성"/>
    <hyperlink ref="D182" location="'180.(중구)SK성안self'!Print_Area" display="SK성안 Self"/>
    <hyperlink ref="D183" location="'181.(금정구)금사'!Print_Area" display="금사"/>
    <hyperlink ref="D184" location="'182.(남구)박물관'!Print_Area" display="박물관"/>
    <hyperlink ref="D185" location="'183.(남구)명성'!Print_Area" display="명성"/>
    <hyperlink ref="D186" location="'184.(동래구)안락self'!Print_Area" display="안락 Self"/>
    <hyperlink ref="D187" location="'185.(동래구)SK동래'!Print_Area" display="SK동래"/>
    <hyperlink ref="D188" location="'186.(사상구)강변'!Print_Area" display="강변"/>
    <hyperlink ref="D189" location="'187.(사하구)괴정제일'!Print_Area" display="괴정제일"/>
    <hyperlink ref="D190" location="'188.(연제구)SKself'!Print_Area" display="SK Self"/>
    <hyperlink ref="D191" location="'189.(해운대구)행복가득self'!Print_Area" display="행복가득 Self"/>
  </hyperlink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E37"/>
  <sheetViews>
    <sheetView topLeftCell="A16" workbookViewId="0">
      <selection activeCell="B25" sqref="B25"/>
    </sheetView>
  </sheetViews>
  <sheetFormatPr baseColWidth="8" defaultRowHeight="16.5"/>
  <cols>
    <col width="34.375" customWidth="1" style="308" min="1" max="2"/>
    <col width="29" customWidth="1" style="308" min="3" max="3"/>
    <col width="19.5" bestFit="1" customWidth="1" style="308" min="4" max="4"/>
    <col width="14.625" customWidth="1" style="308" min="5" max="5"/>
  </cols>
  <sheetData>
    <row r="2">
      <c r="A2" s="105" t="inlineStr">
        <is>
          <t>부록 7</t>
        </is>
      </c>
      <c r="B2" s="105" t="n"/>
    </row>
    <row r="3" ht="18.75" customHeight="1" s="308">
      <c r="A3" s="106" t="inlineStr">
        <is>
          <t>대출금의 지역별 상환 비율</t>
        </is>
      </c>
      <c r="B3" s="106" t="n"/>
    </row>
    <row r="4">
      <c r="A4" s="107" t="n"/>
      <c r="B4" s="107" t="n"/>
    </row>
    <row r="5">
      <c r="A5" s="108" t="n">
        <v>1</v>
      </c>
      <c r="B5" s="108" t="n"/>
      <c r="C5" s="108" t="inlineStr">
        <is>
          <t>Tranche A 대출금</t>
        </is>
      </c>
    </row>
    <row r="6" ht="17.25" customHeight="1" s="308" thickBot="1">
      <c r="A6" s="109" t="n"/>
      <c r="B6" s="109" t="n"/>
    </row>
    <row r="7" ht="17.25" customHeight="1" s="308" thickBot="1">
      <c r="A7" s="110" t="inlineStr">
        <is>
          <t>지역</t>
        </is>
      </c>
      <c r="B7" s="110" t="inlineStr">
        <is>
          <t>지역</t>
        </is>
      </c>
      <c r="C7" s="111" t="inlineStr">
        <is>
          <t>담보가액</t>
        </is>
      </c>
      <c r="D7" s="111" t="inlineStr">
        <is>
          <t>최종 상환비율</t>
        </is>
      </c>
      <c r="E7" s="111" t="inlineStr">
        <is>
          <t>상환 대상액</t>
        </is>
      </c>
    </row>
    <row r="8" ht="17.25" customHeight="1" s="308" thickBot="1">
      <c r="A8" s="112" t="inlineStr">
        <is>
          <t>서울특별시</t>
        </is>
      </c>
      <c r="B8" s="145" t="inlineStr">
        <is>
          <t>서울</t>
        </is>
      </c>
      <c r="C8" s="113" t="n">
        <v>252005592870</v>
      </c>
      <c r="D8" s="114" t="n">
        <v>0.495</v>
      </c>
      <c r="E8" s="113" t="n">
        <v>124749000000</v>
      </c>
    </row>
    <row r="9" ht="17.25" customHeight="1" s="308" thickBot="1">
      <c r="A9" s="112" t="inlineStr">
        <is>
          <t>경기도</t>
        </is>
      </c>
      <c r="B9" s="145" t="inlineStr">
        <is>
          <t>경기</t>
        </is>
      </c>
      <c r="C9" s="113" t="n">
        <v>344123749000</v>
      </c>
      <c r="D9" s="114" t="n">
        <v>0.495</v>
      </c>
      <c r="E9" s="113" t="n">
        <v>170368000000</v>
      </c>
    </row>
    <row r="10" ht="17.25" customHeight="1" s="308" thickBot="1">
      <c r="A10" s="112" t="inlineStr">
        <is>
          <t>인천광역시</t>
        </is>
      </c>
      <c r="B10" s="145" t="inlineStr">
        <is>
          <t>인천</t>
        </is>
      </c>
      <c r="C10" s="113" t="n">
        <v>114219899770</v>
      </c>
      <c r="D10" s="114" t="n">
        <v>0.495</v>
      </c>
      <c r="E10" s="113" t="n">
        <v>56546000000</v>
      </c>
    </row>
    <row r="11" ht="17.25" customHeight="1" s="308" thickBot="1">
      <c r="A11" s="112" t="inlineStr">
        <is>
          <t>광주광역시</t>
        </is>
      </c>
      <c r="B11" s="145" t="inlineStr">
        <is>
          <t>광주</t>
        </is>
      </c>
      <c r="C11" s="113" t="n">
        <v>22364057570</v>
      </c>
      <c r="D11" s="114" t="n">
        <v>0.44</v>
      </c>
      <c r="E11" s="113" t="n">
        <v>9843000000</v>
      </c>
    </row>
    <row r="12" ht="17.25" customHeight="1" s="308" thickBot="1">
      <c r="A12" s="112" t="inlineStr">
        <is>
          <t>대전광역시</t>
        </is>
      </c>
      <c r="B12" s="145" t="inlineStr">
        <is>
          <t>대전</t>
        </is>
      </c>
      <c r="C12" s="113" t="n">
        <v>51999174950</v>
      </c>
      <c r="D12" s="114" t="n">
        <v>0.44</v>
      </c>
      <c r="E12" s="113" t="n">
        <v>22885000000</v>
      </c>
    </row>
    <row r="13" ht="17.25" customHeight="1" s="308" thickBot="1">
      <c r="A13" s="112" t="inlineStr">
        <is>
          <t>부산광역시</t>
        </is>
      </c>
      <c r="B13" s="145" t="inlineStr">
        <is>
          <t>부산</t>
        </is>
      </c>
      <c r="C13" s="113" t="n">
        <v>78307139580</v>
      </c>
      <c r="D13" s="114" t="n">
        <v>0.44</v>
      </c>
      <c r="E13" s="113" t="n">
        <v>34459000000</v>
      </c>
    </row>
    <row r="14" ht="17.25" customHeight="1" s="308" thickBot="1">
      <c r="A14" s="112" t="inlineStr">
        <is>
          <t>대구광역시</t>
        </is>
      </c>
      <c r="B14" s="145" t="inlineStr">
        <is>
          <t>대구</t>
        </is>
      </c>
      <c r="C14" s="113" t="n">
        <v>50610358410</v>
      </c>
      <c r="D14" s="114" t="n">
        <v>0.44</v>
      </c>
      <c r="E14" s="113" t="n">
        <v>22272000000</v>
      </c>
    </row>
    <row r="15" ht="17.25" customHeight="1" s="308" thickBot="1">
      <c r="A15" s="112" t="inlineStr">
        <is>
          <t>울산광역시</t>
        </is>
      </c>
      <c r="B15" s="145" t="inlineStr">
        <is>
          <t>울산</t>
        </is>
      </c>
      <c r="C15" s="113" t="n">
        <v>9739606000</v>
      </c>
      <c r="D15" s="114" t="n">
        <v>0.44</v>
      </c>
      <c r="E15" s="113" t="n">
        <v>4286000000</v>
      </c>
    </row>
    <row r="16" ht="17.25" customHeight="1" s="308" thickBot="1">
      <c r="A16" s="112" t="inlineStr">
        <is>
          <t>전라남도</t>
        </is>
      </c>
      <c r="B16" s="145" t="inlineStr">
        <is>
          <t>전남</t>
        </is>
      </c>
      <c r="C16" s="113" t="n">
        <v>1779828650</v>
      </c>
      <c r="D16" s="114" t="n">
        <v>0.385</v>
      </c>
      <c r="E16" s="113" t="n">
        <v>686000000</v>
      </c>
    </row>
    <row r="17" ht="17.25" customHeight="1" s="308" thickBot="1">
      <c r="A17" s="112" t="inlineStr">
        <is>
          <t>강원도</t>
        </is>
      </c>
      <c r="B17" s="145" t="inlineStr">
        <is>
          <t>강원</t>
        </is>
      </c>
      <c r="C17" s="113" t="n">
        <v>15102149090</v>
      </c>
      <c r="D17" s="114" t="n">
        <v>0.385</v>
      </c>
      <c r="E17" s="113" t="n">
        <v>5817000000</v>
      </c>
    </row>
    <row r="18" ht="17.25" customHeight="1" s="308" thickBot="1">
      <c r="A18" s="112" t="inlineStr">
        <is>
          <t>충청북도</t>
        </is>
      </c>
      <c r="B18" s="145" t="inlineStr">
        <is>
          <t>충북</t>
        </is>
      </c>
      <c r="C18" s="113" t="n">
        <v>26069964120</v>
      </c>
      <c r="D18" s="114" t="n">
        <v>0.385</v>
      </c>
      <c r="E18" s="113" t="n">
        <v>10041000000</v>
      </c>
    </row>
    <row r="19" ht="17.25" customHeight="1" s="308" thickBot="1">
      <c r="A19" s="112" t="inlineStr">
        <is>
          <t>충청남도</t>
        </is>
      </c>
      <c r="B19" s="145" t="inlineStr">
        <is>
          <t>충남</t>
        </is>
      </c>
      <c r="C19" s="113" t="n">
        <v>20341056470</v>
      </c>
      <c r="D19" s="114" t="n">
        <v>0.385</v>
      </c>
      <c r="E19" s="113" t="n">
        <v>7834000000</v>
      </c>
    </row>
    <row r="20" ht="17.25" customHeight="1" s="308" thickBot="1">
      <c r="A20" s="112" t="inlineStr">
        <is>
          <t>전라북도</t>
        </is>
      </c>
      <c r="B20" s="145" t="inlineStr">
        <is>
          <t>전북</t>
        </is>
      </c>
      <c r="C20" s="113" t="n">
        <v>3418356000</v>
      </c>
      <c r="D20" s="114" t="n">
        <v>0.385</v>
      </c>
      <c r="E20" s="113" t="n">
        <v>1317000000</v>
      </c>
    </row>
    <row r="21" ht="17.25" customHeight="1" s="308" thickBot="1">
      <c r="A21" s="112" t="inlineStr">
        <is>
          <t>경상북도</t>
        </is>
      </c>
      <c r="B21" s="145" t="inlineStr">
        <is>
          <t>경북</t>
        </is>
      </c>
      <c r="C21" s="113" t="n">
        <v>38582082980</v>
      </c>
      <c r="D21" s="114" t="n">
        <v>0.385</v>
      </c>
      <c r="E21" s="113" t="n">
        <v>14860000000</v>
      </c>
    </row>
    <row r="22" ht="17.25" customHeight="1" s="308" thickBot="1">
      <c r="A22" s="112" t="inlineStr">
        <is>
          <t>경상남도</t>
        </is>
      </c>
      <c r="B22" s="145" t="inlineStr">
        <is>
          <t>경남</t>
        </is>
      </c>
      <c r="C22" s="113" t="n">
        <v>42951015660</v>
      </c>
      <c r="D22" s="114" t="n">
        <v>0.385</v>
      </c>
      <c r="E22" s="113" t="n">
        <v>16542000000</v>
      </c>
    </row>
    <row r="23" ht="17.25" customHeight="1" s="308" thickBot="1">
      <c r="A23" s="112" t="inlineStr">
        <is>
          <t>기타</t>
        </is>
      </c>
      <c r="B23" s="145" t="inlineStr">
        <is>
          <t>기타</t>
        </is>
      </c>
      <c r="C23" s="113" t="n">
        <v>6459660710</v>
      </c>
      <c r="D23" s="115" t="n"/>
      <c r="E23" s="113" t="n">
        <v>23295000000</v>
      </c>
    </row>
    <row r="24" ht="17.25" customHeight="1" s="308" thickBot="1">
      <c r="A24" s="116" t="inlineStr">
        <is>
          <t>합 계</t>
        </is>
      </c>
      <c r="B24" s="146" t="n"/>
      <c r="C24" s="117" t="n">
        <v>1078073691830</v>
      </c>
      <c r="D24" s="118" t="n"/>
      <c r="E24" s="117" t="n">
        <v>525800000000</v>
      </c>
    </row>
    <row r="25" ht="36" customHeight="1" s="308">
      <c r="A25" s="119" t="inlineStr">
        <is>
          <t xml:space="preserve">단, 경수대로,제이셀프,아산셀프,동래(이하 총칭하여 “기타자산”)에 대해서는 본 지역별 상환비율이 아닌 하기 2.기타자산 상환대상액을 적용한다. </t>
        </is>
      </c>
      <c r="B25" s="119" t="n"/>
    </row>
    <row r="26">
      <c r="A26" s="107" t="n"/>
      <c r="B26" s="107" t="n"/>
    </row>
    <row r="27">
      <c r="A27" s="107" t="n"/>
      <c r="B27" s="107" t="n"/>
    </row>
    <row r="28">
      <c r="A28" s="107" t="n"/>
      <c r="B28" s="107" t="n"/>
    </row>
    <row r="29">
      <c r="A29" s="108" t="n">
        <v>2</v>
      </c>
      <c r="B29" s="108" t="n"/>
      <c r="C29" s="105" t="inlineStr">
        <is>
          <t>기타자산 상환대상액(세부내역)</t>
        </is>
      </c>
    </row>
    <row r="30" ht="17.25" customHeight="1" s="308" thickBot="1">
      <c r="A30" s="109" t="n"/>
      <c r="B30" s="109" t="n"/>
    </row>
    <row r="31" ht="17.25" customHeight="1" s="308" thickBot="1">
      <c r="A31" s="110" t="inlineStr">
        <is>
          <t>지역</t>
        </is>
      </c>
      <c r="B31" s="111" t="n"/>
      <c r="C31" s="111" t="inlineStr">
        <is>
          <t>매입가</t>
        </is>
      </c>
      <c r="D31" s="111" t="inlineStr">
        <is>
          <t>상환비율(매입가 대비)</t>
        </is>
      </c>
      <c r="E31" s="111" t="inlineStr">
        <is>
          <t>상환 대상액</t>
        </is>
      </c>
    </row>
    <row r="32" ht="17.25" customHeight="1" s="308" thickBot="1">
      <c r="A32" s="112" t="inlineStr">
        <is>
          <t>경수대로</t>
        </is>
      </c>
      <c r="B32" s="145" t="inlineStr">
        <is>
          <t>기타</t>
        </is>
      </c>
      <c r="C32" s="113" t="n">
        <v>13461000000</v>
      </c>
      <c r="D32" s="120" t="n">
        <v>0.668</v>
      </c>
      <c r="E32" s="113" t="n">
        <v>8991000000</v>
      </c>
    </row>
    <row r="33" ht="17.25" customHeight="1" s="308" thickBot="1">
      <c r="A33" s="112" t="inlineStr">
        <is>
          <t>제이셀프</t>
        </is>
      </c>
      <c r="B33" s="145" t="inlineStr">
        <is>
          <t>기타</t>
        </is>
      </c>
      <c r="C33" s="113" t="n">
        <v>4755000000</v>
      </c>
      <c r="D33" s="120" t="n">
        <v>0.668</v>
      </c>
      <c r="E33" s="113" t="n">
        <v>3176000000</v>
      </c>
    </row>
    <row r="34" ht="17.25" customHeight="1" s="308" thickBot="1">
      <c r="A34" s="112" t="inlineStr">
        <is>
          <t>아산셀프</t>
        </is>
      </c>
      <c r="B34" s="145" t="inlineStr">
        <is>
          <t>기타</t>
        </is>
      </c>
      <c r="C34" s="113" t="n">
        <v>7205000000</v>
      </c>
      <c r="D34" s="120" t="n">
        <v>0.668</v>
      </c>
      <c r="E34" s="113" t="n">
        <v>4813000000</v>
      </c>
    </row>
    <row r="35" ht="17.25" customHeight="1" s="308" thickBot="1">
      <c r="A35" s="112" t="inlineStr">
        <is>
          <t>동래</t>
        </is>
      </c>
      <c r="B35" s="145" t="inlineStr">
        <is>
          <t>기타</t>
        </is>
      </c>
      <c r="C35" s="113" t="n">
        <v>9456000000</v>
      </c>
      <c r="D35" s="120" t="n">
        <v>0.668</v>
      </c>
      <c r="E35" s="113" t="n">
        <v>6315000000</v>
      </c>
    </row>
    <row r="36" ht="17.25" customHeight="1" s="308" thickBot="1">
      <c r="A36" s="112" t="inlineStr">
        <is>
          <t>합계</t>
        </is>
      </c>
      <c r="B36" s="145" t="n"/>
      <c r="C36" s="113" t="n">
        <v>34877000000</v>
      </c>
      <c r="D36" s="121" t="n"/>
      <c r="E36" s="113" t="n">
        <v>23295000000</v>
      </c>
    </row>
    <row r="37">
      <c r="A37" s="107" t="n"/>
      <c r="B37" s="107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view="pageBreakPreview" zoomScale="130" zoomScaleNormal="100" zoomScaleSheetLayoutView="130" workbookViewId="0">
      <selection activeCell="B19" sqref="B19:B22"/>
    </sheetView>
  </sheetViews>
  <sheetFormatPr baseColWidth="8" defaultRowHeight="16.5"/>
  <cols>
    <col width="2.25" customWidth="1" style="308" min="1" max="1"/>
    <col width="18.625" bestFit="1" customWidth="1" style="308" min="2" max="2"/>
    <col width="11" customWidth="1" style="308" min="3" max="3"/>
    <col width="16.75" customWidth="1" style="308" min="4" max="6"/>
    <col width="2.25" customWidth="1" style="308" min="7" max="7"/>
  </cols>
  <sheetData>
    <row r="1" ht="16.9" customHeight="1" s="308">
      <c r="A1" s="148" t="n"/>
      <c r="B1" s="148" t="n"/>
      <c r="C1" s="148" t="n"/>
      <c r="D1" s="148" t="n"/>
      <c r="E1" s="148" t="n"/>
      <c r="F1" s="148" t="n"/>
      <c r="G1" s="148" t="n"/>
    </row>
    <row r="2">
      <c r="A2" s="148" t="n"/>
      <c r="B2" s="149" t="inlineStr">
        <is>
          <t>■ 지역별 상환비율</t>
        </is>
      </c>
      <c r="C2" s="148" t="n"/>
      <c r="D2" s="148" t="n"/>
      <c r="E2" s="148" t="n"/>
      <c r="F2" s="148" t="n"/>
      <c r="G2" s="148" t="n"/>
    </row>
    <row r="3">
      <c r="A3" s="148" t="n"/>
      <c r="B3" s="150" t="inlineStr">
        <is>
          <t>지역</t>
        </is>
      </c>
      <c r="C3" s="150" t="n"/>
      <c r="D3" s="150" t="inlineStr">
        <is>
          <t>담보가액</t>
        </is>
      </c>
      <c r="E3" s="150" t="inlineStr">
        <is>
          <t>상환대상액</t>
        </is>
      </c>
      <c r="F3" s="150" t="inlineStr">
        <is>
          <t>최종 상환비율</t>
        </is>
      </c>
      <c r="G3" s="148" t="n"/>
    </row>
    <row r="4">
      <c r="A4" s="148" t="n"/>
      <c r="B4" s="147" t="inlineStr">
        <is>
          <t>서울특별시</t>
        </is>
      </c>
      <c r="C4" s="147" t="inlineStr">
        <is>
          <t>서울</t>
        </is>
      </c>
      <c r="D4" s="441" t="n">
        <v>252005592870</v>
      </c>
      <c r="E4" s="441" t="n">
        <v>124749000000</v>
      </c>
      <c r="F4" s="442" t="n">
        <v>0.495</v>
      </c>
      <c r="G4" s="148" t="n"/>
    </row>
    <row r="5">
      <c r="A5" s="148" t="n"/>
      <c r="B5" s="147" t="inlineStr">
        <is>
          <t>경기도</t>
        </is>
      </c>
      <c r="C5" s="147" t="inlineStr">
        <is>
          <t>경기</t>
        </is>
      </c>
      <c r="D5" s="441" t="n">
        <v>344123749000</v>
      </c>
      <c r="E5" s="441" t="n">
        <v>170368000000</v>
      </c>
      <c r="F5" s="442" t="n">
        <v>0.495</v>
      </c>
      <c r="G5" s="148" t="n"/>
    </row>
    <row r="6">
      <c r="A6" s="148" t="n"/>
      <c r="B6" s="147" t="inlineStr">
        <is>
          <t>인천광역시</t>
        </is>
      </c>
      <c r="C6" s="147" t="inlineStr">
        <is>
          <t>인천</t>
        </is>
      </c>
      <c r="D6" s="441" t="n">
        <v>114219899770</v>
      </c>
      <c r="E6" s="441" t="n">
        <v>56546000000</v>
      </c>
      <c r="F6" s="442" t="n">
        <v>0.495</v>
      </c>
      <c r="G6" s="148" t="n"/>
    </row>
    <row r="7">
      <c r="A7" s="148" t="n"/>
      <c r="B7" s="147" t="inlineStr">
        <is>
          <t>광주광역시</t>
        </is>
      </c>
      <c r="C7" s="147" t="inlineStr">
        <is>
          <t>광주</t>
        </is>
      </c>
      <c r="D7" s="441" t="n">
        <v>22364057570</v>
      </c>
      <c r="E7" s="441" t="n">
        <v>9843000000</v>
      </c>
      <c r="F7" s="442" t="n">
        <v>0.44</v>
      </c>
      <c r="G7" s="148" t="n"/>
    </row>
    <row r="8">
      <c r="A8" s="148" t="n"/>
      <c r="B8" s="147" t="inlineStr">
        <is>
          <t>대전광역시</t>
        </is>
      </c>
      <c r="C8" s="147" t="inlineStr">
        <is>
          <t>대전</t>
        </is>
      </c>
      <c r="D8" s="441" t="n">
        <v>51999174950</v>
      </c>
      <c r="E8" s="441" t="n">
        <v>22885000000</v>
      </c>
      <c r="F8" s="442" t="n">
        <v>0.44</v>
      </c>
      <c r="G8" s="148" t="n"/>
    </row>
    <row r="9">
      <c r="A9" s="148" t="n"/>
      <c r="B9" s="147" t="inlineStr">
        <is>
          <t>부산광역시</t>
        </is>
      </c>
      <c r="C9" s="147" t="inlineStr">
        <is>
          <t>부산</t>
        </is>
      </c>
      <c r="D9" s="441" t="n">
        <v>78307139580</v>
      </c>
      <c r="E9" s="441" t="n">
        <v>34459000000</v>
      </c>
      <c r="F9" s="442" t="n">
        <v>0.44</v>
      </c>
      <c r="G9" s="148" t="n"/>
    </row>
    <row r="10">
      <c r="A10" s="148" t="n"/>
      <c r="B10" s="147" t="inlineStr">
        <is>
          <t>대구광역시</t>
        </is>
      </c>
      <c r="C10" s="147" t="inlineStr">
        <is>
          <t>대구</t>
        </is>
      </c>
      <c r="D10" s="441" t="n">
        <v>50610358410</v>
      </c>
      <c r="E10" s="441" t="n">
        <v>22272000000</v>
      </c>
      <c r="F10" s="442" t="n">
        <v>0.44</v>
      </c>
      <c r="G10" s="148" t="n"/>
    </row>
    <row r="11">
      <c r="A11" s="148" t="n"/>
      <c r="B11" s="147" t="inlineStr">
        <is>
          <t>울산광역시</t>
        </is>
      </c>
      <c r="C11" s="147" t="inlineStr">
        <is>
          <t>울산</t>
        </is>
      </c>
      <c r="D11" s="441" t="n">
        <v>9739606000</v>
      </c>
      <c r="E11" s="441" t="n">
        <v>4286000000</v>
      </c>
      <c r="F11" s="442" t="n">
        <v>0.44</v>
      </c>
      <c r="G11" s="148" t="n"/>
    </row>
    <row r="12">
      <c r="A12" s="148" t="n"/>
      <c r="B12" s="147" t="inlineStr">
        <is>
          <t>전라남도</t>
        </is>
      </c>
      <c r="C12" s="147" t="inlineStr">
        <is>
          <t>전남</t>
        </is>
      </c>
      <c r="D12" s="441" t="n">
        <v>1779828650</v>
      </c>
      <c r="E12" s="441" t="n">
        <v>686000000</v>
      </c>
      <c r="F12" s="442" t="n">
        <v>0.385</v>
      </c>
      <c r="G12" s="148" t="n"/>
    </row>
    <row r="13">
      <c r="A13" s="148" t="n"/>
      <c r="B13" s="147" t="inlineStr">
        <is>
          <t>강원도</t>
        </is>
      </c>
      <c r="C13" s="147" t="inlineStr">
        <is>
          <t>강원</t>
        </is>
      </c>
      <c r="D13" s="441" t="n">
        <v>15102149090</v>
      </c>
      <c r="E13" s="441" t="n">
        <v>5817000000</v>
      </c>
      <c r="F13" s="442" t="n">
        <v>0.385</v>
      </c>
      <c r="G13" s="148" t="n"/>
    </row>
    <row r="14">
      <c r="A14" s="148" t="n"/>
      <c r="B14" s="147" t="inlineStr">
        <is>
          <t>충청북도</t>
        </is>
      </c>
      <c r="C14" s="147" t="inlineStr">
        <is>
          <t>충북</t>
        </is>
      </c>
      <c r="D14" s="441" t="n">
        <v>26069964120</v>
      </c>
      <c r="E14" s="441" t="n">
        <v>10041000000</v>
      </c>
      <c r="F14" s="442" t="n">
        <v>0.385</v>
      </c>
      <c r="G14" s="148" t="n"/>
    </row>
    <row r="15">
      <c r="A15" s="148" t="n"/>
      <c r="B15" s="147" t="inlineStr">
        <is>
          <t>충청남도</t>
        </is>
      </c>
      <c r="C15" s="147" t="inlineStr">
        <is>
          <t>충남</t>
        </is>
      </c>
      <c r="D15" s="441" t="n">
        <v>20341056470</v>
      </c>
      <c r="E15" s="441" t="n">
        <v>7834000000</v>
      </c>
      <c r="F15" s="442" t="n">
        <v>0.385</v>
      </c>
      <c r="G15" s="148" t="n"/>
    </row>
    <row r="16">
      <c r="A16" s="148" t="n"/>
      <c r="B16" s="147" t="inlineStr">
        <is>
          <t>전라북도</t>
        </is>
      </c>
      <c r="C16" s="147" t="inlineStr">
        <is>
          <t>전북</t>
        </is>
      </c>
      <c r="D16" s="441" t="n">
        <v>3418356000</v>
      </c>
      <c r="E16" s="441" t="n">
        <v>1317000000</v>
      </c>
      <c r="F16" s="442" t="n">
        <v>0.385</v>
      </c>
      <c r="G16" s="148" t="n"/>
    </row>
    <row r="17">
      <c r="A17" s="148" t="n"/>
      <c r="B17" s="147" t="inlineStr">
        <is>
          <t>경상북도</t>
        </is>
      </c>
      <c r="C17" s="147" t="inlineStr">
        <is>
          <t>경북</t>
        </is>
      </c>
      <c r="D17" s="441" t="n">
        <v>38582082980</v>
      </c>
      <c r="E17" s="441" t="n">
        <v>14860000000</v>
      </c>
      <c r="F17" s="442" t="n">
        <v>0.385</v>
      </c>
      <c r="G17" s="148" t="n"/>
    </row>
    <row r="18">
      <c r="A18" s="148" t="n"/>
      <c r="B18" s="147" t="inlineStr">
        <is>
          <t>경상남도</t>
        </is>
      </c>
      <c r="C18" s="147" t="inlineStr">
        <is>
          <t>경남</t>
        </is>
      </c>
      <c r="D18" s="441" t="n">
        <v>42951015660</v>
      </c>
      <c r="E18" s="441" t="n">
        <v>16542000000</v>
      </c>
      <c r="F18" s="442" t="n">
        <v>0.385</v>
      </c>
      <c r="G18" s="148" t="n"/>
    </row>
    <row r="19">
      <c r="A19" s="148" t="n"/>
      <c r="B19" s="147" t="inlineStr">
        <is>
          <t>경수대로</t>
        </is>
      </c>
      <c r="C19" s="147" t="inlineStr">
        <is>
          <t>기타</t>
        </is>
      </c>
      <c r="D19" s="443" t="n">
        <v>6459660710</v>
      </c>
      <c r="E19" s="441" t="n">
        <v>8991000000</v>
      </c>
      <c r="F19" s="442" t="n"/>
      <c r="G19" s="148" t="n"/>
    </row>
    <row r="20">
      <c r="A20" s="148" t="n"/>
      <c r="B20" s="147" t="inlineStr">
        <is>
          <t>제이셀프</t>
        </is>
      </c>
      <c r="C20" s="147" t="inlineStr">
        <is>
          <t>기타</t>
        </is>
      </c>
      <c r="D20" s="331" t="n"/>
      <c r="E20" s="441" t="n">
        <v>3176000000</v>
      </c>
      <c r="F20" s="442" t="n"/>
      <c r="G20" s="148" t="n"/>
    </row>
    <row r="21">
      <c r="A21" s="148" t="n"/>
      <c r="B21" s="147" t="inlineStr">
        <is>
          <t>아산셀프</t>
        </is>
      </c>
      <c r="C21" s="147" t="inlineStr">
        <is>
          <t>기타</t>
        </is>
      </c>
      <c r="D21" s="331" t="n"/>
      <c r="E21" s="441" t="n">
        <v>4813000000</v>
      </c>
      <c r="F21" s="442" t="n"/>
      <c r="G21" s="148" t="n"/>
    </row>
    <row r="22">
      <c r="A22" s="148" t="n"/>
      <c r="B22" s="147" t="inlineStr">
        <is>
          <t>동래</t>
        </is>
      </c>
      <c r="C22" s="147" t="inlineStr">
        <is>
          <t>기타</t>
        </is>
      </c>
      <c r="D22" s="314" t="n"/>
      <c r="E22" s="441" t="n">
        <v>6315000000</v>
      </c>
      <c r="F22" s="442" t="n"/>
      <c r="G22" s="148" t="n"/>
    </row>
    <row r="23">
      <c r="A23" s="148" t="n"/>
      <c r="B23" s="153" t="inlineStr">
        <is>
          <t>합 계</t>
        </is>
      </c>
      <c r="C23" s="153" t="inlineStr">
        <is>
          <t>-</t>
        </is>
      </c>
      <c r="D23" s="444">
        <f>SUM(D4:D22)</f>
        <v/>
      </c>
      <c r="E23" s="444">
        <f>SUM(E4:E22)</f>
        <v/>
      </c>
      <c r="F23" s="153" t="n"/>
      <c r="G23" s="148" t="n"/>
    </row>
  </sheetData>
  <mergeCells count="1">
    <mergeCell ref="D19:D22"/>
  </mergeCells>
  <pageMargins left="0.7" right="0.7" top="0.75" bottom="0.75" header="0.3" footer="0.3"/>
  <pageSetup orientation="portrait" paperSize="9" scale="95" horizontalDpi="429496729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66"/>
  <sheetViews>
    <sheetView view="pageBreakPreview" zoomScale="60" zoomScaleNormal="70" workbookViewId="0">
      <pane ySplit="3" topLeftCell="A102" activePane="bottomLeft" state="frozen"/>
      <selection pane="bottomLeft" activeCell="H68" sqref="H68"/>
    </sheetView>
  </sheetViews>
  <sheetFormatPr baseColWidth="8" defaultColWidth="9" defaultRowHeight="20.25"/>
  <cols>
    <col width="9" customWidth="1" style="122" min="1" max="1"/>
    <col width="15.625" customWidth="1" style="104" min="2" max="2"/>
    <col width="25.625" bestFit="1" customWidth="1" style="104" min="3" max="3"/>
    <col width="70.5" customWidth="1" style="104" min="4" max="4"/>
    <col width="29.625" customWidth="1" style="104" min="5" max="5"/>
    <col width="27.75" customWidth="1" style="104" min="6" max="7"/>
    <col width="32.375" customWidth="1" style="104" min="8" max="9"/>
    <col width="9" customWidth="1" style="104" min="10" max="10"/>
    <col width="13.875" bestFit="1" customWidth="1" style="104" min="11" max="11"/>
    <col width="9" customWidth="1" style="104" min="12" max="15"/>
    <col width="16.625" bestFit="1" customWidth="1" style="104" min="16" max="16"/>
    <col width="9" customWidth="1" style="104" min="17" max="16384"/>
  </cols>
  <sheetData>
    <row r="1" ht="69.75" customHeight="1" s="308">
      <c r="B1" s="304" t="inlineStr">
        <is>
          <t>감정평가 총괄표</t>
        </is>
      </c>
    </row>
    <row r="2" ht="28.5" customHeight="1" s="308" thickBot="1">
      <c r="C2" s="104" t="n">
        <v>1</v>
      </c>
      <c r="D2" s="104" t="n">
        <v>2</v>
      </c>
      <c r="E2" s="104" t="n">
        <v>3</v>
      </c>
      <c r="F2" s="104" t="n">
        <v>4</v>
      </c>
      <c r="G2" s="104" t="n">
        <v>5</v>
      </c>
      <c r="H2" s="144" t="inlineStr">
        <is>
          <t>답모가액</t>
        </is>
      </c>
    </row>
    <row r="3" ht="58.5" customFormat="1" customHeight="1" s="128" thickBot="1" thickTop="1">
      <c r="A3" s="123" t="n"/>
      <c r="B3" s="124" t="inlineStr">
        <is>
          <t>주유소 번호</t>
        </is>
      </c>
      <c r="C3" s="125" t="inlineStr">
        <is>
          <t>주유소명</t>
        </is>
      </c>
      <c r="D3" s="125" t="inlineStr">
        <is>
          <t>소재지</t>
        </is>
      </c>
      <c r="E3" s="125" t="inlineStr">
        <is>
          <t>토지 금액(원)</t>
        </is>
      </c>
      <c r="F3" s="125" t="inlineStr">
        <is>
          <t>건물 금액(원)</t>
        </is>
      </c>
      <c r="G3" s="126" t="inlineStr">
        <is>
          <t>기계기구
(유류저장시설)(원)</t>
        </is>
      </c>
      <c r="H3" s="127" t="inlineStr">
        <is>
          <t>감정평가액(원)</t>
        </is>
      </c>
      <c r="I3" s="127" t="inlineStr">
        <is>
          <t>비 고</t>
        </is>
      </c>
    </row>
    <row r="4" ht="41.25" customHeight="1" s="308" thickBot="1" thickTop="1">
      <c r="B4" s="129" t="n">
        <v>1</v>
      </c>
      <c r="C4" s="130" t="inlineStr">
        <is>
          <t>고속셀프</t>
        </is>
      </c>
      <c r="D4" s="130" t="inlineStr">
        <is>
          <t>서울특별시 강동구 둔촌동 600-1</t>
        </is>
      </c>
      <c r="E4" s="445" t="n">
        <v>20491000000</v>
      </c>
      <c r="F4" s="446" t="n">
        <v>237832080</v>
      </c>
      <c r="G4" s="447" t="inlineStr">
        <is>
          <t>감정평가 외</t>
        </is>
      </c>
      <c r="H4" s="448" t="n">
        <v>20728832080</v>
      </c>
      <c r="I4" s="448" t="inlineStr">
        <is>
          <t>-</t>
        </is>
      </c>
      <c r="L4" s="104">
        <f>MID(B4,17,3)</f>
        <v/>
      </c>
    </row>
    <row r="5" ht="41.25" customHeight="1" s="308" thickBot="1" thickTop="1">
      <c r="B5" s="129" t="n">
        <v>2</v>
      </c>
      <c r="C5" s="130" t="inlineStr">
        <is>
          <t>강서제일셀프</t>
        </is>
      </c>
      <c r="D5" s="130" t="inlineStr">
        <is>
          <t>서울특별시 강서구 화곡동 20-1 외</t>
        </is>
      </c>
      <c r="E5" s="445" t="n">
        <v>16504768000</v>
      </c>
      <c r="F5" s="446" t="n">
        <v>102188990</v>
      </c>
      <c r="G5" s="447" t="inlineStr">
        <is>
          <t>감정평가 외</t>
        </is>
      </c>
      <c r="H5" s="448" t="n">
        <v>16606956990</v>
      </c>
      <c r="I5" s="448" t="inlineStr">
        <is>
          <t>-</t>
        </is>
      </c>
      <c r="L5" s="104">
        <f>MID(B5,17,3)</f>
        <v/>
      </c>
    </row>
    <row r="6" ht="41.25" customHeight="1" s="308" thickBot="1" thickTop="1">
      <c r="B6" s="129" t="n">
        <v>3</v>
      </c>
      <c r="C6" s="130" t="inlineStr">
        <is>
          <t>장호셀프</t>
        </is>
      </c>
      <c r="D6" s="130" t="inlineStr">
        <is>
          <t>서울특별시 광진구 자양동 677-5</t>
        </is>
      </c>
      <c r="E6" s="445" t="n">
        <v>26178360000</v>
      </c>
      <c r="F6" s="446" t="n">
        <v>403170510</v>
      </c>
      <c r="G6" s="447" t="inlineStr">
        <is>
          <t>감정평가 외</t>
        </is>
      </c>
      <c r="H6" s="448" t="n">
        <v>26581530510</v>
      </c>
      <c r="I6" s="448" t="inlineStr">
        <is>
          <t>-</t>
        </is>
      </c>
      <c r="L6" s="104">
        <f>MID(B6,17,3)</f>
        <v/>
      </c>
    </row>
    <row r="7" ht="41.25" customHeight="1" s="308" thickBot="1" thickTop="1">
      <c r="B7" s="129" t="n">
        <v>4</v>
      </c>
      <c r="C7" s="130" t="inlineStr">
        <is>
          <t>대명셀프</t>
        </is>
      </c>
      <c r="D7" s="130" t="inlineStr">
        <is>
          <t>서울특별시 광진구 화양동 302-13</t>
        </is>
      </c>
      <c r="E7" s="445" t="n">
        <v>20004600000</v>
      </c>
      <c r="F7" s="446" t="n">
        <v>283695800</v>
      </c>
      <c r="G7" s="447" t="inlineStr">
        <is>
          <t>감정평가 외</t>
        </is>
      </c>
      <c r="H7" s="448" t="n">
        <v>20288295800</v>
      </c>
      <c r="I7" s="448" t="inlineStr">
        <is>
          <t>-</t>
        </is>
      </c>
      <c r="L7" s="104">
        <f>MID(B7,17,3)</f>
        <v/>
      </c>
    </row>
    <row r="8" ht="41.25" customHeight="1" s="308" thickBot="1" thickTop="1">
      <c r="B8" s="129" t="n">
        <v>5</v>
      </c>
      <c r="C8" s="130" t="inlineStr">
        <is>
          <t>금천제일</t>
        </is>
      </c>
      <c r="D8" s="130" t="inlineStr">
        <is>
          <t>서울특별시 금천구 독산동 900-4</t>
        </is>
      </c>
      <c r="E8" s="445" t="n">
        <v>8142149999.999999</v>
      </c>
      <c r="F8" s="446" t="n">
        <v>179183880</v>
      </c>
      <c r="G8" s="447" t="inlineStr">
        <is>
          <t>감정평가 외</t>
        </is>
      </c>
      <c r="H8" s="448" t="n">
        <v>8321333879.999999</v>
      </c>
      <c r="I8" s="448" t="inlineStr">
        <is>
          <t>-</t>
        </is>
      </c>
      <c r="L8" s="104">
        <f>MID(B8,17,3)</f>
        <v/>
      </c>
    </row>
    <row r="9" ht="41.25" customHeight="1" s="308" thickBot="1" thickTop="1">
      <c r="B9" s="129" t="n">
        <v>6</v>
      </c>
      <c r="C9" s="130" t="inlineStr">
        <is>
          <t>하계</t>
        </is>
      </c>
      <c r="D9" s="130" t="inlineStr">
        <is>
          <t>서울특별시 노원구 하계동 243-3</t>
        </is>
      </c>
      <c r="E9" s="445" t="n">
        <v>7073360000</v>
      </c>
      <c r="F9" s="446" t="n">
        <v>76577120</v>
      </c>
      <c r="G9" s="447" t="inlineStr">
        <is>
          <t>감정평가 외</t>
        </is>
      </c>
      <c r="H9" s="448" t="n">
        <v>7149937120</v>
      </c>
      <c r="I9" s="448" t="inlineStr">
        <is>
          <t>-</t>
        </is>
      </c>
      <c r="L9" s="104">
        <f>MID(B9,17,3)</f>
        <v/>
      </c>
    </row>
    <row r="10" ht="41.25" customHeight="1" s="308" thickBot="1" thickTop="1">
      <c r="B10" s="129" t="n">
        <v>7</v>
      </c>
      <c r="C10" s="130" t="inlineStr">
        <is>
          <t>흑석동셀프</t>
        </is>
      </c>
      <c r="D10" s="130" t="inlineStr">
        <is>
          <t>서울특별시 동작구 흑석동 9-46</t>
        </is>
      </c>
      <c r="E10" s="445" t="n">
        <v>15846000000</v>
      </c>
      <c r="F10" s="446" t="n">
        <v>70025800</v>
      </c>
      <c r="G10" s="447" t="inlineStr">
        <is>
          <t>감정평가 외</t>
        </is>
      </c>
      <c r="H10" s="448" t="n">
        <v>15916025800</v>
      </c>
      <c r="I10" s="448" t="inlineStr">
        <is>
          <t>-</t>
        </is>
      </c>
      <c r="L10" s="104">
        <f>MID(B10,17,3)</f>
        <v/>
      </c>
    </row>
    <row r="11" ht="41.25" customHeight="1" s="308" thickBot="1" thickTop="1">
      <c r="B11" s="129" t="n">
        <v>8</v>
      </c>
      <c r="C11" s="130" t="inlineStr">
        <is>
          <t>아리랑</t>
        </is>
      </c>
      <c r="D11" s="130" t="inlineStr">
        <is>
          <t>서울특별시 성북구 정릉동 113-61</t>
        </is>
      </c>
      <c r="E11" s="445" t="n">
        <v>11135000000</v>
      </c>
      <c r="F11" s="446" t="n">
        <v>131408760</v>
      </c>
      <c r="G11" s="447" t="inlineStr">
        <is>
          <t>감정평가 외</t>
        </is>
      </c>
      <c r="H11" s="448" t="n">
        <v>11266408760</v>
      </c>
      <c r="I11" s="448" t="inlineStr">
        <is>
          <t>-</t>
        </is>
      </c>
      <c r="L11" s="104">
        <f>MID(B11,17,3)</f>
        <v/>
      </c>
    </row>
    <row r="12" ht="41.25" customHeight="1" s="308" thickBot="1" thickTop="1">
      <c r="B12" s="129" t="n">
        <v>9</v>
      </c>
      <c r="C12" s="130" t="inlineStr">
        <is>
          <t>북악셀프</t>
        </is>
      </c>
      <c r="D12" s="130" t="inlineStr">
        <is>
          <t>서울특별시 성북구 정릉동 428</t>
        </is>
      </c>
      <c r="E12" s="445" t="n">
        <v>8860950000</v>
      </c>
      <c r="F12" s="446" t="n">
        <v>764490830</v>
      </c>
      <c r="G12" s="447" t="inlineStr">
        <is>
          <t>감정평가 외</t>
        </is>
      </c>
      <c r="H12" s="448" t="n">
        <v>9625440830</v>
      </c>
      <c r="I12" s="448" t="inlineStr">
        <is>
          <t>-</t>
        </is>
      </c>
      <c r="L12" s="104">
        <f>MID(B12,17,3)</f>
        <v/>
      </c>
    </row>
    <row r="13" ht="41.25" customHeight="1" s="308" thickBot="1" thickTop="1">
      <c r="B13" s="129" t="n">
        <v>10</v>
      </c>
      <c r="C13" s="130" t="inlineStr">
        <is>
          <t>올림픽셀프</t>
        </is>
      </c>
      <c r="D13" s="130" t="inlineStr">
        <is>
          <t>서울특별시 송파구 오금동 4 외</t>
        </is>
      </c>
      <c r="E13" s="445" t="n">
        <v>34351240000</v>
      </c>
      <c r="F13" s="446" t="n">
        <v>271752070</v>
      </c>
      <c r="G13" s="447" t="inlineStr">
        <is>
          <t>감정평가 외</t>
        </is>
      </c>
      <c r="H13" s="448" t="n">
        <v>34622992070</v>
      </c>
      <c r="I13" s="448" t="inlineStr">
        <is>
          <t>-</t>
        </is>
      </c>
      <c r="L13" s="104">
        <f>MID(B13,17,3)</f>
        <v/>
      </c>
    </row>
    <row r="14" ht="41.25" customHeight="1" s="308" thickBot="1" thickTop="1">
      <c r="B14" s="129" t="n">
        <v>11</v>
      </c>
      <c r="C14" s="130" t="inlineStr">
        <is>
          <t>양천</t>
        </is>
      </c>
      <c r="D14" s="130" t="inlineStr">
        <is>
          <t>서울특별시 양천구 목동 122-2 외</t>
        </is>
      </c>
      <c r="E14" s="445" t="n">
        <v>24067200000</v>
      </c>
      <c r="F14" s="446" t="n">
        <v>216216170</v>
      </c>
      <c r="G14" s="447" t="inlineStr">
        <is>
          <t>감정평가 외</t>
        </is>
      </c>
      <c r="H14" s="448" t="n">
        <v>24283416170</v>
      </c>
      <c r="I14" s="448" t="inlineStr">
        <is>
          <t>-</t>
        </is>
      </c>
      <c r="L14" s="104">
        <f>MID(B14,17,3)</f>
        <v/>
      </c>
    </row>
    <row r="15" ht="41.25" customHeight="1" s="308" thickBot="1" thickTop="1">
      <c r="B15" s="129" t="n">
        <v>12</v>
      </c>
      <c r="C15" s="130" t="inlineStr">
        <is>
          <t>남부순환셀프</t>
        </is>
      </c>
      <c r="D15" s="130" t="inlineStr">
        <is>
          <t>서울특별시 양천구 신월동 525-1</t>
        </is>
      </c>
      <c r="E15" s="445" t="n">
        <v>23555880000</v>
      </c>
      <c r="F15" s="446" t="n">
        <v>468050890</v>
      </c>
      <c r="G15" s="447" t="inlineStr">
        <is>
          <t>감정평가 외</t>
        </is>
      </c>
      <c r="H15" s="448" t="n">
        <v>24023930890</v>
      </c>
      <c r="I15" s="448" t="inlineStr">
        <is>
          <t>-</t>
        </is>
      </c>
      <c r="L15" s="104">
        <f>MID(B15,17,3)</f>
        <v/>
      </c>
    </row>
    <row r="16" ht="41.25" customHeight="1" s="308" thickBot="1" thickTop="1">
      <c r="B16" s="129" t="n">
        <v>13</v>
      </c>
      <c r="C16" s="130" t="inlineStr">
        <is>
          <t>영등포제일셀프</t>
        </is>
      </c>
      <c r="D16" s="130" t="inlineStr">
        <is>
          <t>서울특별시 영등포구 대림동 667-9</t>
        </is>
      </c>
      <c r="E16" s="445" t="n">
        <v>10070760000</v>
      </c>
      <c r="F16" s="446" t="n">
        <v>221648430</v>
      </c>
      <c r="G16" s="447" t="inlineStr">
        <is>
          <t>감정평가 외</t>
        </is>
      </c>
      <c r="H16" s="448" t="n">
        <v>10292408430</v>
      </c>
      <c r="I16" s="448" t="inlineStr">
        <is>
          <t>-</t>
        </is>
      </c>
      <c r="L16" s="104">
        <f>MID(B16,17,3)</f>
        <v/>
      </c>
    </row>
    <row r="17" ht="41.25" customHeight="1" s="308" thickBot="1" thickTop="1">
      <c r="B17" s="129" t="n">
        <v>14</v>
      </c>
      <c r="C17" s="130" t="inlineStr">
        <is>
          <t>강변현대</t>
        </is>
      </c>
      <c r="D17" s="130" t="inlineStr">
        <is>
          <t>서울특별시 용산구 청암동 168-22 외</t>
        </is>
      </c>
      <c r="E17" s="445" t="n">
        <v>21197700000</v>
      </c>
      <c r="F17" s="446" t="n">
        <v>73559440</v>
      </c>
      <c r="G17" s="447" t="inlineStr">
        <is>
          <t>감정평가 외</t>
        </is>
      </c>
      <c r="H17" s="448" t="n">
        <v>21271259440</v>
      </c>
      <c r="I17" s="448" t="inlineStr">
        <is>
          <t>-</t>
        </is>
      </c>
      <c r="L17" s="104">
        <f>MID(B17,17,3)</f>
        <v/>
      </c>
    </row>
    <row r="18" ht="41.25" customHeight="1" s="308" thickBot="1" thickTop="1">
      <c r="B18" s="129" t="n">
        <v>15</v>
      </c>
      <c r="C18" s="130" t="inlineStr">
        <is>
          <t>한남동</t>
        </is>
      </c>
      <c r="D18" s="130" t="inlineStr">
        <is>
          <t>서울특별시 용산구 한남동 726-370 외</t>
        </is>
      </c>
      <c r="E18" s="445" t="n">
        <v>16745970000</v>
      </c>
      <c r="F18" s="446" t="n">
        <v>196879900</v>
      </c>
      <c r="G18" s="447" t="inlineStr">
        <is>
          <t>감정평가 외</t>
        </is>
      </c>
      <c r="H18" s="448" t="n">
        <v>16942849900</v>
      </c>
      <c r="I18" s="448" t="inlineStr">
        <is>
          <t>-</t>
        </is>
      </c>
      <c r="L18" s="104">
        <f>MID(B18,17,3)</f>
        <v/>
      </c>
    </row>
    <row r="19" ht="41.25" customHeight="1" s="308" thickBot="1" thickTop="1">
      <c r="B19" s="129" t="n">
        <v>17</v>
      </c>
      <c r="C19" s="130" t="inlineStr">
        <is>
          <t>장항IC셀프</t>
        </is>
      </c>
      <c r="D19" s="130" t="inlineStr">
        <is>
          <t>경기도 고양시 일산동구 장항동 541 외</t>
        </is>
      </c>
      <c r="E19" s="445" t="n">
        <v>8027880000</v>
      </c>
      <c r="F19" s="446" t="n">
        <v>730383120</v>
      </c>
      <c r="G19" s="447" t="inlineStr">
        <is>
          <t>감정평가 외</t>
        </is>
      </c>
      <c r="H19" s="448" t="n">
        <v>8758263120</v>
      </c>
      <c r="I19" s="448" t="inlineStr">
        <is>
          <t>-</t>
        </is>
      </c>
      <c r="L19" s="104">
        <f>MID(B19,17,3)</f>
        <v/>
      </c>
    </row>
    <row r="20" ht="41.25" customHeight="1" s="308" thickBot="1" thickTop="1">
      <c r="B20" s="129" t="n">
        <v>18</v>
      </c>
      <c r="C20" s="130" t="inlineStr">
        <is>
          <t>탄현셀프</t>
        </is>
      </c>
      <c r="D20" s="130" t="inlineStr">
        <is>
          <t>경기도 고양시 일산서구 덕이동 260-3 외</t>
        </is>
      </c>
      <c r="E20" s="445" t="n">
        <v>3803280000</v>
      </c>
      <c r="F20" s="446" t="n">
        <v>62046320</v>
      </c>
      <c r="G20" s="447" t="inlineStr">
        <is>
          <t>감정평가 외</t>
        </is>
      </c>
      <c r="H20" s="448" t="n">
        <v>3865326320</v>
      </c>
      <c r="I20" s="448" t="inlineStr">
        <is>
          <t>-</t>
        </is>
      </c>
      <c r="L20" s="104">
        <f>MID(B20,17,3)</f>
        <v/>
      </c>
    </row>
    <row r="21" ht="41.25" customHeight="1" s="308" thickBot="1" thickTop="1">
      <c r="B21" s="129" t="n">
        <v>19</v>
      </c>
      <c r="C21" s="130" t="inlineStr">
        <is>
          <t>새광주셀프</t>
        </is>
      </c>
      <c r="D21" s="130" t="inlineStr">
        <is>
          <t>경기도 광주시 쌍령동 113-8</t>
        </is>
      </c>
      <c r="E21" s="445" t="n">
        <v>4758600000</v>
      </c>
      <c r="F21" s="446" t="n">
        <v>58177020</v>
      </c>
      <c r="G21" s="447" t="inlineStr">
        <is>
          <t>감정평가 외</t>
        </is>
      </c>
      <c r="H21" s="448" t="n">
        <v>4816777020</v>
      </c>
      <c r="I21" s="448" t="inlineStr">
        <is>
          <t>-</t>
        </is>
      </c>
      <c r="L21" s="104">
        <f>MID(B21,17,3)</f>
        <v/>
      </c>
    </row>
    <row r="22" ht="41.25" customHeight="1" s="308" thickBot="1" thickTop="1">
      <c r="B22" s="129" t="n">
        <v>20</v>
      </c>
      <c r="C22" s="130" t="inlineStr">
        <is>
          <t>토평1호셀프</t>
        </is>
      </c>
      <c r="D22" s="130" t="inlineStr">
        <is>
          <t>경기도 구리시 토평동 989</t>
        </is>
      </c>
      <c r="E22" s="445" t="n">
        <v>8969400000</v>
      </c>
      <c r="F22" s="446" t="n">
        <v>277343440</v>
      </c>
      <c r="G22" s="447" t="inlineStr">
        <is>
          <t>감정평가 외</t>
        </is>
      </c>
      <c r="H22" s="448" t="n">
        <v>9246743440</v>
      </c>
      <c r="I22" s="448" t="inlineStr">
        <is>
          <t>-</t>
        </is>
      </c>
      <c r="L22" s="104">
        <f>MID(B22,17,3)</f>
        <v/>
      </c>
    </row>
    <row r="23" ht="41.25" customHeight="1" s="308" thickBot="1" thickTop="1">
      <c r="B23" s="129" t="n">
        <v>21</v>
      </c>
      <c r="C23" s="130" t="inlineStr">
        <is>
          <t>김포셀프</t>
        </is>
      </c>
      <c r="D23" s="130" t="inlineStr">
        <is>
          <t>경기도 김포시 북변동 800 (김포대로 970)</t>
        </is>
      </c>
      <c r="E23" s="445" t="n">
        <v>6084466000</v>
      </c>
      <c r="F23" s="446" t="n">
        <v>148306200</v>
      </c>
      <c r="G23" s="447" t="inlineStr">
        <is>
          <t>감정평가 외</t>
        </is>
      </c>
      <c r="H23" s="448" t="n">
        <v>6232772200</v>
      </c>
      <c r="I23" s="448" t="inlineStr">
        <is>
          <t>-</t>
        </is>
      </c>
      <c r="L23" s="104">
        <f>MID(B23,17,3)</f>
        <v/>
      </c>
    </row>
    <row r="24" ht="41.25" customHeight="1" s="308" thickBot="1" thickTop="1">
      <c r="B24" s="129" t="n">
        <v>22</v>
      </c>
      <c r="C24" s="130" t="inlineStr">
        <is>
          <t>강변셀프</t>
        </is>
      </c>
      <c r="D24" s="130" t="inlineStr">
        <is>
          <t>경기도 남양주시 삼패동 604 외</t>
        </is>
      </c>
      <c r="E24" s="445" t="n">
        <v>4769600000</v>
      </c>
      <c r="F24" s="446" t="n">
        <v>110034700</v>
      </c>
      <c r="G24" s="447" t="inlineStr">
        <is>
          <t>감정평가 외</t>
        </is>
      </c>
      <c r="H24" s="448" t="n">
        <v>4879634700</v>
      </c>
      <c r="I24" s="448" t="inlineStr">
        <is>
          <t>-</t>
        </is>
      </c>
      <c r="L24" s="104">
        <f>MID(B24,17,3)</f>
        <v/>
      </c>
    </row>
    <row r="25" ht="41.25" customHeight="1" s="308" thickBot="1" thickTop="1">
      <c r="B25" s="129" t="n">
        <v>23</v>
      </c>
      <c r="C25" s="130" t="inlineStr">
        <is>
          <t>상동셀프</t>
        </is>
      </c>
      <c r="D25" s="130" t="inlineStr">
        <is>
          <t>경기도 부천시 원미구 상동 499-6</t>
        </is>
      </c>
      <c r="E25" s="445" t="n">
        <v>5005940000</v>
      </c>
      <c r="F25" s="446" t="n">
        <v>166883830</v>
      </c>
      <c r="G25" s="447" t="inlineStr">
        <is>
          <t>감정평가 외</t>
        </is>
      </c>
      <c r="H25" s="448" t="n">
        <v>5172823830</v>
      </c>
      <c r="I25" s="448" t="inlineStr">
        <is>
          <t>-</t>
        </is>
      </c>
      <c r="L25" s="104">
        <f>MID(B25,17,3)</f>
        <v/>
      </c>
    </row>
    <row r="26" ht="41.25" customHeight="1" s="308" thickBot="1" thickTop="1">
      <c r="B26" s="129" t="n">
        <v>24</v>
      </c>
      <c r="C26" s="130" t="inlineStr">
        <is>
          <t>중동대로셀프</t>
        </is>
      </c>
      <c r="D26" s="130" t="inlineStr">
        <is>
          <t>경기도 부천시 원미구 약대동 192-3</t>
        </is>
      </c>
      <c r="E26" s="445" t="n">
        <v>10040000000</v>
      </c>
      <c r="F26" s="446" t="n">
        <v>293454720</v>
      </c>
      <c r="G26" s="447" t="inlineStr">
        <is>
          <t>감정평가 외</t>
        </is>
      </c>
      <c r="H26" s="448" t="n">
        <v>10333454720</v>
      </c>
      <c r="I26" s="448" t="inlineStr">
        <is>
          <t>-</t>
        </is>
      </c>
      <c r="L26" s="104">
        <f>MID(B26,17,3)</f>
        <v/>
      </c>
    </row>
    <row r="27" ht="41.25" customHeight="1" s="308" thickBot="1" thickTop="1">
      <c r="B27" s="129" t="n">
        <v>25</v>
      </c>
      <c r="C27" s="130" t="inlineStr">
        <is>
          <t>서현셀프</t>
        </is>
      </c>
      <c r="D27" s="130" t="inlineStr">
        <is>
          <t>경기도 성남시 분당구 분당동 130</t>
        </is>
      </c>
      <c r="E27" s="445" t="n">
        <v>6890689000</v>
      </c>
      <c r="F27" s="446" t="n">
        <v>153842900</v>
      </c>
      <c r="G27" s="447" t="inlineStr">
        <is>
          <t>감정평가 외</t>
        </is>
      </c>
      <c r="H27" s="448" t="n">
        <v>7044531900</v>
      </c>
      <c r="I27" s="448" t="inlineStr">
        <is>
          <t>-</t>
        </is>
      </c>
      <c r="L27" s="104">
        <f>MID(B27,17,3)</f>
        <v/>
      </c>
    </row>
    <row r="28" ht="41.25" customHeight="1" s="308" thickBot="1" thickTop="1">
      <c r="B28" s="129" t="n">
        <v>26</v>
      </c>
      <c r="C28" s="130" t="inlineStr">
        <is>
          <t>수내동</t>
        </is>
      </c>
      <c r="D28" s="130" t="inlineStr">
        <is>
          <t>경기도 성남시 분당구 수내동 86</t>
        </is>
      </c>
      <c r="E28" s="445" t="n">
        <v>14344502000</v>
      </c>
      <c r="F28" s="446" t="n">
        <v>391230570</v>
      </c>
      <c r="G28" s="447" t="inlineStr">
        <is>
          <t>감정평가 외</t>
        </is>
      </c>
      <c r="H28" s="448" t="n">
        <v>14735732570</v>
      </c>
      <c r="I28" s="448" t="inlineStr">
        <is>
          <t>-</t>
        </is>
      </c>
      <c r="L28" s="104">
        <f>MID(B28,17,3)</f>
        <v/>
      </c>
    </row>
    <row r="29" ht="41.25" customHeight="1" s="308" thickBot="1" thickTop="1">
      <c r="B29" s="129" t="n">
        <v>27</v>
      </c>
      <c r="C29" s="130" t="inlineStr">
        <is>
          <t>이매동셀프</t>
        </is>
      </c>
      <c r="D29" s="130" t="inlineStr">
        <is>
          <t>경기도 성남시 분당구 이매동 88-1 외</t>
        </is>
      </c>
      <c r="E29" s="445" t="n">
        <v>11860940000</v>
      </c>
      <c r="F29" s="446" t="n">
        <v>229270600</v>
      </c>
      <c r="G29" s="447" t="inlineStr">
        <is>
          <t>감정평가 외</t>
        </is>
      </c>
      <c r="H29" s="448" t="n">
        <v>12090210600</v>
      </c>
      <c r="I29" s="448" t="inlineStr">
        <is>
          <t>-</t>
        </is>
      </c>
      <c r="L29" s="104">
        <f>MID(B29,17,3)</f>
        <v/>
      </c>
    </row>
    <row r="30" ht="41.25" customHeight="1" s="308" thickBot="1" thickTop="1">
      <c r="B30" s="129" t="n">
        <v>28</v>
      </c>
      <c r="C30" s="130" t="inlineStr">
        <is>
          <t>남문</t>
        </is>
      </c>
      <c r="D30" s="130" t="inlineStr">
        <is>
          <t>경기도 성남시 수정구 태평동 6536-1 외</t>
        </is>
      </c>
      <c r="E30" s="445" t="n">
        <v>2142884500</v>
      </c>
      <c r="F30" s="446" t="n">
        <v>92253010</v>
      </c>
      <c r="G30" s="447" t="inlineStr">
        <is>
          <t>감정평가 외</t>
        </is>
      </c>
      <c r="H30" s="448" t="n">
        <v>2235137510</v>
      </c>
      <c r="I30" s="448" t="inlineStr">
        <is>
          <t>-</t>
        </is>
      </c>
      <c r="L30" s="104">
        <f>MID(B30,17,3)</f>
        <v/>
      </c>
    </row>
    <row r="31" ht="41.25" customHeight="1" s="308" thickBot="1" thickTop="1">
      <c r="B31" s="129" t="n">
        <v>29</v>
      </c>
      <c r="C31" s="130" t="inlineStr">
        <is>
          <t>영통제일셀프</t>
        </is>
      </c>
      <c r="D31" s="130" t="inlineStr">
        <is>
          <t>경기도 수원시 영통구 매탄동 540-5</t>
        </is>
      </c>
      <c r="E31" s="445" t="n">
        <v>6180160000</v>
      </c>
      <c r="F31" s="446" t="n">
        <v>261034790</v>
      </c>
      <c r="G31" s="447" t="inlineStr">
        <is>
          <t>감정평가 외</t>
        </is>
      </c>
      <c r="H31" s="448" t="n">
        <v>6441194790</v>
      </c>
      <c r="I31" s="448" t="inlineStr">
        <is>
          <t>-</t>
        </is>
      </c>
      <c r="L31" s="104">
        <f>MID(B31,17,3)</f>
        <v/>
      </c>
    </row>
    <row r="32" ht="41.25" customHeight="1" s="308" thickBot="1" thickTop="1">
      <c r="B32" s="129" t="n">
        <v>30</v>
      </c>
      <c r="C32" s="130" t="inlineStr">
        <is>
          <t>송죽현대셀프</t>
        </is>
      </c>
      <c r="D32" s="130" t="inlineStr">
        <is>
          <t>경기도 수원시 장안구 송죽동 200-5 외 1필지</t>
        </is>
      </c>
      <c r="E32" s="445" t="n">
        <v>7691600000</v>
      </c>
      <c r="F32" s="446" t="n">
        <v>493234090</v>
      </c>
      <c r="G32" s="447" t="inlineStr">
        <is>
          <t>감정평가 외</t>
        </is>
      </c>
      <c r="H32" s="448" t="n">
        <v>8184834090</v>
      </c>
      <c r="I32" s="448" t="inlineStr">
        <is>
          <t>-</t>
        </is>
      </c>
      <c r="L32" s="104">
        <f>MID(B32,17,3)</f>
        <v/>
      </c>
    </row>
    <row r="33" ht="41.25" customHeight="1" s="308" thickBot="1" thickTop="1">
      <c r="B33" s="129" t="n">
        <v>31</v>
      </c>
      <c r="C33" s="130" t="inlineStr">
        <is>
          <t>경수대로</t>
        </is>
      </c>
      <c r="D33" s="130" t="inlineStr">
        <is>
          <t>경기도 수원시 장안구 영화동 104-28 외</t>
        </is>
      </c>
      <c r="E33" s="445" t="n">
        <v>558835200</v>
      </c>
      <c r="F33" s="446" t="n">
        <v>68856480</v>
      </c>
      <c r="G33" s="447" t="inlineStr">
        <is>
          <t>감정평가 외</t>
        </is>
      </c>
      <c r="H33" s="448" t="n">
        <v>627691680</v>
      </c>
      <c r="I33" s="448" t="inlineStr">
        <is>
          <t>타인점유사용</t>
        </is>
      </c>
      <c r="L33" s="104">
        <f>MID(B33,17,3)</f>
        <v/>
      </c>
    </row>
    <row r="34" ht="41.25" customHeight="1" s="308" thickBot="1" thickTop="1">
      <c r="B34" s="129" t="n">
        <v>32</v>
      </c>
      <c r="C34" s="130" t="inlineStr">
        <is>
          <t>북수원셀프</t>
        </is>
      </c>
      <c r="D34" s="130" t="inlineStr">
        <is>
          <t>경기도 수원시 장안구 율전동 114-3</t>
        </is>
      </c>
      <c r="E34" s="445" t="n">
        <v>10801400000</v>
      </c>
      <c r="F34" s="446" t="n">
        <v>207710190</v>
      </c>
      <c r="G34" s="447" t="inlineStr">
        <is>
          <t>감정평가 외</t>
        </is>
      </c>
      <c r="H34" s="448" t="n">
        <v>11009110190</v>
      </c>
      <c r="I34" s="448" t="inlineStr">
        <is>
          <t>-</t>
        </is>
      </c>
      <c r="K34" s="449" t="n"/>
      <c r="L34" s="104">
        <f>MID(B34,17,3)</f>
        <v/>
      </c>
    </row>
    <row r="35" ht="41.25" customHeight="1" s="308" thickBot="1" thickTop="1">
      <c r="B35" s="129" t="n">
        <v>33</v>
      </c>
      <c r="C35" s="130" t="inlineStr">
        <is>
          <t>천천현대셀프</t>
        </is>
      </c>
      <c r="D35" s="130" t="inlineStr">
        <is>
          <t>경기도 수원시 장안구 천천동 521</t>
        </is>
      </c>
      <c r="E35" s="445" t="n">
        <v>7197946000</v>
      </c>
      <c r="F35" s="446" t="n">
        <v>218351400</v>
      </c>
      <c r="G35" s="447" t="inlineStr">
        <is>
          <t>감정평가 외</t>
        </is>
      </c>
      <c r="H35" s="448" t="n">
        <v>7416297400</v>
      </c>
      <c r="I35" s="448" t="inlineStr">
        <is>
          <t>-</t>
        </is>
      </c>
      <c r="L35" s="104">
        <f>MID(B35,17,3)</f>
        <v/>
      </c>
    </row>
    <row r="36" ht="41.25" customHeight="1" s="308" thickBot="1" thickTop="1">
      <c r="B36" s="129" t="n">
        <v>34</v>
      </c>
      <c r="C36" s="130" t="inlineStr">
        <is>
          <t>안산공원셀프</t>
        </is>
      </c>
      <c r="D36" s="130" t="inlineStr">
        <is>
          <t>경기도 안산시 고잔동 779-1</t>
        </is>
      </c>
      <c r="E36" s="445" t="n">
        <v>5472528000</v>
      </c>
      <c r="F36" s="446" t="n">
        <v>199276070</v>
      </c>
      <c r="G36" s="447" t="inlineStr">
        <is>
          <t>감정평가 외</t>
        </is>
      </c>
      <c r="H36" s="448" t="n">
        <v>5671804070</v>
      </c>
      <c r="I36" s="448" t="inlineStr">
        <is>
          <t>-</t>
        </is>
      </c>
      <c r="L36" s="104">
        <f>MID(B36,17,3)</f>
        <v/>
      </c>
    </row>
    <row r="37" ht="41.25" customHeight="1" s="308" thickBot="1" thickTop="1">
      <c r="B37" s="129" t="n">
        <v>35</v>
      </c>
      <c r="C37" s="130" t="inlineStr">
        <is>
          <t>신도시셀프</t>
        </is>
      </c>
      <c r="D37" s="130" t="inlineStr">
        <is>
          <t>경기도 안산시 상록구 월피동 445-5</t>
        </is>
      </c>
      <c r="E37" s="445" t="n">
        <v>6584865000</v>
      </c>
      <c r="F37" s="446" t="n">
        <v>996000360</v>
      </c>
      <c r="G37" s="447" t="inlineStr">
        <is>
          <t>감정평가 외</t>
        </is>
      </c>
      <c r="H37" s="448" t="n">
        <v>7580865360</v>
      </c>
      <c r="I37" s="448" t="inlineStr">
        <is>
          <t>-</t>
        </is>
      </c>
      <c r="L37" s="104">
        <f>MID(B37,17,3)</f>
        <v/>
      </c>
    </row>
    <row r="38" ht="41.25" customHeight="1" s="308" thickBot="1" thickTop="1">
      <c r="B38" s="129" t="n">
        <v>36</v>
      </c>
      <c r="C38" s="130" t="inlineStr">
        <is>
          <t>제이셀프</t>
        </is>
      </c>
      <c r="D38" s="130" t="inlineStr">
        <is>
          <t>경기도 안산시 선부동 1076-16</t>
        </is>
      </c>
      <c r="E38" s="445" t="inlineStr">
        <is>
          <t>-</t>
        </is>
      </c>
      <c r="F38" s="446" t="inlineStr">
        <is>
          <t>-</t>
        </is>
      </c>
      <c r="G38" s="447" t="inlineStr">
        <is>
          <t>-</t>
        </is>
      </c>
      <c r="H38" s="447" t="inlineStr">
        <is>
          <t>-</t>
        </is>
      </c>
      <c r="I38" s="448" t="inlineStr">
        <is>
          <t>타인점유사용</t>
        </is>
      </c>
      <c r="L38" s="104">
        <f>MID(B38,17,3)</f>
        <v/>
      </c>
    </row>
    <row r="39" ht="41.25" customHeight="1" s="308" thickBot="1" thickTop="1">
      <c r="B39" s="129" t="n">
        <v>37</v>
      </c>
      <c r="C39" s="130" t="inlineStr">
        <is>
          <t>동양</t>
        </is>
      </c>
      <c r="D39" s="130" t="inlineStr">
        <is>
          <t>경기도 안산시 단원구 신길동 1743</t>
        </is>
      </c>
      <c r="E39" s="445" t="n">
        <v>3340590000</v>
      </c>
      <c r="F39" s="446" t="n">
        <v>25493000</v>
      </c>
      <c r="G39" s="447" t="inlineStr">
        <is>
          <t>감정평가 외</t>
        </is>
      </c>
      <c r="H39" s="448" t="n">
        <v>3366083000</v>
      </c>
      <c r="I39" s="448" t="inlineStr">
        <is>
          <t>-</t>
        </is>
      </c>
      <c r="K39" s="449" t="n"/>
      <c r="L39" s="104">
        <f>MID(B39,17,3)</f>
        <v/>
      </c>
    </row>
    <row r="40" ht="41.25" customHeight="1" s="308" thickBot="1" thickTop="1">
      <c r="B40" s="129" t="n">
        <v>39</v>
      </c>
      <c r="C40" s="130" t="inlineStr">
        <is>
          <t>반월셀프</t>
        </is>
      </c>
      <c r="D40" s="130" t="inlineStr">
        <is>
          <t xml:space="preserve">경기도 안산시 일동 648 외 </t>
        </is>
      </c>
      <c r="E40" s="445" t="n">
        <v>3646812000</v>
      </c>
      <c r="F40" s="446" t="n">
        <v>24631390</v>
      </c>
      <c r="G40" s="447" t="inlineStr">
        <is>
          <t>감정평가 외</t>
        </is>
      </c>
      <c r="H40" s="448" t="n">
        <v>3671443390</v>
      </c>
      <c r="I40" s="448" t="inlineStr">
        <is>
          <t>-</t>
        </is>
      </c>
      <c r="L40" s="104">
        <f>MID(B40,17,3)</f>
        <v/>
      </c>
    </row>
    <row r="41" ht="41.25" customHeight="1" s="308" thickBot="1" thickTop="1">
      <c r="B41" s="129" t="n">
        <v>40</v>
      </c>
      <c r="C41" s="130" t="inlineStr">
        <is>
          <t>팔곡셀프</t>
        </is>
      </c>
      <c r="D41" s="130" t="inlineStr">
        <is>
          <t>경기도 안산시 팔곡이동 445-4</t>
        </is>
      </c>
      <c r="E41" s="445" t="n">
        <v>3741700000</v>
      </c>
      <c r="F41" s="446" t="n">
        <v>98104160</v>
      </c>
      <c r="G41" s="447" t="inlineStr">
        <is>
          <t>감정평가 외</t>
        </is>
      </c>
      <c r="H41" s="448" t="n">
        <v>3839804160</v>
      </c>
      <c r="I41" s="448" t="inlineStr">
        <is>
          <t>-</t>
        </is>
      </c>
      <c r="L41" s="104">
        <f>MID(B41,17,3)</f>
        <v/>
      </c>
    </row>
    <row r="42" ht="41.25" customHeight="1" s="308" thickBot="1" thickTop="1">
      <c r="B42" s="129" t="n">
        <v>41</v>
      </c>
      <c r="C42" s="130" t="inlineStr">
        <is>
          <t>안성TG</t>
        </is>
      </c>
      <c r="D42" s="130" t="inlineStr">
        <is>
          <t>경기도 안성시 공도면 진사리 2-6 외</t>
        </is>
      </c>
      <c r="E42" s="445" t="n">
        <v>5148960000</v>
      </c>
      <c r="F42" s="446" t="n">
        <v>161997080</v>
      </c>
      <c r="G42" s="447" t="inlineStr">
        <is>
          <t>감정평가 외</t>
        </is>
      </c>
      <c r="H42" s="448" t="n">
        <v>5310957080</v>
      </c>
      <c r="I42" s="448" t="inlineStr">
        <is>
          <t>-</t>
        </is>
      </c>
      <c r="L42" s="104">
        <f>MID(B42,17,3)</f>
        <v/>
      </c>
    </row>
    <row r="43" ht="41.25" customHeight="1" s="308" thickBot="1" thickTop="1">
      <c r="B43" s="129" t="n">
        <v>42</v>
      </c>
      <c r="C43" s="130" t="inlineStr">
        <is>
          <t>관양현대셀프</t>
        </is>
      </c>
      <c r="D43" s="130" t="inlineStr">
        <is>
          <t>경기도 안양시 동안구 관양동 1466-3 외</t>
        </is>
      </c>
      <c r="E43" s="445" t="n">
        <v>8724396000</v>
      </c>
      <c r="F43" s="446" t="n">
        <v>297608040</v>
      </c>
      <c r="G43" s="447" t="inlineStr">
        <is>
          <t>감정평가 외</t>
        </is>
      </c>
      <c r="H43" s="448" t="n">
        <v>9022004040</v>
      </c>
      <c r="I43" s="448" t="inlineStr">
        <is>
          <t>-</t>
        </is>
      </c>
      <c r="L43" s="104">
        <f>MID(B43,17,3)</f>
        <v/>
      </c>
    </row>
    <row r="44" ht="41.25" customHeight="1" s="308" thickBot="1" thickTop="1">
      <c r="B44" s="129" t="n">
        <v>43</v>
      </c>
      <c r="C44" s="130" t="inlineStr">
        <is>
          <t>비산현대셀프</t>
        </is>
      </c>
      <c r="D44" s="130" t="inlineStr">
        <is>
          <t>경기도 안양시 동안구 비산동 576-13</t>
        </is>
      </c>
      <c r="E44" s="445" t="n">
        <v>35789656000</v>
      </c>
      <c r="F44" s="446" t="n">
        <v>1778170830</v>
      </c>
      <c r="G44" s="447" t="inlineStr">
        <is>
          <t>감정평가 외</t>
        </is>
      </c>
      <c r="H44" s="448" t="n">
        <v>37567826830</v>
      </c>
      <c r="I44" s="448" t="inlineStr">
        <is>
          <t>-</t>
        </is>
      </c>
      <c r="L44" s="104">
        <f>MID(B44,17,3)</f>
        <v/>
      </c>
    </row>
    <row r="45" ht="41.25" customHeight="1" s="308" thickBot="1" thickTop="1">
      <c r="B45" s="129" t="n">
        <v>44</v>
      </c>
      <c r="C45" s="130" t="inlineStr">
        <is>
          <t>호계현대셀프</t>
        </is>
      </c>
      <c r="D45" s="130" t="inlineStr">
        <is>
          <t>경기도 안양시 동안구 호계동 1006-7</t>
        </is>
      </c>
      <c r="E45" s="445" t="n">
        <v>5542400000</v>
      </c>
      <c r="F45" s="446" t="n">
        <v>346785010</v>
      </c>
      <c r="G45" s="447" t="inlineStr">
        <is>
          <t>감정평가 외</t>
        </is>
      </c>
      <c r="H45" s="448" t="n">
        <v>5889185010</v>
      </c>
      <c r="I45" s="448" t="inlineStr">
        <is>
          <t>-</t>
        </is>
      </c>
      <c r="L45" s="104">
        <f>MID(B45,17,3)</f>
        <v/>
      </c>
    </row>
    <row r="46" ht="41.25" customHeight="1" s="308" thickBot="1" thickTop="1">
      <c r="B46" s="129" t="n">
        <v>45</v>
      </c>
      <c r="C46" s="130" t="inlineStr">
        <is>
          <t>석수현대셀프</t>
        </is>
      </c>
      <c r="D46" s="130" t="inlineStr">
        <is>
          <t>경기도 안양시 만안구 석수동 259-1</t>
        </is>
      </c>
      <c r="E46" s="445" t="n">
        <v>13103838000</v>
      </c>
      <c r="F46" s="446" t="n">
        <v>510273460</v>
      </c>
      <c r="G46" s="447" t="inlineStr">
        <is>
          <t>감정평가 외</t>
        </is>
      </c>
      <c r="H46" s="448" t="n">
        <v>13614111460</v>
      </c>
      <c r="I46" s="448" t="inlineStr">
        <is>
          <t>-</t>
        </is>
      </c>
      <c r="L46" s="104">
        <f>MID(B46,17,3)</f>
        <v/>
      </c>
    </row>
    <row r="47" ht="41.25" customHeight="1" s="308" thickBot="1" thickTop="1">
      <c r="B47" s="129" t="n">
        <v>46</v>
      </c>
      <c r="C47" s="130" t="inlineStr">
        <is>
          <t>드림셀프</t>
        </is>
      </c>
      <c r="D47" s="130" t="inlineStr">
        <is>
          <t>경기도 양주시 광사동 659-3</t>
        </is>
      </c>
      <c r="E47" s="445" t="n">
        <v>3019112000</v>
      </c>
      <c r="F47" s="446" t="n">
        <v>123303600</v>
      </c>
      <c r="G47" s="447" t="inlineStr">
        <is>
          <t>감정평가 외</t>
        </is>
      </c>
      <c r="H47" s="448" t="n">
        <v>3142415600</v>
      </c>
      <c r="I47" s="448" t="inlineStr">
        <is>
          <t>-</t>
        </is>
      </c>
      <c r="L47" s="104">
        <f>MID(B47,17,3)</f>
        <v/>
      </c>
    </row>
    <row r="48" ht="41.25" customHeight="1" s="308" thickBot="1" thickTop="1">
      <c r="B48" s="129" t="n">
        <v>47</v>
      </c>
      <c r="C48" s="130" t="inlineStr">
        <is>
          <t>오산셀프</t>
        </is>
      </c>
      <c r="D48" s="130" t="inlineStr">
        <is>
          <t>경기도 오산시 원동 513</t>
        </is>
      </c>
      <c r="E48" s="445" t="n">
        <v>3023820000</v>
      </c>
      <c r="F48" s="446" t="n">
        <v>220067160</v>
      </c>
      <c r="G48" s="447" t="inlineStr">
        <is>
          <t>감정평가 외</t>
        </is>
      </c>
      <c r="H48" s="448" t="n">
        <v>3243887160</v>
      </c>
      <c r="I48" s="448" t="inlineStr">
        <is>
          <t>-</t>
        </is>
      </c>
      <c r="L48" s="104">
        <f>MID(B48,17,3)</f>
        <v/>
      </c>
    </row>
    <row r="49" ht="41.25" customHeight="1" s="308" thickBot="1" thickTop="1">
      <c r="B49" s="129" t="n">
        <v>48</v>
      </c>
      <c r="C49" s="130" t="inlineStr">
        <is>
          <t>동백스카이셀프</t>
        </is>
      </c>
      <c r="D49" s="130" t="inlineStr">
        <is>
          <t>경기도 용인시 기흥구 상하동 639-1</t>
        </is>
      </c>
      <c r="E49" s="445" t="n">
        <v>13578930000</v>
      </c>
      <c r="F49" s="446" t="n">
        <v>493740300</v>
      </c>
      <c r="G49" s="447" t="inlineStr">
        <is>
          <t>감정평가 외</t>
        </is>
      </c>
      <c r="H49" s="448" t="n">
        <v>14072670300</v>
      </c>
      <c r="I49" s="448" t="inlineStr">
        <is>
          <t>-</t>
        </is>
      </c>
      <c r="L49" s="104">
        <f>MID(B49,17,3)</f>
        <v/>
      </c>
    </row>
    <row r="50" ht="41.25" customHeight="1" s="308" thickBot="1" thickTop="1">
      <c r="B50" s="129" t="n">
        <v>49</v>
      </c>
      <c r="C50" s="130" t="inlineStr">
        <is>
          <t>기흥현대셀프</t>
        </is>
      </c>
      <c r="D50" s="130" t="inlineStr">
        <is>
          <t>경기도 용인시 기흥구 구갈동 270-1</t>
        </is>
      </c>
      <c r="E50" s="445" t="n">
        <v>3591864000</v>
      </c>
      <c r="F50" s="446" t="n">
        <v>107891350</v>
      </c>
      <c r="G50" s="447" t="inlineStr">
        <is>
          <t>감정평가 외</t>
        </is>
      </c>
      <c r="H50" s="448" t="n">
        <v>3699755350</v>
      </c>
      <c r="I50" s="448" t="inlineStr">
        <is>
          <t>-</t>
        </is>
      </c>
      <c r="L50" s="104">
        <f>MID(B50,17,3)</f>
        <v/>
      </c>
    </row>
    <row r="51" ht="41.25" customHeight="1" s="308" thickBot="1" thickTop="1">
      <c r="B51" s="129" t="n">
        <v>50</v>
      </c>
      <c r="C51" s="130" t="inlineStr">
        <is>
          <t>기흥TG셀프</t>
        </is>
      </c>
      <c r="D51" s="130" t="inlineStr">
        <is>
          <t>경기도 용인시 기흥구 농서동 267-2 외</t>
        </is>
      </c>
      <c r="E51" s="445" t="n">
        <v>2895450000</v>
      </c>
      <c r="F51" s="446" t="n">
        <v>149480050</v>
      </c>
      <c r="G51" s="447" t="inlineStr">
        <is>
          <t>감정평가 외</t>
        </is>
      </c>
      <c r="H51" s="448" t="n">
        <v>3044930050</v>
      </c>
      <c r="I51" s="448" t="inlineStr">
        <is>
          <t>-</t>
        </is>
      </c>
      <c r="L51" s="104">
        <f>MID(B51,17,3)</f>
        <v/>
      </c>
    </row>
    <row r="52" ht="41.25" customHeight="1" s="308" thickBot="1" thickTop="1">
      <c r="B52" s="129" t="n">
        <v>51</v>
      </c>
      <c r="C52" s="130" t="inlineStr">
        <is>
          <t>용인현대셀프</t>
        </is>
      </c>
      <c r="D52" s="130" t="inlineStr">
        <is>
          <t>경기도 용인시 처인구 남동 404-2</t>
        </is>
      </c>
      <c r="E52" s="445" t="n">
        <v>5527620000</v>
      </c>
      <c r="F52" s="446" t="n">
        <v>181553290</v>
      </c>
      <c r="G52" s="447" t="inlineStr">
        <is>
          <t>감정평가 외</t>
        </is>
      </c>
      <c r="H52" s="448" t="n">
        <v>5709173290</v>
      </c>
      <c r="I52" s="448" t="inlineStr">
        <is>
          <t>-</t>
        </is>
      </c>
      <c r="L52" s="104">
        <f>MID(B52,17,3)</f>
        <v/>
      </c>
    </row>
    <row r="53" ht="41.25" customHeight="1" s="308" thickBot="1" thickTop="1">
      <c r="B53" s="129" t="n">
        <v>52</v>
      </c>
      <c r="C53" s="130" t="inlineStr">
        <is>
          <t>마평현대셀프</t>
        </is>
      </c>
      <c r="D53" s="130" t="inlineStr">
        <is>
          <t>경기도 용인시 처인구 마평동 533-7</t>
        </is>
      </c>
      <c r="E53" s="445" t="n">
        <v>2200320000</v>
      </c>
      <c r="F53" s="446" t="n">
        <v>85675980</v>
      </c>
      <c r="G53" s="447" t="inlineStr">
        <is>
          <t>감정평가 외</t>
        </is>
      </c>
      <c r="H53" s="448" t="n">
        <v>2285995980</v>
      </c>
      <c r="I53" s="448" t="inlineStr">
        <is>
          <t>-</t>
        </is>
      </c>
      <c r="L53" s="104">
        <f>MID(B53,17,3)</f>
        <v/>
      </c>
    </row>
    <row r="54" ht="41.25" customHeight="1" s="308" thickBot="1" thickTop="1">
      <c r="B54" s="129" t="n">
        <v>53</v>
      </c>
      <c r="C54" s="130" t="inlineStr">
        <is>
          <t>백암</t>
        </is>
      </c>
      <c r="D54" s="130" t="inlineStr">
        <is>
          <t>경기도 용인시 처인구 백암면 근곡리 690-2</t>
        </is>
      </c>
      <c r="E54" s="445" t="n">
        <v>647884000</v>
      </c>
      <c r="F54" s="446" t="n">
        <v>128938980</v>
      </c>
      <c r="G54" s="447" t="inlineStr">
        <is>
          <t>감정평가 외</t>
        </is>
      </c>
      <c r="H54" s="448" t="n">
        <v>776822980</v>
      </c>
      <c r="I54" s="448" t="inlineStr">
        <is>
          <t>-</t>
        </is>
      </c>
      <c r="L54" s="104">
        <f>MID(B54,17,3)</f>
        <v/>
      </c>
    </row>
    <row r="55" ht="41.25" customHeight="1" s="308" thickBot="1" thickTop="1">
      <c r="B55" s="129" t="n">
        <v>54</v>
      </c>
      <c r="C55" s="130" t="inlineStr">
        <is>
          <t>수지현대셀프</t>
        </is>
      </c>
      <c r="D55" s="130" t="inlineStr">
        <is>
          <t>경기도 용인시 수지구 상현동 373-3 외</t>
        </is>
      </c>
      <c r="E55" s="445" t="n">
        <v>3965360000</v>
      </c>
      <c r="F55" s="446" t="n">
        <v>213505600</v>
      </c>
      <c r="G55" s="447" t="inlineStr">
        <is>
          <t>감정평가 외</t>
        </is>
      </c>
      <c r="H55" s="448" t="n">
        <v>4178865600</v>
      </c>
      <c r="I55" s="448" t="inlineStr">
        <is>
          <t>-</t>
        </is>
      </c>
      <c r="L55" s="104">
        <f>MID(B55,17,3)</f>
        <v/>
      </c>
    </row>
    <row r="56" ht="41.25" customHeight="1" s="308" thickBot="1" thickTop="1">
      <c r="B56" s="129" t="n">
        <v>55</v>
      </c>
      <c r="C56" s="130" t="inlineStr">
        <is>
          <t>성복현대</t>
        </is>
      </c>
      <c r="D56" s="130" t="inlineStr">
        <is>
          <t>경기도 용인시 수지구 성복동 54-6</t>
        </is>
      </c>
      <c r="E56" s="445" t="n">
        <v>7584940000</v>
      </c>
      <c r="F56" s="446" t="n">
        <v>134205000</v>
      </c>
      <c r="G56" s="447" t="inlineStr">
        <is>
          <t>감정평가 외</t>
        </is>
      </c>
      <c r="H56" s="448" t="n">
        <v>7719145000</v>
      </c>
      <c r="I56" s="448" t="inlineStr">
        <is>
          <t>-</t>
        </is>
      </c>
      <c r="L56" s="104">
        <f>MID(B56,17,3)</f>
        <v/>
      </c>
    </row>
    <row r="57" ht="41.25" customHeight="1" s="308" thickBot="1" thickTop="1">
      <c r="B57" s="129" t="n">
        <v>56</v>
      </c>
      <c r="C57" s="130" t="inlineStr">
        <is>
          <t>죽전현대셀프</t>
        </is>
      </c>
      <c r="D57" s="130" t="inlineStr">
        <is>
          <t>경기도 용인시 수지구 죽전동 889</t>
        </is>
      </c>
      <c r="E57" s="445" t="n">
        <v>8782200000</v>
      </c>
      <c r="F57" s="446" t="n">
        <v>373725100</v>
      </c>
      <c r="G57" s="447" t="inlineStr">
        <is>
          <t>감정평가 외</t>
        </is>
      </c>
      <c r="H57" s="448" t="n">
        <v>9155925100</v>
      </c>
      <c r="I57" s="448" t="inlineStr">
        <is>
          <t>-</t>
        </is>
      </c>
      <c r="L57" s="104">
        <f>MID(B57,17,3)</f>
        <v/>
      </c>
    </row>
    <row r="58" ht="41.25" customHeight="1" s="308" thickBot="1" thickTop="1">
      <c r="B58" s="129" t="n">
        <v>57</v>
      </c>
      <c r="C58" s="130" t="inlineStr">
        <is>
          <t>용인IC셀프</t>
        </is>
      </c>
      <c r="D58" s="130" t="inlineStr">
        <is>
          <t>경기도 용인시 처인구 유방동 245</t>
        </is>
      </c>
      <c r="E58" s="445" t="n">
        <v>5414510000</v>
      </c>
      <c r="F58" s="446" t="n">
        <v>129108320</v>
      </c>
      <c r="G58" s="447" t="inlineStr">
        <is>
          <t>감정평가 외</t>
        </is>
      </c>
      <c r="H58" s="448" t="n">
        <v>5543618320</v>
      </c>
      <c r="I58" s="448" t="inlineStr">
        <is>
          <t>-</t>
        </is>
      </c>
      <c r="L58" s="104">
        <f>MID(B58,17,3)</f>
        <v/>
      </c>
    </row>
    <row r="59" ht="41.25" customHeight="1" s="308" thickBot="1" thickTop="1">
      <c r="B59" s="129" t="n">
        <v>58</v>
      </c>
      <c r="C59" s="130" t="inlineStr">
        <is>
          <t>둔전셀프</t>
        </is>
      </c>
      <c r="D59" s="130" t="inlineStr">
        <is>
          <t>경기도 용인시 처인구 포곡읍 둔전리 52-1 외</t>
        </is>
      </c>
      <c r="E59" s="445" t="n">
        <v>2986420000</v>
      </c>
      <c r="F59" s="446" t="n">
        <v>90175130</v>
      </c>
      <c r="G59" s="447" t="inlineStr">
        <is>
          <t>감정평가 외</t>
        </is>
      </c>
      <c r="H59" s="448" t="n">
        <v>3076595130</v>
      </c>
      <c r="I59" s="448" t="inlineStr">
        <is>
          <t>-</t>
        </is>
      </c>
      <c r="L59" s="104">
        <f>MID(B59,17,3)</f>
        <v/>
      </c>
    </row>
    <row r="60" ht="41.25" customHeight="1" s="308" thickBot="1" thickTop="1">
      <c r="B60" s="129" t="n">
        <v>59</v>
      </c>
      <c r="C60" s="130" t="inlineStr">
        <is>
          <t>민락셀프</t>
        </is>
      </c>
      <c r="D60" s="130" t="inlineStr">
        <is>
          <t>경기도 의정부시 용현동 2-1 외 2필지</t>
        </is>
      </c>
      <c r="E60" s="445" t="n">
        <v>5668890000</v>
      </c>
      <c r="F60" s="446" t="n">
        <v>280480760</v>
      </c>
      <c r="G60" s="447" t="inlineStr">
        <is>
          <t>감정평가 외</t>
        </is>
      </c>
      <c r="H60" s="448" t="n">
        <v>5949370760</v>
      </c>
      <c r="I60" s="448" t="inlineStr">
        <is>
          <t>-</t>
        </is>
      </c>
      <c r="L60" s="104">
        <f>MID(B60,17,3)</f>
        <v/>
      </c>
    </row>
    <row r="61" ht="41.25" customHeight="1" s="308" thickBot="1" thickTop="1">
      <c r="B61" s="129" t="n">
        <v>60</v>
      </c>
      <c r="C61" s="130" t="inlineStr">
        <is>
          <t>이천제일셀프</t>
        </is>
      </c>
      <c r="D61" s="130" t="inlineStr">
        <is>
          <t>경기도 이천시 대월면 사동리 382-6 외</t>
        </is>
      </c>
      <c r="E61" s="445" t="n">
        <v>3267240000</v>
      </c>
      <c r="F61" s="446" t="n">
        <v>154573470</v>
      </c>
      <c r="G61" s="447" t="inlineStr">
        <is>
          <t>감정평가 외</t>
        </is>
      </c>
      <c r="H61" s="448" t="n">
        <v>3421813470</v>
      </c>
      <c r="I61" s="448" t="inlineStr">
        <is>
          <t>-</t>
        </is>
      </c>
      <c r="L61" s="104">
        <f>MID(B61,17,3)</f>
        <v/>
      </c>
    </row>
    <row r="62" ht="41.25" customHeight="1" s="308" thickBot="1" thickTop="1">
      <c r="B62" s="129" t="n">
        <v>61</v>
      </c>
      <c r="C62" s="130" t="inlineStr">
        <is>
          <t>교하</t>
        </is>
      </c>
      <c r="D62" s="130" t="inlineStr">
        <is>
          <t>경기도 파주시  문발동 549-2</t>
        </is>
      </c>
      <c r="E62" s="445" t="n">
        <v>3696189000</v>
      </c>
      <c r="F62" s="446" t="n">
        <v>189445350</v>
      </c>
      <c r="G62" s="447" t="inlineStr">
        <is>
          <t>감정평가 외</t>
        </is>
      </c>
      <c r="H62" s="448" t="n">
        <v>3885634350</v>
      </c>
      <c r="I62" s="448" t="inlineStr">
        <is>
          <t>-</t>
        </is>
      </c>
      <c r="L62" s="104">
        <f>MID(B62,17,3)</f>
        <v/>
      </c>
    </row>
    <row r="63" ht="41.25" customHeight="1" s="308" thickBot="1" thickTop="1">
      <c r="B63" s="129" t="n">
        <v>62</v>
      </c>
      <c r="C63" s="130" t="inlineStr">
        <is>
          <t>서동대로</t>
        </is>
      </c>
      <c r="D63" s="130" t="inlineStr">
        <is>
          <t>경기도 평택시 오성면 죽리 10-1</t>
        </is>
      </c>
      <c r="E63" s="445" t="n">
        <v>1209108000</v>
      </c>
      <c r="F63" s="446" t="n">
        <v>31402080</v>
      </c>
      <c r="G63" s="447" t="inlineStr">
        <is>
          <t>감정평가 외</t>
        </is>
      </c>
      <c r="H63" s="448" t="n">
        <v>1240510080</v>
      </c>
      <c r="I63" s="448" t="inlineStr">
        <is>
          <t>-</t>
        </is>
      </c>
      <c r="L63" s="104">
        <f>MID(B63,17,3)</f>
        <v/>
      </c>
    </row>
    <row r="64" ht="41.25" customHeight="1" s="308" thickBot="1" thickTop="1">
      <c r="B64" s="129" t="n">
        <v>63</v>
      </c>
      <c r="C64" s="130" t="inlineStr">
        <is>
          <t>송탄제일셀프</t>
        </is>
      </c>
      <c r="D64" s="130" t="inlineStr">
        <is>
          <t>경기도 평택시 장당동 477-2 외</t>
        </is>
      </c>
      <c r="E64" s="445" t="n">
        <v>3937700000</v>
      </c>
      <c r="F64" s="446" t="n">
        <v>204974210</v>
      </c>
      <c r="G64" s="447" t="inlineStr">
        <is>
          <t>감정평가 외</t>
        </is>
      </c>
      <c r="H64" s="448" t="n">
        <v>4142674210</v>
      </c>
      <c r="I64" s="448" t="inlineStr">
        <is>
          <t>-</t>
        </is>
      </c>
      <c r="L64" s="104">
        <f>MID(B64,17,3)</f>
        <v/>
      </c>
    </row>
    <row r="65" ht="41.25" customHeight="1" s="308" thickBot="1" thickTop="1">
      <c r="B65" s="129" t="n">
        <v>64</v>
      </c>
      <c r="C65" s="130" t="inlineStr">
        <is>
          <t>포천대로셀프</t>
        </is>
      </c>
      <c r="D65" s="130" t="inlineStr">
        <is>
          <t>경기도 포천시 소흘읍 이동교리 338-30 외</t>
        </is>
      </c>
      <c r="E65" s="445" t="n">
        <v>3633700000</v>
      </c>
      <c r="F65" s="446" t="n">
        <v>107156590</v>
      </c>
      <c r="G65" s="447" t="inlineStr">
        <is>
          <t>감정평가 외</t>
        </is>
      </c>
      <c r="H65" s="448" t="n">
        <v>3740856590</v>
      </c>
      <c r="I65" s="448" t="inlineStr">
        <is>
          <t>-</t>
        </is>
      </c>
      <c r="L65" s="104">
        <f>MID(B65,17,3)</f>
        <v/>
      </c>
    </row>
    <row r="66" ht="41.25" customHeight="1" s="308" thickBot="1" thickTop="1">
      <c r="B66" s="129" t="n">
        <v>65</v>
      </c>
      <c r="C66" s="130" t="inlineStr">
        <is>
          <t>동탄제일</t>
        </is>
      </c>
      <c r="D66" s="130" t="inlineStr">
        <is>
          <t>경기도 화성시 반월동 539-1 외</t>
        </is>
      </c>
      <c r="E66" s="445" t="n">
        <v>4716920000</v>
      </c>
      <c r="F66" s="446" t="n">
        <v>150368660</v>
      </c>
      <c r="G66" s="447" t="inlineStr">
        <is>
          <t>감정평가 외</t>
        </is>
      </c>
      <c r="H66" s="448" t="n">
        <v>4867288660</v>
      </c>
      <c r="I66" s="448" t="inlineStr">
        <is>
          <t>-</t>
        </is>
      </c>
      <c r="L66" s="104">
        <f>MID(B66,17,3)</f>
        <v/>
      </c>
    </row>
    <row r="67" ht="41.25" customHeight="1" s="308" thickBot="1" thickTop="1">
      <c r="B67" s="129" t="n">
        <v>66</v>
      </c>
      <c r="C67" s="130" t="inlineStr">
        <is>
          <t>봉담IC셀프</t>
        </is>
      </c>
      <c r="D67" s="130" t="inlineStr">
        <is>
          <t>경기도 화성시 봉담읍 동화리 357-1 외</t>
        </is>
      </c>
      <c r="E67" s="445" t="n">
        <v>6661240000</v>
      </c>
      <c r="F67" s="446" t="n">
        <v>133921900</v>
      </c>
      <c r="G67" s="447" t="inlineStr">
        <is>
          <t>감정평가 외</t>
        </is>
      </c>
      <c r="H67" s="448" t="n">
        <v>6795161900</v>
      </c>
      <c r="I67" s="448" t="inlineStr">
        <is>
          <t>-</t>
        </is>
      </c>
      <c r="L67" s="104">
        <f>MID(B67,17,3)</f>
        <v/>
      </c>
    </row>
    <row r="68" ht="41.25" customHeight="1" s="308" thickBot="1" thickTop="1">
      <c r="B68" s="129" t="n">
        <v>67</v>
      </c>
      <c r="C68" s="130" t="inlineStr">
        <is>
          <t>프리미엄셀프</t>
        </is>
      </c>
      <c r="D68" s="130" t="inlineStr">
        <is>
          <t>경기도 화성시 석우동 3-6</t>
        </is>
      </c>
      <c r="E68" s="445" t="n">
        <v>11331112000</v>
      </c>
      <c r="F68" s="446" t="n">
        <v>472564840</v>
      </c>
      <c r="G68" s="447" t="inlineStr">
        <is>
          <t>감정평가 외</t>
        </is>
      </c>
      <c r="H68" s="448" t="n">
        <v>11803676840</v>
      </c>
      <c r="I68" s="448" t="inlineStr">
        <is>
          <t>-</t>
        </is>
      </c>
      <c r="L68" s="104">
        <f>MID(B68,17,3)</f>
        <v/>
      </c>
    </row>
    <row r="69" ht="41.25" customHeight="1" s="308" thickBot="1" thickTop="1">
      <c r="B69" s="129" t="n">
        <v>68</v>
      </c>
      <c r="C69" s="130" t="inlineStr">
        <is>
          <t>효행로셀프</t>
        </is>
      </c>
      <c r="D69" s="130" t="inlineStr">
        <is>
          <t>경기도 화성시 안녕동 39-1 외</t>
        </is>
      </c>
      <c r="E69" s="445" t="n">
        <v>950130000</v>
      </c>
      <c r="F69" s="446" t="n">
        <v>49010480</v>
      </c>
      <c r="G69" s="447" t="inlineStr">
        <is>
          <t>감정평가 외</t>
        </is>
      </c>
      <c r="H69" s="448" t="n">
        <v>999140480</v>
      </c>
      <c r="I69" s="448" t="inlineStr">
        <is>
          <t>-</t>
        </is>
      </c>
      <c r="L69" s="104">
        <f>MID(B69,17,3)</f>
        <v/>
      </c>
    </row>
    <row r="70" ht="41.25" customHeight="1" s="308" thickBot="1" thickTop="1">
      <c r="B70" s="129" t="n">
        <v>69</v>
      </c>
      <c r="C70" s="130" t="inlineStr">
        <is>
          <t>향남현대</t>
        </is>
      </c>
      <c r="D70" s="130" t="inlineStr">
        <is>
          <t>경기도 화성시 향남읍 제암리 286-4 외</t>
        </is>
      </c>
      <c r="E70" s="445" t="n">
        <v>3053220000</v>
      </c>
      <c r="F70" s="446" t="n">
        <v>67515000</v>
      </c>
      <c r="G70" s="447" t="inlineStr">
        <is>
          <t>감정평가 외</t>
        </is>
      </c>
      <c r="H70" s="448" t="n">
        <v>3120735000</v>
      </c>
      <c r="I70" s="448" t="inlineStr">
        <is>
          <t>-</t>
        </is>
      </c>
      <c r="L70" s="104">
        <f>MID(B70,17,3)</f>
        <v/>
      </c>
    </row>
    <row r="71" ht="41.25" customHeight="1" s="308" thickBot="1" thickTop="1">
      <c r="B71" s="129" t="n">
        <v>70</v>
      </c>
      <c r="C71" s="130" t="inlineStr">
        <is>
          <t>유화셀프</t>
        </is>
      </c>
      <c r="D71" s="130" t="inlineStr">
        <is>
          <t>인천광역시 계양구 효성동 206-9</t>
        </is>
      </c>
      <c r="E71" s="445" t="n">
        <v>7311969000</v>
      </c>
      <c r="F71" s="446" t="n">
        <v>169466100</v>
      </c>
      <c r="G71" s="447" t="inlineStr">
        <is>
          <t>감정평가 외</t>
        </is>
      </c>
      <c r="H71" s="448" t="n">
        <v>7481435100</v>
      </c>
      <c r="I71" s="448" t="inlineStr">
        <is>
          <t>-</t>
        </is>
      </c>
      <c r="L71" s="104">
        <f>MID(B71,17,3)</f>
        <v/>
      </c>
    </row>
    <row r="72" ht="41.25" customHeight="1" s="308" thickBot="1" thickTop="1">
      <c r="B72" s="129" t="n">
        <v>71</v>
      </c>
      <c r="C72" s="130" t="inlineStr">
        <is>
          <t>인천셀프</t>
        </is>
      </c>
      <c r="D72" s="130" t="inlineStr">
        <is>
          <t>인천광역시 남구 도화동 53-1</t>
        </is>
      </c>
      <c r="E72" s="445" t="n">
        <v>6315015000</v>
      </c>
      <c r="F72" s="446" t="n">
        <v>287840630</v>
      </c>
      <c r="G72" s="447" t="inlineStr">
        <is>
          <t>감정평가 외</t>
        </is>
      </c>
      <c r="H72" s="448" t="n">
        <v>6602855630</v>
      </c>
      <c r="I72" s="448" t="inlineStr">
        <is>
          <t>-</t>
        </is>
      </c>
      <c r="L72" s="104">
        <f>MID(B72,17,3)</f>
        <v/>
      </c>
    </row>
    <row r="73" ht="41.25" customHeight="1" s="308" thickBot="1" thickTop="1">
      <c r="B73" s="129" t="n">
        <v>72</v>
      </c>
      <c r="C73" s="130" t="inlineStr">
        <is>
          <t>미추홀셀프</t>
        </is>
      </c>
      <c r="D73" s="130" t="inlineStr">
        <is>
          <t>인천광역시 남구 주안동 1468</t>
        </is>
      </c>
      <c r="E73" s="445" t="n">
        <v>6892380000</v>
      </c>
      <c r="F73" s="446" t="n">
        <v>39985540</v>
      </c>
      <c r="G73" s="447" t="inlineStr">
        <is>
          <t>감정평가 외</t>
        </is>
      </c>
      <c r="H73" s="448" t="n">
        <v>6932365540</v>
      </c>
      <c r="I73" s="448" t="inlineStr">
        <is>
          <t>-</t>
        </is>
      </c>
      <c r="L73" s="104">
        <f>MID(B73,17,3)</f>
        <v/>
      </c>
    </row>
    <row r="74" ht="41.25" customHeight="1" s="308" thickBot="1" thickTop="1">
      <c r="B74" s="129" t="n">
        <v>73</v>
      </c>
      <c r="C74" s="130" t="inlineStr">
        <is>
          <t>공단2</t>
        </is>
      </c>
      <c r="D74" s="130" t="inlineStr">
        <is>
          <t>인천광역시 남동구 고잔동 673-10</t>
        </is>
      </c>
      <c r="E74" s="445" t="n">
        <v>14542800000</v>
      </c>
      <c r="F74" s="446" t="n">
        <v>758059930</v>
      </c>
      <c r="G74" s="447" t="inlineStr">
        <is>
          <t>감정평가 외</t>
        </is>
      </c>
      <c r="H74" s="448" t="n">
        <v>15300859930</v>
      </c>
      <c r="I74" s="448" t="inlineStr">
        <is>
          <t>-</t>
        </is>
      </c>
      <c r="L74" s="104">
        <f>MID(B74,17,3)</f>
        <v/>
      </c>
    </row>
    <row r="75" ht="41.25" customHeight="1" s="308" thickBot="1" thickTop="1">
      <c r="B75" s="129" t="n">
        <v>74</v>
      </c>
      <c r="C75" s="130" t="inlineStr">
        <is>
          <t>공단1</t>
        </is>
      </c>
      <c r="D75" s="130" t="inlineStr">
        <is>
          <t>인천광역시 남동구 남촌동 624</t>
        </is>
      </c>
      <c r="E75" s="445" t="n">
        <v>12547980000</v>
      </c>
      <c r="F75" s="446" t="n">
        <v>299211880</v>
      </c>
      <c r="G75" s="447" t="inlineStr">
        <is>
          <t>감정평가 외</t>
        </is>
      </c>
      <c r="H75" s="448" t="n">
        <v>12847191880</v>
      </c>
      <c r="I75" s="448" t="inlineStr">
        <is>
          <t>-</t>
        </is>
      </c>
      <c r="L75" s="104">
        <f>MID(B75,17,3)</f>
        <v/>
      </c>
    </row>
    <row r="76" ht="41.25" customHeight="1" s="308" thickBot="1" thickTop="1">
      <c r="B76" s="129" t="n">
        <v>75</v>
      </c>
      <c r="C76" s="130" t="inlineStr">
        <is>
          <t>부평공단셀프</t>
        </is>
      </c>
      <c r="D76" s="130" t="inlineStr">
        <is>
          <t>인천광역시 부평구 갈산동 181-8</t>
        </is>
      </c>
      <c r="E76" s="445" t="n">
        <v>10870055000</v>
      </c>
      <c r="F76" s="446" t="n">
        <v>205372200</v>
      </c>
      <c r="G76" s="447" t="inlineStr">
        <is>
          <t>감정평가 외</t>
        </is>
      </c>
      <c r="H76" s="448" t="n">
        <v>11075427200</v>
      </c>
      <c r="I76" s="448" t="inlineStr">
        <is>
          <t>-</t>
        </is>
      </c>
      <c r="L76" s="104">
        <f>MID(B76,17,3)</f>
        <v/>
      </c>
    </row>
    <row r="77" ht="41.25" customHeight="1" s="308" thickBot="1" thickTop="1">
      <c r="B77" s="129" t="n">
        <v>76</v>
      </c>
      <c r="C77" s="130" t="inlineStr">
        <is>
          <t>산곡셀프</t>
        </is>
      </c>
      <c r="D77" s="130" t="inlineStr">
        <is>
          <t>인천광역시 부평구 산곡동 411-16</t>
        </is>
      </c>
      <c r="E77" s="445" t="n">
        <v>5141762000</v>
      </c>
      <c r="F77" s="446" t="n">
        <v>200573280</v>
      </c>
      <c r="G77" s="447" t="inlineStr">
        <is>
          <t>감정평가 외</t>
        </is>
      </c>
      <c r="H77" s="448" t="n">
        <v>5342335280</v>
      </c>
      <c r="I77" s="448" t="inlineStr">
        <is>
          <t>-</t>
        </is>
      </c>
      <c r="L77" s="104">
        <f>MID(B77,17,3)</f>
        <v/>
      </c>
    </row>
    <row r="78" ht="41.25" customHeight="1" s="308" thickBot="1" thickTop="1">
      <c r="B78" s="129" t="n">
        <v>77</v>
      </c>
      <c r="C78" s="130" t="inlineStr">
        <is>
          <t>서인천셀프</t>
        </is>
      </c>
      <c r="D78" s="130" t="inlineStr">
        <is>
          <t>인천광역시 서구 연희동 711-4</t>
        </is>
      </c>
      <c r="E78" s="445" t="n">
        <v>7320159000</v>
      </c>
      <c r="F78" s="446" t="n">
        <v>446094800</v>
      </c>
      <c r="G78" s="447" t="inlineStr">
        <is>
          <t>감정평가 외</t>
        </is>
      </c>
      <c r="H78" s="448" t="n">
        <v>7766253800</v>
      </c>
      <c r="I78" s="448" t="inlineStr">
        <is>
          <t>-</t>
        </is>
      </c>
      <c r="L78" s="104">
        <f>MID(B78,17,3)</f>
        <v/>
      </c>
    </row>
    <row r="79" ht="41.25" customHeight="1" s="308" thickBot="1" thickTop="1">
      <c r="B79" s="129" t="n">
        <v>78</v>
      </c>
      <c r="C79" s="130" t="inlineStr">
        <is>
          <t>인천대교</t>
        </is>
      </c>
      <c r="D79" s="130" t="inlineStr">
        <is>
          <t>인천광역시 연수구 동춘동 913-4</t>
        </is>
      </c>
      <c r="E79" s="445" t="n">
        <v>5987720000</v>
      </c>
      <c r="F79" s="446" t="n">
        <v>205637870</v>
      </c>
      <c r="G79" s="447" t="inlineStr">
        <is>
          <t>감정평가 외</t>
        </is>
      </c>
      <c r="H79" s="448" t="n">
        <v>6193357870</v>
      </c>
      <c r="I79" s="448" t="inlineStr">
        <is>
          <t>-</t>
        </is>
      </c>
      <c r="L79" s="104">
        <f>MID(B79,17,3)</f>
        <v/>
      </c>
    </row>
    <row r="80" ht="41.25" customHeight="1" s="308" thickBot="1" thickTop="1">
      <c r="B80" s="129" t="n">
        <v>79</v>
      </c>
      <c r="C80" s="130" t="inlineStr">
        <is>
          <t>송도셀프</t>
        </is>
      </c>
      <c r="D80" s="130" t="inlineStr">
        <is>
          <t>인천광역시 연수구 송도동 158-4</t>
        </is>
      </c>
      <c r="E80" s="445" t="n">
        <v>10039979000</v>
      </c>
      <c r="F80" s="446" t="n">
        <v>739333800</v>
      </c>
      <c r="G80" s="447" t="inlineStr">
        <is>
          <t>감정평가 외</t>
        </is>
      </c>
      <c r="H80" s="448" t="n">
        <v>10779312800</v>
      </c>
      <c r="I80" s="448" t="inlineStr">
        <is>
          <t>-</t>
        </is>
      </c>
      <c r="L80" s="104">
        <f>MID(B80,17,3)</f>
        <v/>
      </c>
    </row>
    <row r="81" ht="41.25" customHeight="1" s="308" thickBot="1" thickTop="1">
      <c r="B81" s="129" t="n">
        <v>80</v>
      </c>
      <c r="C81" s="130" t="inlineStr">
        <is>
          <t>송도역</t>
        </is>
      </c>
      <c r="D81" s="130" t="inlineStr">
        <is>
          <t>인천광역시 연수구 옥련동 304-7</t>
        </is>
      </c>
      <c r="E81" s="445" t="n">
        <v>6284060000</v>
      </c>
      <c r="F81" s="446" t="n">
        <v>488452100</v>
      </c>
      <c r="G81" s="447" t="inlineStr">
        <is>
          <t>감정평가 외</t>
        </is>
      </c>
      <c r="H81" s="448" t="n">
        <v>6772512100</v>
      </c>
      <c r="I81" s="448" t="inlineStr">
        <is>
          <t>-</t>
        </is>
      </c>
      <c r="L81" s="104">
        <f>MID(B81,17,3)</f>
        <v/>
      </c>
    </row>
    <row r="82" ht="41.25" customHeight="1" s="308" thickBot="1" thickTop="1">
      <c r="B82" s="129" t="n">
        <v>81</v>
      </c>
      <c r="C82" s="130" t="inlineStr">
        <is>
          <t>신공항</t>
        </is>
      </c>
      <c r="D82" s="130" t="inlineStr">
        <is>
          <t>인천광역시 중구 운서동 2797-1</t>
        </is>
      </c>
      <c r="E82" s="445" t="n">
        <v>10550316000</v>
      </c>
      <c r="F82" s="446" t="n">
        <v>282112640</v>
      </c>
      <c r="G82" s="447" t="inlineStr">
        <is>
          <t>감정평가 외</t>
        </is>
      </c>
      <c r="H82" s="448" t="n">
        <v>10832428640</v>
      </c>
      <c r="I82" s="448" t="inlineStr">
        <is>
          <t>-</t>
        </is>
      </c>
      <c r="L82" s="104">
        <f>MID(B82,17,3)</f>
        <v/>
      </c>
    </row>
    <row r="83" ht="41.25" customHeight="1" s="308" thickBot="1" thickTop="1">
      <c r="B83" s="129" t="n">
        <v>82</v>
      </c>
      <c r="C83" s="130" t="inlineStr">
        <is>
          <t>영종셀프</t>
        </is>
      </c>
      <c r="D83" s="130" t="inlineStr">
        <is>
          <t>인천광역시 중구 중산동 1878-4</t>
        </is>
      </c>
      <c r="E83" s="445" t="n">
        <v>5865750000</v>
      </c>
      <c r="F83" s="446" t="n">
        <v>427814000</v>
      </c>
      <c r="G83" s="447" t="inlineStr">
        <is>
          <t>감정평가 외</t>
        </is>
      </c>
      <c r="H83" s="448" t="n">
        <v>6293564000</v>
      </c>
      <c r="I83" s="448" t="inlineStr">
        <is>
          <t>-</t>
        </is>
      </c>
      <c r="L83" s="104">
        <f>MID(B83,17,3)</f>
        <v/>
      </c>
    </row>
    <row r="84" ht="41.25" customHeight="1" s="308" thickBot="1" thickTop="1">
      <c r="B84" s="129" t="n">
        <v>83</v>
      </c>
      <c r="C84" s="130" t="inlineStr">
        <is>
          <t>샘터</t>
        </is>
      </c>
      <c r="D84" s="130" t="inlineStr">
        <is>
          <t>강원특별자치도 강릉시 연곡면 방내리 187-18</t>
        </is>
      </c>
      <c r="E84" s="445" t="n">
        <v>1443115000</v>
      </c>
      <c r="F84" s="446" t="n">
        <v>307469040</v>
      </c>
      <c r="G84" s="447" t="inlineStr">
        <is>
          <t>감정평가 외</t>
        </is>
      </c>
      <c r="H84" s="448" t="n">
        <v>1750584040</v>
      </c>
      <c r="I84" s="448" t="inlineStr">
        <is>
          <t>-</t>
        </is>
      </c>
      <c r="L84" s="104">
        <f>MID(B84,17,3)</f>
        <v/>
      </c>
    </row>
    <row r="85" ht="41.25" customHeight="1" s="308" thickBot="1" thickTop="1">
      <c r="B85" s="129" t="n">
        <v>84</v>
      </c>
      <c r="C85" s="130" t="inlineStr">
        <is>
          <t>평원현대</t>
        </is>
      </c>
      <c r="D85" s="130" t="inlineStr">
        <is>
          <t>강원특별자치도 원주시 평원동 184-3</t>
        </is>
      </c>
      <c r="E85" s="445" t="n">
        <v>4554061000</v>
      </c>
      <c r="F85" s="446" t="n">
        <v>159343670</v>
      </c>
      <c r="G85" s="447" t="inlineStr">
        <is>
          <t>감정평가 외</t>
        </is>
      </c>
      <c r="H85" s="448" t="n">
        <v>4713404670</v>
      </c>
      <c r="I85" s="448" t="inlineStr">
        <is>
          <t>-</t>
        </is>
      </c>
      <c r="L85" s="104">
        <f>MID(B85,17,3)</f>
        <v/>
      </c>
    </row>
    <row r="86" ht="41.25" customHeight="1" s="308" thickBot="1" thickTop="1">
      <c r="B86" s="129" t="n">
        <v>85</v>
      </c>
      <c r="C86" s="130" t="inlineStr">
        <is>
          <t>춘천제일</t>
        </is>
      </c>
      <c r="D86" s="130" t="inlineStr">
        <is>
          <t>강원특별자치도 춘천시 석사동 167 외</t>
        </is>
      </c>
      <c r="E86" s="445" t="n">
        <v>780973200</v>
      </c>
      <c r="F86" s="446" t="n">
        <v>140028800</v>
      </c>
      <c r="G86" s="447" t="inlineStr">
        <is>
          <t>감정평가 외</t>
        </is>
      </c>
      <c r="H86" s="448" t="n">
        <v>921002000</v>
      </c>
      <c r="I86" s="448" t="inlineStr">
        <is>
          <t>-</t>
        </is>
      </c>
      <c r="L86" s="104">
        <f>MID(B86,17,3)</f>
        <v/>
      </c>
    </row>
    <row r="87" ht="41.25" customHeight="1" s="308" thickBot="1" thickTop="1">
      <c r="B87" s="129" t="n">
        <v>86</v>
      </c>
      <c r="C87" s="130" t="inlineStr">
        <is>
          <t>개나리셀프</t>
        </is>
      </c>
      <c r="D87" s="130" t="inlineStr">
        <is>
          <t>강원특별자치도 춘천시 석사동 818-6 외</t>
        </is>
      </c>
      <c r="E87" s="445" t="n">
        <v>5029065000</v>
      </c>
      <c r="F87" s="446" t="n">
        <v>293265700</v>
      </c>
      <c r="G87" s="447" t="inlineStr">
        <is>
          <t>감정평가 외</t>
        </is>
      </c>
      <c r="H87" s="448" t="n">
        <v>5322330700</v>
      </c>
      <c r="I87" s="448" t="inlineStr">
        <is>
          <t>-</t>
        </is>
      </c>
      <c r="L87" s="104">
        <f>MID(B87,17,3)</f>
        <v/>
      </c>
    </row>
    <row r="88" ht="41.25" customHeight="1" s="308" thickBot="1" thickTop="1">
      <c r="B88" s="129" t="n">
        <v>87</v>
      </c>
      <c r="C88" s="130" t="inlineStr">
        <is>
          <t>춘천</t>
        </is>
      </c>
      <c r="D88" s="130" t="inlineStr">
        <is>
          <t>강원특별자치도 춘천시 후평동 753-6</t>
        </is>
      </c>
      <c r="E88" s="445" t="n">
        <v>2158240000</v>
      </c>
      <c r="F88" s="446" t="n">
        <v>236587680</v>
      </c>
      <c r="G88" s="447" t="inlineStr">
        <is>
          <t>감정평가 외</t>
        </is>
      </c>
      <c r="H88" s="448" t="n">
        <v>2394827680</v>
      </c>
      <c r="I88" s="448" t="inlineStr">
        <is>
          <t>-</t>
        </is>
      </c>
      <c r="L88" s="104">
        <f>MID(B88,17,3)</f>
        <v/>
      </c>
    </row>
    <row r="89" ht="41.25" customHeight="1" s="308" thickBot="1" thickTop="1">
      <c r="B89" s="129" t="n">
        <v>88</v>
      </c>
      <c r="C89" s="130" t="inlineStr">
        <is>
          <t>현대보령셀프</t>
        </is>
      </c>
      <c r="D89" s="130" t="inlineStr">
        <is>
          <t>충청남도 보령시 내항동 374</t>
        </is>
      </c>
      <c r="E89" s="445" t="n">
        <v>402620680</v>
      </c>
      <c r="F89" s="446" t="n">
        <v>48577560</v>
      </c>
      <c r="G89" s="447" t="inlineStr">
        <is>
          <t>감정평가 외</t>
        </is>
      </c>
      <c r="H89" s="448" t="n">
        <v>451198240</v>
      </c>
      <c r="I89" s="448" t="inlineStr">
        <is>
          <t>-</t>
        </is>
      </c>
      <c r="L89" s="104">
        <f>MID(B89,17,3)</f>
        <v/>
      </c>
    </row>
    <row r="90" ht="41.25" customHeight="1" s="308" thickBot="1" thickTop="1">
      <c r="B90" s="129" t="n">
        <v>89</v>
      </c>
      <c r="C90" s="130" t="inlineStr">
        <is>
          <t>잠홍셀프</t>
        </is>
      </c>
      <c r="D90" s="130" t="inlineStr">
        <is>
          <t>충청남도 서산시 잠홍동 752-1</t>
        </is>
      </c>
      <c r="E90" s="445" t="n">
        <v>1530080000</v>
      </c>
      <c r="F90" s="446" t="n">
        <v>53051240</v>
      </c>
      <c r="G90" s="447" t="inlineStr">
        <is>
          <t>감정평가 외</t>
        </is>
      </c>
      <c r="H90" s="448" t="n">
        <v>1583131240</v>
      </c>
      <c r="I90" s="448" t="inlineStr">
        <is>
          <t>-</t>
        </is>
      </c>
      <c r="L90" s="104">
        <f>MID(B90,17,3)</f>
        <v/>
      </c>
    </row>
    <row r="91" ht="41.25" customHeight="1" s="308" thickBot="1" thickTop="1">
      <c r="B91" s="129" t="n">
        <v>90</v>
      </c>
      <c r="C91" s="130" t="inlineStr">
        <is>
          <t>아산셀프</t>
        </is>
      </c>
      <c r="D91" s="130" t="inlineStr">
        <is>
          <t>충청남도 아산시 풍기동 474</t>
        </is>
      </c>
      <c r="E91" s="445" t="n">
        <v>1884808500.000001</v>
      </c>
      <c r="F91" s="446" t="n">
        <v>70427830</v>
      </c>
      <c r="G91" s="447" t="inlineStr">
        <is>
          <t>감정평가 외</t>
        </is>
      </c>
      <c r="H91" s="448" t="n">
        <v>1955236330.000001</v>
      </c>
      <c r="I91" s="448" t="inlineStr">
        <is>
          <t>타인점유사용</t>
        </is>
      </c>
      <c r="L91" s="104">
        <f>MID(B91,17,3)</f>
        <v/>
      </c>
    </row>
    <row r="92" ht="41.25" customHeight="1" s="308" thickBot="1" thickTop="1">
      <c r="B92" s="129" t="n">
        <v>91</v>
      </c>
      <c r="C92" s="130" t="inlineStr">
        <is>
          <t>천안푸른</t>
        </is>
      </c>
      <c r="D92" s="130" t="inlineStr">
        <is>
          <t>충청남도 천안시 동남구 봉명동 146-2 외</t>
        </is>
      </c>
      <c r="E92" s="445" t="n">
        <v>2204800000</v>
      </c>
      <c r="F92" s="446" t="n">
        <v>69995040</v>
      </c>
      <c r="G92" s="447" t="inlineStr">
        <is>
          <t>감정평가 외</t>
        </is>
      </c>
      <c r="H92" s="448" t="n">
        <v>2274795040</v>
      </c>
      <c r="I92" s="448" t="inlineStr">
        <is>
          <t>-</t>
        </is>
      </c>
      <c r="L92" s="104">
        <f>MID(B92,17,3)</f>
        <v/>
      </c>
    </row>
    <row r="93" ht="41.25" customHeight="1" s="308" thickBot="1" thickTop="1">
      <c r="B93" s="129" t="n">
        <v>92</v>
      </c>
      <c r="C93" s="130" t="inlineStr">
        <is>
          <t>쌍용대로셀프</t>
        </is>
      </c>
      <c r="D93" s="130" t="inlineStr">
        <is>
          <t>충청남도 천안시 동남구 봉명동 204-29</t>
        </is>
      </c>
      <c r="E93" s="445" t="n">
        <v>2485053000</v>
      </c>
      <c r="F93" s="446" t="n">
        <v>152258040</v>
      </c>
      <c r="G93" s="447" t="inlineStr">
        <is>
          <t>감정평가 외</t>
        </is>
      </c>
      <c r="H93" s="448" t="n">
        <v>2637311040</v>
      </c>
      <c r="I93" s="448" t="inlineStr">
        <is>
          <t>-</t>
        </is>
      </c>
      <c r="L93" s="104">
        <f>MID(B93,17,3)</f>
        <v/>
      </c>
    </row>
    <row r="94" ht="41.25" customHeight="1" s="308" thickBot="1" thickTop="1">
      <c r="B94" s="129" t="n">
        <v>93</v>
      </c>
      <c r="C94" s="130" t="inlineStr">
        <is>
          <t>대양셀프</t>
        </is>
      </c>
      <c r="D94" s="130" t="inlineStr">
        <is>
          <t>충청남도 천안시 서북구 쌍용동 394-10 외</t>
        </is>
      </c>
      <c r="E94" s="445" t="n">
        <v>10921154800</v>
      </c>
      <c r="F94" s="446" t="n">
        <v>494620560</v>
      </c>
      <c r="G94" s="447" t="inlineStr">
        <is>
          <t>감정평가 외</t>
        </is>
      </c>
      <c r="H94" s="448" t="n">
        <v>11415775360</v>
      </c>
      <c r="I94" s="448" t="inlineStr">
        <is>
          <t>-</t>
        </is>
      </c>
      <c r="L94" s="104">
        <f>MID(B94,17,3)</f>
        <v/>
      </c>
    </row>
    <row r="95" ht="41.25" customHeight="1" s="308" thickBot="1" thickTop="1">
      <c r="B95" s="129" t="n">
        <v>94</v>
      </c>
      <c r="C95" s="130" t="inlineStr">
        <is>
          <t>옥암</t>
        </is>
      </c>
      <c r="D95" s="130" t="inlineStr">
        <is>
          <t>충청남도 홍성군 홍성읍 옥암리 227 외</t>
        </is>
      </c>
      <c r="E95" s="445" t="n">
        <v>1661308000</v>
      </c>
      <c r="F95" s="446" t="n">
        <v>317537550</v>
      </c>
      <c r="G95" s="447" t="inlineStr">
        <is>
          <t>감정평가 외</t>
        </is>
      </c>
      <c r="H95" s="448" t="n">
        <v>1978845550</v>
      </c>
      <c r="I95" s="448" t="inlineStr">
        <is>
          <t>-</t>
        </is>
      </c>
      <c r="L95" s="104">
        <f>MID(B95,17,3)</f>
        <v/>
      </c>
    </row>
    <row r="96" ht="41.25" customHeight="1" s="308" thickBot="1" thickTop="1">
      <c r="B96" s="129" t="n">
        <v>95</v>
      </c>
      <c r="C96" s="130" t="inlineStr">
        <is>
          <t>조양</t>
        </is>
      </c>
      <c r="D96" s="130" t="inlineStr">
        <is>
          <t>충청북도 제천시 천남동 30-3 외</t>
        </is>
      </c>
      <c r="E96" s="445" t="n">
        <v>3749604000</v>
      </c>
      <c r="F96" s="446" t="n">
        <v>341981760</v>
      </c>
      <c r="G96" s="447" t="inlineStr">
        <is>
          <t>감정평가 외</t>
        </is>
      </c>
      <c r="H96" s="448" t="n">
        <v>4091585760</v>
      </c>
      <c r="I96" s="448" t="inlineStr">
        <is>
          <t>-</t>
        </is>
      </c>
      <c r="L96" s="104">
        <f>MID(B96,17,3)</f>
        <v/>
      </c>
    </row>
    <row r="97" ht="41.25" customHeight="1" s="308" thickBot="1" thickTop="1">
      <c r="B97" s="129" t="n">
        <v>96</v>
      </c>
      <c r="C97" s="130" t="inlineStr">
        <is>
          <t>제천대로셀프</t>
        </is>
      </c>
      <c r="D97" s="130" t="inlineStr">
        <is>
          <t>충청북도 제천시 청전동 125-12</t>
        </is>
      </c>
      <c r="E97" s="445" t="n">
        <v>2751573000</v>
      </c>
      <c r="F97" s="446" t="n">
        <v>202841820</v>
      </c>
      <c r="G97" s="447" t="inlineStr">
        <is>
          <t>감정평가 외</t>
        </is>
      </c>
      <c r="H97" s="448" t="n">
        <v>2954414820</v>
      </c>
      <c r="I97" s="448" t="inlineStr">
        <is>
          <t>-</t>
        </is>
      </c>
      <c r="L97" s="104">
        <f>MID(B97,17,3)</f>
        <v/>
      </c>
    </row>
    <row r="98" ht="41.25" customHeight="1" s="308" thickBot="1" thickTop="1">
      <c r="B98" s="129" t="n">
        <v>97</v>
      </c>
      <c r="C98" s="130" t="inlineStr">
        <is>
          <t>보라매</t>
        </is>
      </c>
      <c r="D98" s="130" t="inlineStr">
        <is>
          <t>충청북도 청주시 상당구 방서동 703</t>
        </is>
      </c>
      <c r="E98" s="445" t="n">
        <v>2896450000</v>
      </c>
      <c r="F98" s="446" t="n">
        <v>69696000</v>
      </c>
      <c r="G98" s="447" t="inlineStr">
        <is>
          <t>감정평가 외</t>
        </is>
      </c>
      <c r="H98" s="448" t="n">
        <v>2966146000</v>
      </c>
      <c r="I98" s="448" t="inlineStr">
        <is>
          <t>-</t>
        </is>
      </c>
      <c r="L98" s="104">
        <f>MID(B98,17,3)</f>
        <v/>
      </c>
    </row>
    <row r="99" ht="41.25" customHeight="1" s="308" thickBot="1" thickTop="1">
      <c r="B99" s="129" t="n">
        <v>98</v>
      </c>
      <c r="C99" s="130" t="inlineStr">
        <is>
          <t>수암골셀프</t>
        </is>
      </c>
      <c r="D99" s="130" t="inlineStr">
        <is>
          <t>충청북도 청주시 상당구 수동 448-1</t>
        </is>
      </c>
      <c r="E99" s="445" t="n">
        <v>3057408000</v>
      </c>
      <c r="F99" s="446" t="n">
        <v>106825840</v>
      </c>
      <c r="G99" s="447" t="inlineStr">
        <is>
          <t>감정평가 외</t>
        </is>
      </c>
      <c r="H99" s="448" t="n">
        <v>3164233840</v>
      </c>
      <c r="I99" s="448" t="inlineStr">
        <is>
          <t>-</t>
        </is>
      </c>
      <c r="L99" s="104">
        <f>MID(B99,17,3)</f>
        <v/>
      </c>
    </row>
    <row r="100" ht="41.25" customHeight="1" s="308" thickBot="1" thickTop="1">
      <c r="B100" s="129" t="n">
        <v>99</v>
      </c>
      <c r="C100" s="130" t="inlineStr">
        <is>
          <t>동서셀프</t>
        </is>
      </c>
      <c r="D100" s="130" t="inlineStr">
        <is>
          <t>충청북도 청주시 상당구 지북동 206-3 외</t>
        </is>
      </c>
      <c r="E100" s="445" t="n">
        <v>1890100000</v>
      </c>
      <c r="F100" s="446" t="n">
        <v>103772000</v>
      </c>
      <c r="G100" s="447" t="inlineStr">
        <is>
          <t>감정평가 외</t>
        </is>
      </c>
      <c r="H100" s="448" t="n">
        <v>1993872000</v>
      </c>
      <c r="I100" s="448" t="inlineStr">
        <is>
          <t>-</t>
        </is>
      </c>
      <c r="L100" s="104">
        <f>MID(B100,17,3)</f>
        <v/>
      </c>
    </row>
    <row r="101" ht="41.25" customHeight="1" s="308" thickBot="1" thickTop="1">
      <c r="B101" s="129" t="n">
        <v>100</v>
      </c>
      <c r="C101" s="130" t="inlineStr">
        <is>
          <t>서원경</t>
        </is>
      </c>
      <c r="D101" s="130" t="inlineStr">
        <is>
          <t>충청북도 청주시 흥덕구 봉명동 1614 외</t>
        </is>
      </c>
      <c r="E101" s="445" t="n">
        <v>3982058000</v>
      </c>
      <c r="F101" s="446" t="n">
        <v>106450200</v>
      </c>
      <c r="G101" s="447" t="inlineStr">
        <is>
          <t>감정평가 외</t>
        </is>
      </c>
      <c r="H101" s="448" t="n">
        <v>4088508200</v>
      </c>
      <c r="I101" s="448" t="inlineStr">
        <is>
          <t>-</t>
        </is>
      </c>
      <c r="L101" s="104">
        <f>MID(B101,17,3)</f>
        <v/>
      </c>
    </row>
    <row r="102" ht="41.25" customHeight="1" s="308" thickBot="1" thickTop="1">
      <c r="B102" s="129" t="n">
        <v>101</v>
      </c>
      <c r="C102" s="130" t="inlineStr">
        <is>
          <t>교대셀프</t>
        </is>
      </c>
      <c r="D102" s="130" t="inlineStr">
        <is>
          <t>충청북도 청주시 서원구 분평동 246-3 외</t>
        </is>
      </c>
      <c r="E102" s="445" t="n">
        <v>6637760000</v>
      </c>
      <c r="F102" s="446" t="n">
        <v>173443500</v>
      </c>
      <c r="G102" s="447" t="inlineStr">
        <is>
          <t>감정평가 외</t>
        </is>
      </c>
      <c r="H102" s="448" t="n">
        <v>6811203500</v>
      </c>
      <c r="I102" s="448" t="inlineStr">
        <is>
          <t>-</t>
        </is>
      </c>
      <c r="L102" s="104">
        <f>MID(B102,17,3)</f>
        <v/>
      </c>
    </row>
    <row r="103" ht="41.25" customHeight="1" s="308" thickBot="1" thickTop="1">
      <c r="B103" s="129" t="n">
        <v>102</v>
      </c>
      <c r="C103" s="130" t="inlineStr">
        <is>
          <t>대덕</t>
        </is>
      </c>
      <c r="D103" s="130" t="inlineStr">
        <is>
          <t>대전광역시 대덕구 상서동 442-2 외</t>
        </is>
      </c>
      <c r="E103" s="445" t="n">
        <v>2972550000</v>
      </c>
      <c r="F103" s="446" t="n">
        <v>202246060</v>
      </c>
      <c r="G103" s="447" t="inlineStr">
        <is>
          <t>감정평가 외</t>
        </is>
      </c>
      <c r="H103" s="448" t="n">
        <v>3174796060</v>
      </c>
      <c r="I103" s="448" t="inlineStr">
        <is>
          <t>-</t>
        </is>
      </c>
      <c r="L103" s="104">
        <f>MID(B103,17,3)</f>
        <v/>
      </c>
    </row>
    <row r="104" ht="41.25" customHeight="1" s="308" thickBot="1" thickTop="1">
      <c r="B104" s="129" t="n">
        <v>103</v>
      </c>
      <c r="C104" s="130" t="inlineStr">
        <is>
          <t>4공단</t>
        </is>
      </c>
      <c r="D104" s="130" t="inlineStr">
        <is>
          <t>대전광역시 대덕구 신일동 1684</t>
        </is>
      </c>
      <c r="E104" s="445" t="n">
        <v>1995266000</v>
      </c>
      <c r="F104" s="446" t="n">
        <v>180551550</v>
      </c>
      <c r="G104" s="447" t="inlineStr">
        <is>
          <t>감정평가 외</t>
        </is>
      </c>
      <c r="H104" s="448" t="n">
        <v>2175817550</v>
      </c>
      <c r="I104" s="448" t="inlineStr">
        <is>
          <t>-</t>
        </is>
      </c>
      <c r="L104" s="104">
        <f>MID(B104,17,3)</f>
        <v/>
      </c>
    </row>
    <row r="105" ht="41.25" customHeight="1" s="308" thickBot="1" thickTop="1">
      <c r="B105" s="129" t="n">
        <v>104</v>
      </c>
      <c r="C105" s="130" t="inlineStr">
        <is>
          <t>럭키셀프</t>
        </is>
      </c>
      <c r="D105" s="130" t="inlineStr">
        <is>
          <t>대전광역시 대덕구 오정동 60-17 외</t>
        </is>
      </c>
      <c r="E105" s="445" t="n">
        <v>3147760000</v>
      </c>
      <c r="F105" s="446" t="n">
        <v>132863580</v>
      </c>
      <c r="G105" s="447" t="inlineStr">
        <is>
          <t>감정평가 외</t>
        </is>
      </c>
      <c r="H105" s="448" t="n">
        <v>3280623580</v>
      </c>
      <c r="I105" s="448" t="inlineStr">
        <is>
          <t>-</t>
        </is>
      </c>
      <c r="L105" s="104">
        <f>MID(B105,17,3)</f>
        <v/>
      </c>
    </row>
    <row r="106" ht="41.25" customHeight="1" s="308" thickBot="1" thickTop="1">
      <c r="B106" s="129" t="n">
        <v>105</v>
      </c>
      <c r="C106" s="130" t="inlineStr">
        <is>
          <t>동원</t>
        </is>
      </c>
      <c r="D106" s="130" t="inlineStr">
        <is>
          <t>대전광역시 동구 삼정동 95 외</t>
        </is>
      </c>
      <c r="E106" s="445" t="n">
        <v>1129760000</v>
      </c>
      <c r="F106" s="446" t="n">
        <v>94620660</v>
      </c>
      <c r="G106" s="447" t="inlineStr">
        <is>
          <t>감정평가 외</t>
        </is>
      </c>
      <c r="H106" s="448" t="n">
        <v>1224380660</v>
      </c>
      <c r="I106" s="448" t="inlineStr">
        <is>
          <t>-</t>
        </is>
      </c>
      <c r="L106" s="104">
        <f>MID(B106,17,3)</f>
        <v/>
      </c>
    </row>
    <row r="107" ht="41.25" customHeight="1" s="308" thickBot="1" thickTop="1">
      <c r="B107" s="129" t="n">
        <v>106</v>
      </c>
      <c r="C107" s="130" t="inlineStr">
        <is>
          <t>홍도셀프</t>
        </is>
      </c>
      <c r="D107" s="130" t="inlineStr">
        <is>
          <t>대전광역시 동구 홍도동 11-23 외</t>
        </is>
      </c>
      <c r="E107" s="445" t="n">
        <v>7511637000</v>
      </c>
      <c r="F107" s="446" t="n">
        <v>365910200</v>
      </c>
      <c r="G107" s="447" t="inlineStr">
        <is>
          <t>감정평가 외</t>
        </is>
      </c>
      <c r="H107" s="448" t="n">
        <v>7877547200</v>
      </c>
      <c r="I107" s="448" t="inlineStr">
        <is>
          <t>-</t>
        </is>
      </c>
      <c r="L107" s="104">
        <f>MID(B107,17,3)</f>
        <v/>
      </c>
    </row>
    <row r="108" ht="41.25" customHeight="1" s="308" thickBot="1" thickTop="1">
      <c r="B108" s="129" t="n">
        <v>107</v>
      </c>
      <c r="C108" s="130" t="inlineStr">
        <is>
          <t>대전청사셀프</t>
        </is>
      </c>
      <c r="D108" s="130" t="inlineStr">
        <is>
          <t>대전광역시 서구 둔산동 1161 외</t>
        </is>
      </c>
      <c r="E108" s="445" t="n">
        <v>12329766000</v>
      </c>
      <c r="F108" s="446" t="n">
        <v>980321200</v>
      </c>
      <c r="G108" s="447" t="inlineStr">
        <is>
          <t>감정평가 외</t>
        </is>
      </c>
      <c r="H108" s="448" t="n">
        <v>13310087200</v>
      </c>
      <c r="I108" s="448" t="inlineStr">
        <is>
          <t>-</t>
        </is>
      </c>
      <c r="L108" s="104">
        <f>MID(B108,17,3)</f>
        <v/>
      </c>
    </row>
    <row r="109" ht="41.25" customHeight="1" s="308" thickBot="1" thickTop="1">
      <c r="B109" s="129" t="n">
        <v>108</v>
      </c>
      <c r="C109" s="130" t="inlineStr">
        <is>
          <t>노은</t>
        </is>
      </c>
      <c r="D109" s="130" t="inlineStr">
        <is>
          <t>대전광역시 유성구 노은동 534-11 외</t>
        </is>
      </c>
      <c r="E109" s="445" t="n">
        <v>4114219000</v>
      </c>
      <c r="F109" s="446" t="n">
        <v>196658280</v>
      </c>
      <c r="G109" s="447" t="inlineStr">
        <is>
          <t>감정평가 외</t>
        </is>
      </c>
      <c r="H109" s="448" t="n">
        <v>4310877280</v>
      </c>
      <c r="I109" s="448" t="inlineStr">
        <is>
          <t>-</t>
        </is>
      </c>
      <c r="L109" s="104">
        <f>MID(B109,17,3)</f>
        <v/>
      </c>
    </row>
    <row r="110" ht="41.25" customHeight="1" s="308" thickBot="1" thickTop="1">
      <c r="B110" s="129" t="n">
        <v>109</v>
      </c>
      <c r="C110" s="130" t="inlineStr">
        <is>
          <t>첨단</t>
        </is>
      </c>
      <c r="D110" s="130" t="inlineStr">
        <is>
          <t>대전광역시 유성구 신성동 160-2 외</t>
        </is>
      </c>
      <c r="E110" s="445" t="n">
        <v>5682778600</v>
      </c>
      <c r="F110" s="446" t="n">
        <v>533722140</v>
      </c>
      <c r="G110" s="447" t="inlineStr">
        <is>
          <t>감정평가 외</t>
        </is>
      </c>
      <c r="H110" s="448" t="n">
        <v>6216500740</v>
      </c>
      <c r="I110" s="448" t="inlineStr">
        <is>
          <t>-</t>
        </is>
      </c>
      <c r="L110" s="104">
        <f>MID(B110,17,3)</f>
        <v/>
      </c>
    </row>
    <row r="111" ht="41.25" customHeight="1" s="308" thickBot="1" thickTop="1">
      <c r="B111" s="129" t="n">
        <v>110</v>
      </c>
      <c r="C111" s="130" t="inlineStr">
        <is>
          <t>스마트셀프</t>
        </is>
      </c>
      <c r="D111" s="130" t="inlineStr">
        <is>
          <t>대전광역시 유성구 원촌동 50 외</t>
        </is>
      </c>
      <c r="E111" s="445" t="n">
        <v>1630200000</v>
      </c>
      <c r="F111" s="446" t="n">
        <v>78879880</v>
      </c>
      <c r="G111" s="447" t="inlineStr">
        <is>
          <t>감정평가 외</t>
        </is>
      </c>
      <c r="H111" s="448" t="n">
        <v>1709079880</v>
      </c>
      <c r="I111" s="448" t="inlineStr">
        <is>
          <t>-</t>
        </is>
      </c>
      <c r="L111" s="104">
        <f>MID(B111,17,3)</f>
        <v/>
      </c>
    </row>
    <row r="112" ht="41.25" customHeight="1" s="308" thickBot="1" thickTop="1">
      <c r="B112" s="129" t="n">
        <v>111</v>
      </c>
      <c r="C112" s="130" t="inlineStr">
        <is>
          <t>세종관문셀프</t>
        </is>
      </c>
      <c r="D112" s="130" t="inlineStr">
        <is>
          <t>대전광역시 유성구 하기동 511-1</t>
        </is>
      </c>
      <c r="E112" s="445" t="n">
        <v>5180560000</v>
      </c>
      <c r="F112" s="446" t="n">
        <v>480810820</v>
      </c>
      <c r="G112" s="447" t="inlineStr">
        <is>
          <t>감정평가 외</t>
        </is>
      </c>
      <c r="H112" s="448" t="n">
        <v>5661370820</v>
      </c>
      <c r="I112" s="448" t="inlineStr">
        <is>
          <t>-</t>
        </is>
      </c>
      <c r="L112" s="104">
        <f>MID(B112,17,3)</f>
        <v/>
      </c>
    </row>
    <row r="113" ht="41.25" customHeight="1" s="308" thickBot="1" thickTop="1">
      <c r="B113" s="129" t="n">
        <v>112</v>
      </c>
      <c r="C113" s="130" t="inlineStr">
        <is>
          <t>중촌셀프</t>
        </is>
      </c>
      <c r="D113" s="130" t="inlineStr">
        <is>
          <t>대전광역시 중구 선화동 155-8 외</t>
        </is>
      </c>
      <c r="E113" s="445" t="n">
        <v>2894964000</v>
      </c>
      <c r="F113" s="446" t="n">
        <v>163129980</v>
      </c>
      <c r="G113" s="447" t="inlineStr">
        <is>
          <t>감정평가 외</t>
        </is>
      </c>
      <c r="H113" s="448" t="n">
        <v>3058093980</v>
      </c>
      <c r="I113" s="448" t="inlineStr">
        <is>
          <t>-</t>
        </is>
      </c>
      <c r="L113" s="104">
        <f>MID(B113,17,3)</f>
        <v/>
      </c>
    </row>
    <row r="114" ht="41.25" customHeight="1" s="308" thickBot="1" thickTop="1">
      <c r="B114" s="129" t="n">
        <v>113</v>
      </c>
      <c r="C114" s="130" t="inlineStr">
        <is>
          <t>구봉산셀프</t>
        </is>
      </c>
      <c r="D114" s="130" t="inlineStr">
        <is>
          <t>전라남도 여수시 여서동 497-1 외</t>
        </is>
      </c>
      <c r="E114" s="445" t="n">
        <v>1681773800</v>
      </c>
      <c r="F114" s="446" t="n">
        <v>98054850</v>
      </c>
      <c r="G114" s="447" t="inlineStr">
        <is>
          <t>감정평가 외</t>
        </is>
      </c>
      <c r="H114" s="448" t="n">
        <v>1779828650</v>
      </c>
      <c r="I114" s="448" t="inlineStr">
        <is>
          <t>-</t>
        </is>
      </c>
      <c r="L114" s="104">
        <f>MID(B114,17,3)</f>
        <v/>
      </c>
    </row>
    <row r="115" ht="41.25" customHeight="1" s="308" thickBot="1" thickTop="1">
      <c r="B115" s="129" t="n">
        <v>114</v>
      </c>
      <c r="C115" s="130" t="inlineStr">
        <is>
          <t>산북</t>
        </is>
      </c>
      <c r="D115" s="130" t="inlineStr">
        <is>
          <t>전북특별자치도 군산시 산북동 1055 외</t>
        </is>
      </c>
      <c r="E115" s="445" t="n">
        <v>1712870000</v>
      </c>
      <c r="F115" s="446" t="n">
        <v>174526520</v>
      </c>
      <c r="G115" s="447" t="inlineStr">
        <is>
          <t>감정평가 외</t>
        </is>
      </c>
      <c r="H115" s="448" t="n">
        <v>1887396520</v>
      </c>
      <c r="I115" s="448" t="inlineStr">
        <is>
          <t>-</t>
        </is>
      </c>
      <c r="L115" s="104">
        <f>MID(B115,17,3)</f>
        <v/>
      </c>
    </row>
    <row r="116" ht="41.25" customHeight="1" s="308" thickBot="1" thickTop="1">
      <c r="B116" s="129" t="n">
        <v>115</v>
      </c>
      <c r="C116" s="130" t="inlineStr">
        <is>
          <t>이리</t>
        </is>
      </c>
      <c r="D116" s="130" t="inlineStr">
        <is>
          <t>전북특별자치도 익산시 팔봉동 848-1 외</t>
        </is>
      </c>
      <c r="E116" s="445" t="n">
        <v>1262031700</v>
      </c>
      <c r="F116" s="446" t="n">
        <v>268927780</v>
      </c>
      <c r="G116" s="447" t="inlineStr">
        <is>
          <t>감정평가 외</t>
        </is>
      </c>
      <c r="H116" s="448" t="n">
        <v>1530959480</v>
      </c>
      <c r="I116" s="448" t="inlineStr">
        <is>
          <t>-</t>
        </is>
      </c>
    </row>
    <row r="117" ht="41.25" customHeight="1" s="308" thickBot="1" thickTop="1">
      <c r="B117" s="129" t="n">
        <v>116</v>
      </c>
      <c r="C117" s="130" t="inlineStr">
        <is>
          <t>하남제일</t>
        </is>
      </c>
      <c r="D117" s="130" t="inlineStr">
        <is>
          <t>광주광역시 광산구 도천동 295-19 외</t>
        </is>
      </c>
      <c r="E117" s="445" t="n">
        <v>6487880000</v>
      </c>
      <c r="F117" s="446" t="n">
        <v>235995840</v>
      </c>
      <c r="G117" s="447" t="inlineStr">
        <is>
          <t>감정평가 외</t>
        </is>
      </c>
      <c r="H117" s="448" t="n">
        <v>6723875840</v>
      </c>
      <c r="I117" s="448" t="inlineStr">
        <is>
          <t>-</t>
        </is>
      </c>
    </row>
    <row r="118" ht="41.25" customHeight="1" s="308" thickBot="1" thickTop="1">
      <c r="B118" s="129" t="n">
        <v>117</v>
      </c>
      <c r="C118" s="130" t="inlineStr">
        <is>
          <t>장덕셀프</t>
        </is>
      </c>
      <c r="D118" s="130" t="inlineStr">
        <is>
          <t>광주광역시 광산구 장덕동 85-3</t>
        </is>
      </c>
      <c r="E118" s="445" t="n">
        <v>2027810000</v>
      </c>
      <c r="F118" s="446" t="n">
        <v>127343310</v>
      </c>
      <c r="G118" s="447" t="inlineStr">
        <is>
          <t>감정평가 외</t>
        </is>
      </c>
      <c r="H118" s="448" t="n">
        <v>2155153310</v>
      </c>
      <c r="I118" s="448" t="inlineStr">
        <is>
          <t>-</t>
        </is>
      </c>
    </row>
    <row r="119" ht="41.25" customHeight="1" s="308" thickBot="1" thickTop="1">
      <c r="B119" s="129" t="n">
        <v>118</v>
      </c>
      <c r="C119" s="130" t="inlineStr">
        <is>
          <t>동천마을셀프</t>
        </is>
      </c>
      <c r="D119" s="130" t="inlineStr">
        <is>
          <t>광주광역시 북구 동림동 885-12</t>
        </is>
      </c>
      <c r="E119" s="445" t="n">
        <v>5127506000</v>
      </c>
      <c r="F119" s="446" t="n">
        <v>151830000</v>
      </c>
      <c r="G119" s="447" t="inlineStr">
        <is>
          <t>감정평가 외</t>
        </is>
      </c>
      <c r="H119" s="448" t="n">
        <v>5279336000</v>
      </c>
      <c r="I119" s="448" t="inlineStr">
        <is>
          <t>-</t>
        </is>
      </c>
    </row>
    <row r="120" ht="41.25" customHeight="1" s="308" thickBot="1" thickTop="1">
      <c r="B120" s="129" t="n">
        <v>119</v>
      </c>
      <c r="C120" s="130" t="inlineStr">
        <is>
          <t>양산</t>
        </is>
      </c>
      <c r="D120" s="130" t="inlineStr">
        <is>
          <t>광주광역시 북구 양산동 610-17</t>
        </is>
      </c>
      <c r="E120" s="445" t="n">
        <v>2641320000</v>
      </c>
      <c r="F120" s="446" t="n">
        <v>46143350</v>
      </c>
      <c r="G120" s="447" t="inlineStr">
        <is>
          <t>감정평가 외</t>
        </is>
      </c>
      <c r="H120" s="448" t="n">
        <v>2687463350</v>
      </c>
      <c r="I120" s="448" t="inlineStr">
        <is>
          <t>-</t>
        </is>
      </c>
    </row>
    <row r="121" ht="41.25" customHeight="1" s="308" thickBot="1" thickTop="1">
      <c r="B121" s="129" t="n">
        <v>120</v>
      </c>
      <c r="C121" s="130" t="inlineStr">
        <is>
          <t>빛고을로셀프</t>
        </is>
      </c>
      <c r="D121" s="130" t="inlineStr">
        <is>
          <t>광주광역시 북구 용두동 1043-1 외</t>
        </is>
      </c>
      <c r="E121" s="445" t="n">
        <v>1559520000</v>
      </c>
      <c r="F121" s="446" t="n">
        <v>123891370</v>
      </c>
      <c r="G121" s="447" t="inlineStr">
        <is>
          <t>감정평가 외</t>
        </is>
      </c>
      <c r="H121" s="448" t="n">
        <v>1683411370</v>
      </c>
      <c r="I121" s="448" t="inlineStr">
        <is>
          <t>-</t>
        </is>
      </c>
    </row>
    <row r="122" ht="41.25" customHeight="1" s="308" thickBot="1" thickTop="1">
      <c r="B122" s="129" t="n">
        <v>121</v>
      </c>
      <c r="C122" s="130" t="inlineStr">
        <is>
          <t>베스트현대셀프</t>
        </is>
      </c>
      <c r="D122" s="130" t="inlineStr">
        <is>
          <t>광주광역시 서구 치평동 203-5 외</t>
        </is>
      </c>
      <c r="E122" s="445" t="n">
        <v>3650920000</v>
      </c>
      <c r="F122" s="446" t="n">
        <v>183897700</v>
      </c>
      <c r="G122" s="447" t="inlineStr">
        <is>
          <t>감정평가 외</t>
        </is>
      </c>
      <c r="H122" s="448" t="n">
        <v>3834817700</v>
      </c>
      <c r="I122" s="448" t="inlineStr">
        <is>
          <t>-</t>
        </is>
      </c>
    </row>
    <row r="123" ht="41.25" customHeight="1" s="308" thickBot="1" thickTop="1">
      <c r="B123" s="129" t="n">
        <v>122</v>
      </c>
      <c r="C123" s="130" t="inlineStr">
        <is>
          <t>고현셀프</t>
        </is>
      </c>
      <c r="D123" s="130" t="inlineStr">
        <is>
          <t>경상남도 거제시 신현읍 고현리 963-4</t>
        </is>
      </c>
      <c r="E123" s="445" t="n">
        <v>5466610000</v>
      </c>
      <c r="F123" s="446" t="n">
        <v>213472320</v>
      </c>
      <c r="G123" s="447" t="inlineStr">
        <is>
          <t>감정평가 외</t>
        </is>
      </c>
      <c r="H123" s="448" t="n">
        <v>5680082320</v>
      </c>
      <c r="I123" s="448" t="inlineStr">
        <is>
          <t>-</t>
        </is>
      </c>
    </row>
    <row r="124" ht="41.25" customHeight="1" s="308" thickBot="1" thickTop="1">
      <c r="B124" s="129" t="n">
        <v>123</v>
      </c>
      <c r="C124" s="130" t="inlineStr">
        <is>
          <t>조선해양</t>
        </is>
      </c>
      <c r="D124" s="130" t="inlineStr">
        <is>
          <t>경상남도 거제시 아주동 246-7</t>
        </is>
      </c>
      <c r="E124" s="445" t="n">
        <v>2660100000</v>
      </c>
      <c r="F124" s="446" t="n">
        <v>237064440</v>
      </c>
      <c r="G124" s="447" t="inlineStr">
        <is>
          <t>감정평가 외</t>
        </is>
      </c>
      <c r="H124" s="448" t="n">
        <v>2897164440</v>
      </c>
      <c r="I124" s="448" t="inlineStr">
        <is>
          <t>-</t>
        </is>
      </c>
    </row>
    <row r="125" ht="41.25" customHeight="1" s="308" thickBot="1" thickTop="1">
      <c r="B125" s="129" t="n">
        <v>124</v>
      </c>
      <c r="C125" s="130" t="inlineStr">
        <is>
          <t>김해대로셀프</t>
        </is>
      </c>
      <c r="D125" s="130" t="inlineStr">
        <is>
          <t>경상남도 김해시 삼계동 1492-1</t>
        </is>
      </c>
      <c r="E125" s="445" t="n">
        <v>2295038000</v>
      </c>
      <c r="F125" s="446" t="n">
        <v>126849600</v>
      </c>
      <c r="G125" s="447" t="inlineStr">
        <is>
          <t>감정평가 외</t>
        </is>
      </c>
      <c r="H125" s="448" t="n">
        <v>2421887600</v>
      </c>
      <c r="I125" s="448" t="inlineStr">
        <is>
          <t>-</t>
        </is>
      </c>
    </row>
    <row r="126" ht="41.25" customHeight="1" s="308" thickBot="1" thickTop="1">
      <c r="B126" s="129" t="n">
        <v>125</v>
      </c>
      <c r="C126" s="130" t="inlineStr">
        <is>
          <t>장유대로셀프</t>
        </is>
      </c>
      <c r="D126" s="130" t="inlineStr">
        <is>
          <t>경상남도 김해시 신문동 524-3</t>
        </is>
      </c>
      <c r="E126" s="445" t="n">
        <v>2588960000</v>
      </c>
      <c r="F126" s="446" t="n">
        <v>278638310</v>
      </c>
      <c r="G126" s="447" t="inlineStr">
        <is>
          <t>감정평가 외</t>
        </is>
      </c>
      <c r="H126" s="448" t="n">
        <v>2867598310</v>
      </c>
      <c r="I126" s="448" t="inlineStr">
        <is>
          <t>-</t>
        </is>
      </c>
    </row>
    <row r="127" ht="41.25" customHeight="1" s="308" thickBot="1" thickTop="1">
      <c r="B127" s="129" t="n">
        <v>126</v>
      </c>
      <c r="C127" s="130" t="inlineStr">
        <is>
          <t>밀양현대</t>
        </is>
      </c>
      <c r="D127" s="130" t="inlineStr">
        <is>
          <t>경상남도 밀양시 삼문동 358-110</t>
        </is>
      </c>
      <c r="E127" s="445" t="n">
        <v>2679630000</v>
      </c>
      <c r="F127" s="446" t="n">
        <v>169075320</v>
      </c>
      <c r="G127" s="447" t="inlineStr">
        <is>
          <t>감정평가 외</t>
        </is>
      </c>
      <c r="H127" s="448" t="n">
        <v>2848705320</v>
      </c>
      <c r="I127" s="448" t="inlineStr">
        <is>
          <t>-</t>
        </is>
      </c>
    </row>
    <row r="128" ht="41.25" customHeight="1" s="308" thickBot="1" thickTop="1">
      <c r="B128" s="129" t="n">
        <v>127</v>
      </c>
      <c r="C128" s="130" t="inlineStr">
        <is>
          <t>양산대로</t>
        </is>
      </c>
      <c r="D128" s="130" t="inlineStr">
        <is>
          <t>경상남도 양산시 상북면 소토리 563</t>
        </is>
      </c>
      <c r="E128" s="445" t="n">
        <v>3237500000</v>
      </c>
      <c r="F128" s="446" t="n">
        <v>85333370</v>
      </c>
      <c r="G128" s="447" t="inlineStr">
        <is>
          <t>감정평가 외</t>
        </is>
      </c>
      <c r="H128" s="448" t="n">
        <v>3322833370</v>
      </c>
      <c r="I128" s="448" t="inlineStr">
        <is>
          <t>-</t>
        </is>
      </c>
    </row>
    <row r="129" ht="41.25" customHeight="1" s="308" thickBot="1" thickTop="1">
      <c r="B129" s="129" t="n">
        <v>128</v>
      </c>
      <c r="C129" s="130" t="inlineStr">
        <is>
          <t>진주셀프</t>
        </is>
      </c>
      <c r="D129" s="130" t="inlineStr">
        <is>
          <t>경상남도 진주시 평거동 194-2</t>
        </is>
      </c>
      <c r="E129" s="445" t="n">
        <v>4580644000</v>
      </c>
      <c r="F129" s="446" t="n">
        <v>284296700</v>
      </c>
      <c r="G129" s="447" t="inlineStr">
        <is>
          <t>감정평가 외</t>
        </is>
      </c>
      <c r="H129" s="448" t="n">
        <v>4864940700</v>
      </c>
      <c r="I129" s="448" t="inlineStr">
        <is>
          <t>-</t>
        </is>
      </c>
    </row>
    <row r="130" ht="41.25" customHeight="1" s="308" thickBot="1" thickTop="1">
      <c r="B130" s="129" t="n">
        <v>129</v>
      </c>
      <c r="C130" s="130" t="inlineStr">
        <is>
          <t>극동셀프</t>
        </is>
      </c>
      <c r="D130" s="130" t="inlineStr">
        <is>
          <t>경상남도 창원시 석전동 270-32</t>
        </is>
      </c>
      <c r="E130" s="445" t="n">
        <v>4393864000</v>
      </c>
      <c r="F130" s="446" t="n">
        <v>217677280</v>
      </c>
      <c r="G130" s="447" t="inlineStr">
        <is>
          <t>감정평가 외</t>
        </is>
      </c>
      <c r="H130" s="448" t="n">
        <v>4611541280</v>
      </c>
      <c r="I130" s="448" t="inlineStr">
        <is>
          <t>-</t>
        </is>
      </c>
    </row>
    <row r="131" ht="41.25" customHeight="1" s="308" thickBot="1" thickTop="1">
      <c r="B131" s="129" t="n">
        <v>130</v>
      </c>
      <c r="C131" s="130" t="inlineStr">
        <is>
          <t>녹원</t>
        </is>
      </c>
      <c r="D131" s="130" t="inlineStr">
        <is>
          <t>경상남도 창원시 용원동 1237</t>
        </is>
      </c>
      <c r="E131" s="445" t="n">
        <v>2311232000</v>
      </c>
      <c r="F131" s="446" t="n">
        <v>165382300</v>
      </c>
      <c r="G131" s="447" t="inlineStr">
        <is>
          <t>감정평가 외</t>
        </is>
      </c>
      <c r="H131" s="448" t="n">
        <v>2476614300</v>
      </c>
      <c r="I131" s="448" t="inlineStr">
        <is>
          <t>-</t>
        </is>
      </c>
    </row>
    <row r="132" ht="41.25" customHeight="1" s="308" thickBot="1" thickTop="1">
      <c r="B132" s="129" t="n">
        <v>131</v>
      </c>
      <c r="C132" s="130" t="inlineStr">
        <is>
          <t>마산현대</t>
        </is>
      </c>
      <c r="D132" s="130" t="inlineStr">
        <is>
          <t>경상남도 창원시 합성동 132-8 외 1필지</t>
        </is>
      </c>
      <c r="E132" s="445" t="n">
        <v>9917869000</v>
      </c>
      <c r="F132" s="446" t="n">
        <v>1041779020</v>
      </c>
      <c r="G132" s="447" t="inlineStr">
        <is>
          <t>감정평가 외</t>
        </is>
      </c>
      <c r="H132" s="448" t="n">
        <v>10959648020</v>
      </c>
      <c r="I132" s="448" t="inlineStr">
        <is>
          <t>-</t>
        </is>
      </c>
    </row>
    <row r="133" ht="41.25" customHeight="1" s="308" thickBot="1" thickTop="1">
      <c r="B133" s="129" t="n">
        <v>132</v>
      </c>
      <c r="C133" s="130" t="inlineStr">
        <is>
          <t>진량현대</t>
        </is>
      </c>
      <c r="D133" s="130" t="inlineStr">
        <is>
          <t>경상북도 경산시 진량읍 신상리 1083 외</t>
        </is>
      </c>
      <c r="E133" s="445" t="n">
        <v>2433190000</v>
      </c>
      <c r="F133" s="446" t="n">
        <v>212060200</v>
      </c>
      <c r="G133" s="447" t="inlineStr">
        <is>
          <t>감정평가 외</t>
        </is>
      </c>
      <c r="H133" s="448" t="n">
        <v>2645250200</v>
      </c>
      <c r="I133" s="448" t="inlineStr">
        <is>
          <t>-</t>
        </is>
      </c>
    </row>
    <row r="134" ht="41.25" customHeight="1" s="308" thickBot="1" thickTop="1">
      <c r="B134" s="129" t="n">
        <v>133</v>
      </c>
      <c r="C134" s="130" t="inlineStr">
        <is>
          <t>새화랑</t>
        </is>
      </c>
      <c r="D134" s="130" t="inlineStr">
        <is>
          <t>경상북도 경주시 동천동 936</t>
        </is>
      </c>
      <c r="E134" s="445" t="n">
        <v>3514182000</v>
      </c>
      <c r="F134" s="446" t="n">
        <v>183229760</v>
      </c>
      <c r="G134" s="447" t="inlineStr">
        <is>
          <t>감정평가 외</t>
        </is>
      </c>
      <c r="H134" s="448" t="n">
        <v>3697411760</v>
      </c>
      <c r="I134" s="448" t="inlineStr">
        <is>
          <t>-</t>
        </is>
      </c>
    </row>
    <row r="135" ht="41.25" customHeight="1" s="308" thickBot="1" thickTop="1">
      <c r="B135" s="129" t="n">
        <v>134</v>
      </c>
      <c r="C135" s="130" t="inlineStr">
        <is>
          <t>하이웨이셀프</t>
        </is>
      </c>
      <c r="D135" s="130" t="inlineStr">
        <is>
          <t>경상북도 구미시 오태동 163-5 외</t>
        </is>
      </c>
      <c r="E135" s="445" t="n">
        <v>1251627000</v>
      </c>
      <c r="F135" s="446" t="n">
        <v>200198640</v>
      </c>
      <c r="G135" s="447" t="inlineStr">
        <is>
          <t>감정평가 외</t>
        </is>
      </c>
      <c r="H135" s="448" t="n">
        <v>1451825640</v>
      </c>
      <c r="I135" s="448" t="inlineStr">
        <is>
          <t>-</t>
        </is>
      </c>
    </row>
    <row r="136" ht="41.25" customHeight="1" s="308" thickBot="1" thickTop="1">
      <c r="B136" s="129" t="n">
        <v>135</v>
      </c>
      <c r="C136" s="130" t="inlineStr">
        <is>
          <t>가산IC셀프</t>
        </is>
      </c>
      <c r="D136" s="130" t="inlineStr">
        <is>
          <t>경상북도 칠곡군 가산면 천평리 4 외</t>
        </is>
      </c>
      <c r="E136" s="445" t="n">
        <v>1082203000</v>
      </c>
      <c r="F136" s="446" t="n">
        <v>185023440</v>
      </c>
      <c r="G136" s="447" t="inlineStr">
        <is>
          <t>감정평가 외</t>
        </is>
      </c>
      <c r="H136" s="448" t="n">
        <v>1267226440</v>
      </c>
      <c r="I136" s="448" t="inlineStr">
        <is>
          <t>-</t>
        </is>
      </c>
    </row>
    <row r="137" ht="41.25" customHeight="1" s="308" thickBot="1" thickTop="1">
      <c r="B137" s="129" t="n">
        <v>136</v>
      </c>
      <c r="C137" s="130" t="inlineStr">
        <is>
          <t>포항제일</t>
        </is>
      </c>
      <c r="D137" s="130" t="inlineStr">
        <is>
          <t>경상북도 포항시 대신동 949-3</t>
        </is>
      </c>
      <c r="E137" s="445" t="n">
        <v>3313686000</v>
      </c>
      <c r="F137" s="446" t="n">
        <v>296641860</v>
      </c>
      <c r="G137" s="447" t="inlineStr">
        <is>
          <t>감정평가 외</t>
        </is>
      </c>
      <c r="H137" s="448" t="n">
        <v>3610327860</v>
      </c>
      <c r="I137" s="448" t="inlineStr">
        <is>
          <t>-</t>
        </is>
      </c>
    </row>
    <row r="138" ht="41.25" customHeight="1" s="308" thickBot="1" thickTop="1">
      <c r="B138" s="129" t="n">
        <v>137</v>
      </c>
      <c r="C138" s="130" t="inlineStr">
        <is>
          <t>포항셀프</t>
        </is>
      </c>
      <c r="D138" s="130" t="inlineStr">
        <is>
          <t>경상북도 포항시 대잠동 948-6</t>
        </is>
      </c>
      <c r="E138" s="445" t="n">
        <v>3667812000</v>
      </c>
      <c r="F138" s="446" t="n">
        <v>141628300</v>
      </c>
      <c r="G138" s="447" t="inlineStr">
        <is>
          <t>감정평가 외</t>
        </is>
      </c>
      <c r="H138" s="448" t="n">
        <v>3809440300</v>
      </c>
      <c r="I138" s="448" t="inlineStr">
        <is>
          <t>-</t>
        </is>
      </c>
    </row>
    <row r="139" ht="41.25" customHeight="1" s="308" thickBot="1" thickTop="1">
      <c r="B139" s="129" t="n">
        <v>138</v>
      </c>
      <c r="C139" s="130" t="inlineStr">
        <is>
          <t>대잠셀프</t>
        </is>
      </c>
      <c r="D139" s="130" t="inlineStr">
        <is>
          <t>경상북도 포항시 대잠동 98-59</t>
        </is>
      </c>
      <c r="E139" s="445" t="n">
        <v>2239720000</v>
      </c>
      <c r="F139" s="446" t="n">
        <v>142230720</v>
      </c>
      <c r="G139" s="447" t="inlineStr">
        <is>
          <t>감정평가 외</t>
        </is>
      </c>
      <c r="H139" s="448" t="n">
        <v>2381950720</v>
      </c>
      <c r="I139" s="448" t="inlineStr">
        <is>
          <t>-</t>
        </is>
      </c>
    </row>
    <row r="140" ht="41.25" customHeight="1" s="308" thickBot="1" thickTop="1">
      <c r="B140" s="129" t="n">
        <v>139</v>
      </c>
      <c r="C140" s="130" t="inlineStr">
        <is>
          <t>영일대셀프</t>
        </is>
      </c>
      <c r="D140" s="130" t="inlineStr">
        <is>
          <t>경상북도 포항시 두호동 1087-2</t>
        </is>
      </c>
      <c r="E140" s="445" t="n">
        <v>4161994000</v>
      </c>
      <c r="F140" s="446" t="n">
        <v>1750263200</v>
      </c>
      <c r="G140" s="447" t="inlineStr">
        <is>
          <t>감정평가 외</t>
        </is>
      </c>
      <c r="H140" s="448" t="n">
        <v>5912257200</v>
      </c>
      <c r="I140" s="448" t="inlineStr">
        <is>
          <t>-</t>
        </is>
      </c>
    </row>
    <row r="141" ht="41.25" customHeight="1" s="308" thickBot="1" thickTop="1">
      <c r="B141" s="129" t="n">
        <v>140</v>
      </c>
      <c r="C141" s="130" t="inlineStr">
        <is>
          <t>법원앞셀프</t>
        </is>
      </c>
      <c r="D141" s="130" t="inlineStr">
        <is>
          <t>경상북도 포항시 북구 장성동 1370-8</t>
        </is>
      </c>
      <c r="E141" s="445" t="n">
        <v>4977714000</v>
      </c>
      <c r="F141" s="446" t="n">
        <v>322165740</v>
      </c>
      <c r="G141" s="447" t="inlineStr">
        <is>
          <t>감정평가 외</t>
        </is>
      </c>
      <c r="H141" s="448" t="n">
        <v>5299879740</v>
      </c>
      <c r="I141" s="448" t="inlineStr">
        <is>
          <t>-</t>
        </is>
      </c>
    </row>
    <row r="142" ht="41.25" customHeight="1" s="308" thickBot="1" thickTop="1">
      <c r="B142" s="129" t="n">
        <v>141</v>
      </c>
      <c r="C142" s="130" t="inlineStr">
        <is>
          <t>열린</t>
        </is>
      </c>
      <c r="D142" s="130" t="inlineStr">
        <is>
          <t>경상북도 포항시 연일읍 생지리 379-1 외</t>
        </is>
      </c>
      <c r="E142" s="445" t="n">
        <v>3707740000</v>
      </c>
      <c r="F142" s="446" t="n">
        <v>128756760</v>
      </c>
      <c r="G142" s="447" t="inlineStr">
        <is>
          <t>감정평가 외</t>
        </is>
      </c>
      <c r="H142" s="448" t="n">
        <v>3836496760</v>
      </c>
      <c r="I142" s="448" t="inlineStr">
        <is>
          <t>-</t>
        </is>
      </c>
    </row>
    <row r="143" ht="41.25" customHeight="1" s="308" thickBot="1" thickTop="1">
      <c r="B143" s="129" t="n">
        <v>142</v>
      </c>
      <c r="C143" s="130" t="inlineStr">
        <is>
          <t>포항나루끝셀프</t>
        </is>
      </c>
      <c r="D143" s="130" t="inlineStr">
        <is>
          <t>경상북도 포항시 우현동 142-20</t>
        </is>
      </c>
      <c r="E143" s="445" t="n">
        <v>1649440000</v>
      </c>
      <c r="F143" s="446" t="n">
        <v>154239180</v>
      </c>
      <c r="G143" s="447" t="inlineStr">
        <is>
          <t>감정평가 외</t>
        </is>
      </c>
      <c r="H143" s="448" t="n">
        <v>1803679180</v>
      </c>
      <c r="I143" s="448" t="inlineStr">
        <is>
          <t>-</t>
        </is>
      </c>
    </row>
    <row r="144" ht="41.25" customHeight="1" s="308" thickBot="1" thickTop="1">
      <c r="B144" s="129" t="n">
        <v>143</v>
      </c>
      <c r="C144" s="130" t="inlineStr">
        <is>
          <t>인덕</t>
        </is>
      </c>
      <c r="D144" s="130" t="inlineStr">
        <is>
          <t>경상북도 포항시 인덕동 85-2 외</t>
        </is>
      </c>
      <c r="E144" s="445" t="n">
        <v>2653000000</v>
      </c>
      <c r="F144" s="446" t="n">
        <v>213337180</v>
      </c>
      <c r="G144" s="447" t="inlineStr">
        <is>
          <t>감정평가 외</t>
        </is>
      </c>
      <c r="H144" s="448" t="n">
        <v>2866337180</v>
      </c>
      <c r="I144" s="448" t="inlineStr">
        <is>
          <t>-</t>
        </is>
      </c>
    </row>
    <row r="145" ht="41.25" customHeight="1" s="308" thickBot="1" thickTop="1">
      <c r="B145" s="129" t="n">
        <v>144</v>
      </c>
      <c r="C145" s="130" t="inlineStr">
        <is>
          <t>송현셀프</t>
        </is>
      </c>
      <c r="D145" s="130" t="inlineStr">
        <is>
          <t xml:space="preserve">대구광역시 달서구 성당동 830-27 외 </t>
        </is>
      </c>
      <c r="E145" s="445" t="n">
        <v>9134640000</v>
      </c>
      <c r="F145" s="446" t="n">
        <v>313653059.9999999</v>
      </c>
      <c r="G145" s="447" t="inlineStr">
        <is>
          <t>감정평가 외</t>
        </is>
      </c>
      <c r="H145" s="448" t="n">
        <v>9448293060</v>
      </c>
      <c r="I145" s="448" t="inlineStr">
        <is>
          <t>-</t>
        </is>
      </c>
    </row>
    <row r="146" ht="41.25" customHeight="1" s="308" thickBot="1" thickTop="1">
      <c r="B146" s="129" t="n">
        <v>145</v>
      </c>
      <c r="C146" s="130" t="inlineStr">
        <is>
          <t>남대구IC셀프</t>
        </is>
      </c>
      <c r="D146" s="130" t="inlineStr">
        <is>
          <t>대구광역시 달서구 월성동 210</t>
        </is>
      </c>
      <c r="E146" s="445" t="n">
        <v>5728140000</v>
      </c>
      <c r="F146" s="446" t="n">
        <v>271907400</v>
      </c>
      <c r="G146" s="447" t="inlineStr">
        <is>
          <t>감정평가 외</t>
        </is>
      </c>
      <c r="H146" s="448" t="n">
        <v>6000047400</v>
      </c>
      <c r="I146" s="448" t="inlineStr">
        <is>
          <t>-</t>
        </is>
      </c>
    </row>
    <row r="147" ht="41.25" customHeight="1" s="308" thickBot="1" thickTop="1">
      <c r="B147" s="129" t="n">
        <v>146</v>
      </c>
      <c r="C147" s="130" t="inlineStr">
        <is>
          <t>공단제일</t>
        </is>
      </c>
      <c r="D147" s="130" t="inlineStr">
        <is>
          <t>대구광역시 달서구 호산동 720-2</t>
        </is>
      </c>
      <c r="E147" s="445" t="n">
        <v>15126265000</v>
      </c>
      <c r="F147" s="446" t="n">
        <v>536290350</v>
      </c>
      <c r="G147" s="447" t="inlineStr">
        <is>
          <t>감정평가 외</t>
        </is>
      </c>
      <c r="H147" s="448" t="n">
        <v>15662555350</v>
      </c>
      <c r="I147" s="448" t="inlineStr">
        <is>
          <t>-</t>
        </is>
      </c>
    </row>
    <row r="148" ht="41.25" customHeight="1" s="308" thickBot="1" thickTop="1">
      <c r="B148" s="129" t="n">
        <v>147</v>
      </c>
      <c r="C148" s="130" t="inlineStr">
        <is>
          <t>중앙셀프</t>
        </is>
      </c>
      <c r="D148" s="130" t="inlineStr">
        <is>
          <t>대구광역시 북구 복현2동 375-9</t>
        </is>
      </c>
      <c r="E148" s="445" t="n">
        <v>8916426000</v>
      </c>
      <c r="F148" s="446" t="n">
        <v>267854440</v>
      </c>
      <c r="G148" s="447" t="inlineStr">
        <is>
          <t>감정평가 외</t>
        </is>
      </c>
      <c r="H148" s="448" t="n">
        <v>9184280440</v>
      </c>
      <c r="I148" s="448" t="inlineStr">
        <is>
          <t>-</t>
        </is>
      </c>
    </row>
    <row r="149" ht="41.25" customHeight="1" s="308" thickBot="1" thickTop="1">
      <c r="B149" s="129" t="n">
        <v>148</v>
      </c>
      <c r="C149" s="130" t="inlineStr">
        <is>
          <t>경대셀프</t>
        </is>
      </c>
      <c r="D149" s="130" t="inlineStr">
        <is>
          <t xml:space="preserve">대구광역시 북구 침산동 13-50 외 </t>
        </is>
      </c>
      <c r="E149" s="445" t="n">
        <v>9894550000</v>
      </c>
      <c r="F149" s="446" t="n">
        <v>420632160</v>
      </c>
      <c r="G149" s="447" t="inlineStr">
        <is>
          <t>감정평가 외</t>
        </is>
      </c>
      <c r="H149" s="448" t="n">
        <v>10315182160</v>
      </c>
      <c r="I149" s="448" t="inlineStr">
        <is>
          <t>-</t>
        </is>
      </c>
    </row>
    <row r="150" ht="41.25" customHeight="1" s="308" thickBot="1" thickTop="1">
      <c r="B150" s="129" t="n">
        <v>149</v>
      </c>
      <c r="C150" s="130" t="inlineStr">
        <is>
          <t>대성</t>
        </is>
      </c>
      <c r="D150" s="130" t="inlineStr">
        <is>
          <t>울산광역시 울주군 청량면 상남리 624</t>
        </is>
      </c>
      <c r="E150" s="445" t="n">
        <v>5932570000</v>
      </c>
      <c r="F150" s="446" t="n">
        <v>159660000</v>
      </c>
      <c r="G150" s="447" t="inlineStr">
        <is>
          <t>감정평가 외</t>
        </is>
      </c>
      <c r="H150" s="448" t="n">
        <v>6092230000</v>
      </c>
      <c r="I150" s="448" t="inlineStr">
        <is>
          <t>-</t>
        </is>
      </c>
    </row>
    <row r="151" ht="41.25" customHeight="1" s="308" thickBot="1" thickTop="1">
      <c r="B151" s="129" t="n">
        <v>150</v>
      </c>
      <c r="C151" s="130" t="inlineStr">
        <is>
          <t>함월셀프</t>
        </is>
      </c>
      <c r="D151" s="130" t="inlineStr">
        <is>
          <t>울산광역시 중구 성안동 826-13</t>
        </is>
      </c>
      <c r="E151" s="445" t="n">
        <v>3416010000</v>
      </c>
      <c r="F151" s="446" t="n">
        <v>231366000</v>
      </c>
      <c r="G151" s="447" t="inlineStr">
        <is>
          <t>감정평가 외</t>
        </is>
      </c>
      <c r="H151" s="448" t="n">
        <v>3647376000</v>
      </c>
      <c r="I151" s="448" t="inlineStr">
        <is>
          <t>-</t>
        </is>
      </c>
    </row>
    <row r="152" ht="41.25" customHeight="1" s="308" thickBot="1" thickTop="1">
      <c r="B152" s="129" t="n">
        <v>151</v>
      </c>
      <c r="C152" s="130" t="inlineStr">
        <is>
          <t>부경셀프</t>
        </is>
      </c>
      <c r="D152" s="130" t="inlineStr">
        <is>
          <t>부산광역시 남구 대연동 574-2</t>
        </is>
      </c>
      <c r="E152" s="445" t="n">
        <v>18731440000</v>
      </c>
      <c r="F152" s="446" t="n">
        <v>2300426000</v>
      </c>
      <c r="G152" s="447" t="inlineStr">
        <is>
          <t>감정평가 외</t>
        </is>
      </c>
      <c r="H152" s="448" t="n">
        <v>21031866000</v>
      </c>
      <c r="I152" s="448" t="inlineStr">
        <is>
          <t>-</t>
        </is>
      </c>
    </row>
    <row r="153" ht="41.25" customHeight="1" s="308" thickBot="1" thickTop="1">
      <c r="B153" s="129" t="n">
        <v>152</v>
      </c>
      <c r="C153" s="130" t="inlineStr">
        <is>
          <t>우암로셀프</t>
        </is>
      </c>
      <c r="D153" s="130" t="inlineStr">
        <is>
          <t>부산광역시 남구 우암동 184-348</t>
        </is>
      </c>
      <c r="E153" s="445" t="n">
        <v>5454880000</v>
      </c>
      <c r="F153" s="446" t="n">
        <v>108991300</v>
      </c>
      <c r="G153" s="447" t="inlineStr">
        <is>
          <t>감정평가 외</t>
        </is>
      </c>
      <c r="H153" s="448" t="n">
        <v>5563871300</v>
      </c>
      <c r="I153" s="448" t="inlineStr">
        <is>
          <t>-</t>
        </is>
      </c>
    </row>
    <row r="154" ht="41.25" customHeight="1" s="308" thickBot="1" thickTop="1">
      <c r="B154" s="129" t="n">
        <v>153</v>
      </c>
      <c r="C154" s="130" t="inlineStr">
        <is>
          <t>동래</t>
        </is>
      </c>
      <c r="D154" s="130" t="inlineStr">
        <is>
          <t>부산광역시 동래구 온천동 504-3 외 1필지</t>
        </is>
      </c>
      <c r="E154" s="445" t="n">
        <v>3689410000</v>
      </c>
      <c r="F154" s="446" t="n">
        <v>187322700</v>
      </c>
      <c r="G154" s="447" t="inlineStr">
        <is>
          <t>감정평가 외</t>
        </is>
      </c>
      <c r="H154" s="448" t="n">
        <v>3876732700</v>
      </c>
      <c r="I154" s="448" t="inlineStr">
        <is>
          <t>타인점유사용</t>
        </is>
      </c>
    </row>
    <row r="155" ht="41.25" customHeight="1" s="308" thickBot="1" thickTop="1">
      <c r="B155" s="129" t="n">
        <v>154</v>
      </c>
      <c r="C155" s="130" t="inlineStr">
        <is>
          <t>낙동로</t>
        </is>
      </c>
      <c r="D155" s="130" t="inlineStr">
        <is>
          <t>부산광역시 사상구 삼락동 409-1</t>
        </is>
      </c>
      <c r="E155" s="445" t="n">
        <v>7138354000</v>
      </c>
      <c r="F155" s="446" t="n">
        <v>248388680</v>
      </c>
      <c r="G155" s="447" t="inlineStr">
        <is>
          <t>감정평가 외</t>
        </is>
      </c>
      <c r="H155" s="448" t="n">
        <v>7386742680</v>
      </c>
      <c r="I155" s="448" t="inlineStr">
        <is>
          <t>-</t>
        </is>
      </c>
    </row>
    <row r="156" ht="41.25" customHeight="1" s="308" thickBot="1" thickTop="1">
      <c r="B156" s="129" t="n">
        <v>155</v>
      </c>
      <c r="C156" s="130" t="inlineStr">
        <is>
          <t>연산셀프</t>
        </is>
      </c>
      <c r="D156" s="130" t="inlineStr">
        <is>
          <t>부산광역시 연제구 거제동 1-1</t>
        </is>
      </c>
      <c r="E156" s="445" t="n">
        <v>35634338000</v>
      </c>
      <c r="F156" s="446" t="n">
        <v>973154950</v>
      </c>
      <c r="G156" s="447" t="inlineStr">
        <is>
          <t>감정평가 외</t>
        </is>
      </c>
      <c r="H156" s="448" t="n">
        <v>36607492950</v>
      </c>
      <c r="I156" s="448" t="inlineStr">
        <is>
          <t>-</t>
        </is>
      </c>
    </row>
    <row r="157" ht="41.25" customHeight="1" s="308" thickBot="1" thickTop="1">
      <c r="B157" s="129" t="n">
        <v>156</v>
      </c>
      <c r="C157" s="130" t="inlineStr">
        <is>
          <t>괴정제일셀프</t>
        </is>
      </c>
      <c r="D157" s="130" t="inlineStr">
        <is>
          <t>부산광역시 사하구 괴정동 273-3</t>
        </is>
      </c>
      <c r="E157" s="445" t="n">
        <v>5714360000</v>
      </c>
      <c r="F157" s="446" t="n">
        <v>2002806650</v>
      </c>
      <c r="G157" s="447" t="inlineStr">
        <is>
          <t>감정평가 외</t>
        </is>
      </c>
      <c r="H157" s="448" t="n">
        <v>7717166650</v>
      </c>
      <c r="I157" s="448" t="inlineStr">
        <is>
          <t>-</t>
        </is>
      </c>
      <c r="P157" s="136" t="n"/>
    </row>
    <row r="158" ht="41.25" customHeight="1" s="308" thickBot="1" thickTop="1">
      <c r="B158" s="129" t="n">
        <v>157</v>
      </c>
      <c r="C158" s="130" t="inlineStr">
        <is>
          <t>광교희망주유소</t>
        </is>
      </c>
      <c r="D158" s="130" t="inlineStr">
        <is>
          <t>경기도 수원시 영통구 하동 1030</t>
        </is>
      </c>
      <c r="E158" s="445" t="n">
        <v>10315164000</v>
      </c>
      <c r="F158" s="446" t="n">
        <v>194994000</v>
      </c>
      <c r="G158" s="447" t="inlineStr">
        <is>
          <t>감정평가 외</t>
        </is>
      </c>
      <c r="H158" s="448" t="n">
        <v>10510158000</v>
      </c>
      <c r="I158" s="448" t="inlineStr">
        <is>
          <t>-</t>
        </is>
      </c>
      <c r="P158" s="450" t="n"/>
    </row>
    <row r="159" ht="41.25" customHeight="1" s="308" thickBot="1" thickTop="1">
      <c r="B159" s="305" t="inlineStr">
        <is>
          <t>합             계</t>
        </is>
      </c>
      <c r="C159" s="451" t="n"/>
      <c r="D159" s="452" t="n"/>
      <c r="E159" s="453">
        <f>SUM(E4:E158)</f>
        <v/>
      </c>
      <c r="F159" s="453">
        <f>SUM(F4:F158)</f>
        <v/>
      </c>
      <c r="G159" s="454" t="inlineStr">
        <is>
          <t>-</t>
        </is>
      </c>
      <c r="H159" s="455">
        <f>E159+F159</f>
        <v/>
      </c>
      <c r="I159" s="455" t="n"/>
      <c r="P159" s="450" t="n"/>
    </row>
    <row r="160" ht="21" customHeight="1" s="308" thickTop="1">
      <c r="P160" s="450" t="n"/>
    </row>
    <row r="161">
      <c r="P161" s="450" t="n"/>
    </row>
    <row r="162">
      <c r="F162" s="141" t="n"/>
      <c r="G162" s="141" t="n"/>
      <c r="H162" s="456" t="n"/>
      <c r="I162" s="456" t="n"/>
      <c r="P162" s="450" t="n"/>
    </row>
    <row r="163">
      <c r="P163" s="457" t="n"/>
    </row>
    <row r="164">
      <c r="P164" s="457" t="n"/>
    </row>
    <row r="165">
      <c r="P165" s="457" t="n"/>
    </row>
    <row r="166">
      <c r="E166" s="457" t="n"/>
      <c r="F166" s="457" t="n"/>
      <c r="G166" s="457" t="n"/>
      <c r="H166" s="457" t="n"/>
      <c r="I166" s="457" t="n"/>
    </row>
  </sheetData>
  <autoFilter ref="B3:I159"/>
  <mergeCells count="2">
    <mergeCell ref="B1:H1"/>
    <mergeCell ref="B159:D159"/>
  </mergeCells>
  <conditionalFormatting sqref="B3:I159">
    <cfRule type="containsBlanks" priority="1">
      <formula>LEN(TRIM(B3))=0</formula>
    </cfRule>
  </conditionalFormatting>
  <pageMargins left="0.59" right="0.39" top="0.7480314960629921" bottom="0.51" header="0.3149606299212598" footer="0.3149606299212598"/>
  <pageSetup orientation="portrait" paperSize="9" scale="32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문 민식</dc:creator>
  <dcterms:created xmlns:dcterms="http://purl.org/dc/terms/" xmlns:xsi="http://www.w3.org/2001/XMLSchema-instance" xsi:type="dcterms:W3CDTF">2025-07-04T08:02:24Z</dcterms:created>
  <dcterms:modified xmlns:dcterms="http://purl.org/dc/terms/" xmlns:xsi="http://www.w3.org/2001/XMLSchema-instance" xsi:type="dcterms:W3CDTF">2026-10-08T04:28:32Z</dcterms:modified>
  <cp:lastModifiedBy>안 용현(Yonghyeon,Ahn)</cp:lastModifiedBy>
</cp:coreProperties>
</file>

<file path=docProps/custom.xml><?xml version="1.0" encoding="utf-8"?>
<Properties xmlns="http://schemas.openxmlformats.org/officeDocument/2006/custom-properties">
  <property name="TAX_RSV" fmtid="{D5CDD505-2E9C-101B-9397-08002B2CF9AE}" pid="2">
    <vt:lpwstr xmlns:vt="http://schemas.openxmlformats.org/officeDocument/2006/docPropsVTypes">0</vt:lpwstr>
  </property>
  <property name="branchUid" fmtid="{D5CDD505-2E9C-101B-9397-08002B2CF9AE}" pid="3">
    <vt:lpwstr xmlns:vt="http://schemas.openxmlformats.org/officeDocument/2006/docPropsVTypes">McqGUOmTjAOIsuyVFUIzWhLHk4g202402010000000</vt:lpwstr>
  </property>
  <property name="docPath" fmtid="{D5CDD505-2E9C-101B-9397-08002B2CF9AE}" pid="4">
    <vt:lpwstr xmlns:vt="http://schemas.openxmlformats.org/officeDocument/2006/docPropsVTypes">QzpcVXNlcnNceW9uZ2h5ZW9uYWhuXERvd25sb2Fkc1zso7zsnKDshowg66ek6rCBIOyLnOuurOugiOydtOyFmF8yNjEwMDhf7J6F7LCw6rO16rOgLnhsc3g=</vt:lpwstr>
  </property>
  <property name="docUid" fmtid="{D5CDD505-2E9C-101B-9397-08002B2CF9AE}" pid="5">
    <vt:lpwstr xmlns:vt="http://schemas.openxmlformats.org/officeDocument/2006/docPropsVTypes">ilFY0BRT0XEagMvWHUlK-qzR0dg</vt:lpwstr>
  </property>
  <property name="parentBranchUid" fmtid="{D5CDD505-2E9C-101B-9397-08002B2CF9AE}" pid="6">
    <vt:lpwstr xmlns:vt="http://schemas.openxmlformats.org/officeDocument/2006/docPropsVTypes">ilFY0BRT0XEagMvWHUlK-qzR0dg202402010000000</vt:lpwstr>
  </property>
</Properties>
</file>