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안내" sheetId="1" state="visible" r:id="rId1"/>
    <sheet xmlns:r="http://schemas.openxmlformats.org/officeDocument/2006/relationships" name="1_RentRoll_예시" sheetId="2" state="visible" r:id="rId2"/>
    <sheet xmlns:r="http://schemas.openxmlformats.org/officeDocument/2006/relationships" name="2_요약" sheetId="3" state="visible" r:id="rId3"/>
    <sheet xmlns:r="http://schemas.openxmlformats.org/officeDocument/2006/relationships" name="3_실습_빈양식" sheetId="4" state="visible" r:id="rId4"/>
    <sheet xmlns:r="http://schemas.openxmlformats.org/officeDocument/2006/relationships" name="4_실습_오류찾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16">
    <font>
      <name val="Calibri"/>
      <family val="2"/>
      <color theme="1"/>
      <sz val="11"/>
      <scheme val="minor"/>
    </font>
    <font>
      <name val="맑은 고딕"/>
      <b val="1"/>
      <color rgb="00012353"/>
      <sz val="16"/>
    </font>
    <font>
      <name val="맑은 고딕"/>
      <color rgb="00C00000"/>
      <sz val="10"/>
    </font>
    <font>
      <name val="맑은 고딕"/>
      <b val="1"/>
      <color rgb="00012353"/>
      <sz val="11.5"/>
    </font>
    <font>
      <name val="맑은 고딕"/>
      <b val="1"/>
      <color rgb="001F1F1F"/>
      <sz val="10"/>
    </font>
    <font>
      <name val="맑은 고딕"/>
      <color rgb="001F1F1F"/>
      <sz val="10"/>
    </font>
    <font>
      <name val="맑은 고딕"/>
      <b val="1"/>
      <color rgb="00012353"/>
      <sz val="14"/>
    </font>
    <font>
      <name val="맑은 고딕"/>
      <color rgb="00595959"/>
      <sz val="9"/>
    </font>
    <font>
      <name val="맑은 고딕"/>
      <b val="1"/>
      <color rgb="00012353"/>
      <sz val="9.5"/>
    </font>
    <font>
      <name val="맑은 고딕"/>
      <color rgb="001F1F1F"/>
      <sz val="9.5"/>
    </font>
    <font>
      <name val="맑은 고딕"/>
      <b val="1"/>
      <color rgb="001F1F1F"/>
      <sz val="9.5"/>
    </font>
    <font>
      <name val="맑은 고딕"/>
      <color rgb="007F7F7F"/>
      <sz val="8.5"/>
    </font>
    <font>
      <name val="맑은 고딕"/>
      <b val="1"/>
      <color rgb="00012353"/>
      <sz val="11"/>
    </font>
    <font>
      <name val="맑은 고딕"/>
      <b val="1"/>
      <color rgb="00012353"/>
      <sz val="10"/>
    </font>
    <font>
      <name val="맑은 고딕"/>
      <b val="1"/>
      <color rgb="007F6000"/>
      <sz val="9.5"/>
    </font>
    <font>
      <name val="맑은 고딕"/>
      <color rgb="007F6000"/>
      <sz val="9"/>
    </font>
  </fonts>
  <fills count="8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DE2E1"/>
      </patternFill>
    </fill>
    <fill>
      <patternFill patternType="solid">
        <fgColor rgb="00FFF8E5"/>
      </patternFill>
    </fill>
    <fill>
      <patternFill patternType="solid">
        <fgColor rgb="00DAE3F3"/>
      </patternFill>
    </fill>
    <fill>
      <patternFill patternType="solid">
        <fgColor rgb="00FFFFFF"/>
      </patternFill>
    </fill>
    <fill>
      <patternFill patternType="solid">
        <fgColor rgb="00EEF3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0" pivotButton="0" quotePrefix="0" xfId="0"/>
    <xf numFmtId="164" fontId="4" fillId="4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4" fontId="9" fillId="6" borderId="1" applyAlignment="1" pivotButton="0" quotePrefix="0" xfId="0">
      <alignment horizontal="right" vertical="center"/>
    </xf>
    <xf numFmtId="4" fontId="9" fillId="7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center" vertical="center" wrapText="1"/>
    </xf>
    <xf numFmtId="2" fontId="9" fillId="7" borderId="1" applyAlignment="1" pivotButton="0" quotePrefix="0" xfId="0">
      <alignment horizontal="center" vertical="center" wrapText="1"/>
    </xf>
    <xf numFmtId="3" fontId="9" fillId="6" borderId="1" applyAlignment="1" pivotButton="0" quotePrefix="0" xfId="0">
      <alignment horizontal="right" vertical="center"/>
    </xf>
    <xf numFmtId="3" fontId="9" fillId="7" borderId="1" applyAlignment="1" pivotButton="0" quotePrefix="0" xfId="0">
      <alignment horizontal="right" vertical="center"/>
    </xf>
    <xf numFmtId="165" fontId="9" fillId="7" borderId="1" applyAlignment="1" pivotButton="0" quotePrefix="0" xfId="0">
      <alignment horizontal="center" vertical="center" wrapText="1"/>
    </xf>
    <xf numFmtId="166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center" vertical="center" wrapText="1"/>
    </xf>
    <xf numFmtId="4" fontId="10" fillId="2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right" vertical="center"/>
    </xf>
    <xf numFmtId="2" fontId="10" fillId="2" borderId="1" applyAlignment="1" pivotButton="0" quotePrefix="0" xfId="0">
      <alignment horizontal="right" vertical="center"/>
    </xf>
    <xf numFmtId="3" fontId="10" fillId="2" borderId="1" applyAlignment="1" pivotButton="0" quotePrefix="0" xfId="0">
      <alignment horizontal="right" vertical="center"/>
    </xf>
    <xf numFmtId="165" fontId="10" fillId="2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164" fontId="13" fillId="7" borderId="1" applyAlignment="1" pivotButton="0" quotePrefix="0" xfId="0">
      <alignment horizontal="right" vertical="center"/>
    </xf>
    <xf numFmtId="4" fontId="13" fillId="7" borderId="1" applyAlignment="1" pivotButton="0" quotePrefix="0" xfId="0">
      <alignment horizontal="right" vertical="center"/>
    </xf>
    <xf numFmtId="166" fontId="13" fillId="7" borderId="1" applyAlignment="1" pivotButton="0" quotePrefix="0" xfId="0">
      <alignment horizontal="right" vertical="center"/>
    </xf>
    <xf numFmtId="2" fontId="13" fillId="7" borderId="1" applyAlignment="1" pivotButton="0" quotePrefix="0" xfId="0">
      <alignment horizontal="right" vertical="center"/>
    </xf>
    <xf numFmtId="3" fontId="1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" fontId="5" fillId="7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4" fontId="9" fillId="4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center" vertical="center" wrapText="1"/>
    </xf>
    <xf numFmtId="3" fontId="9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5" customWidth="1" min="3" max="3"/>
  </cols>
  <sheetData>
    <row r="1" ht="28" customHeight="1">
      <c r="B1" s="1" t="inlineStr">
        <is>
          <t>렌트롤(Rent Roll) 작성 실습 — 강의용 Clean 양식</t>
        </is>
      </c>
    </row>
    <row r="2" ht="20" customHeight="1">
      <c r="B2" s="2" t="inlineStr">
        <is>
          <t>모든 임차인·면적·금액·일자는 가상의 예시값입니다. 특정 자산·거래·당사자와 무관합니다.</t>
        </is>
      </c>
    </row>
    <row r="3" ht="20" customHeight="1"/>
    <row r="4" ht="20" customHeight="1">
      <c r="B4" s="3" t="inlineStr">
        <is>
          <t>1. 시트 구성</t>
        </is>
      </c>
    </row>
    <row r="5" ht="20" customHeight="1">
      <c r="B5" s="4" t="inlineStr">
        <is>
          <t>1_RentRoll_예시</t>
        </is>
      </c>
      <c r="C5" s="5" t="inlineStr">
        <is>
          <t>가상 물류센터의 작성 예시. 노란 칸(입력)과 연두 칸(수식)으로 구분</t>
        </is>
      </c>
    </row>
    <row r="6" ht="20" customHeight="1">
      <c r="B6" s="4" t="inlineStr">
        <is>
          <t>2_요약</t>
        </is>
      </c>
      <c r="C6" s="5" t="inlineStr">
        <is>
          <t>임대율, WALE, 임차인 비중, 만기 스케줄, 보증금 담보 구분 — 1번 시트를 수식으로 집계</t>
        </is>
      </c>
    </row>
    <row r="7" ht="20" customHeight="1">
      <c r="B7" s="4" t="inlineStr">
        <is>
          <t>3_실습_빈양식</t>
        </is>
      </c>
      <c r="C7" s="5" t="inlineStr">
        <is>
          <t>수식이 미리 들어 있는 빈 렌트롤. 입력값만 채우면 계산이 자동으로 됨</t>
        </is>
      </c>
    </row>
    <row r="8" ht="20" customHeight="1">
      <c r="B8" s="4" t="inlineStr">
        <is>
          <t>4_실습_오류찾기</t>
        </is>
      </c>
      <c r="C8" s="5" t="inlineStr">
        <is>
          <t>오류가 일부러 섞인 렌트롤. 검증 열을 직접 만들어 오류를 찾는 실습</t>
        </is>
      </c>
    </row>
    <row r="9" ht="20" customHeight="1"/>
    <row r="10" ht="20" customHeight="1">
      <c r="B10" s="3" t="inlineStr">
        <is>
          <t>2. 작성 규칙</t>
        </is>
      </c>
    </row>
    <row r="11" ht="20" customHeight="1">
      <c r="B11" s="4" t="inlineStr">
        <is>
          <t>단위</t>
        </is>
      </c>
      <c r="C11" s="5" t="inlineStr">
        <is>
          <t>면적 ㎡(평 병기, 평 = ㎡ × 0.3025), 금액 원, 비율 %. 원본 단위가 다르면 비고에 적는다</t>
        </is>
      </c>
    </row>
    <row r="12" ht="20" customHeight="1">
      <c r="B12" s="4" t="inlineStr">
        <is>
          <t>한 행 = 한 계약 구획</t>
        </is>
      </c>
      <c r="C12" s="5" t="inlineStr">
        <is>
          <t>같은 임차인이 여러 층을 쓰면 층·구획별로 행을 나눈다(만기·조건이 다를 수 있음)</t>
        </is>
      </c>
    </row>
    <row r="13" ht="20" customHeight="1">
      <c r="B13" s="4" t="inlineStr">
        <is>
          <t>공실</t>
        </is>
      </c>
      <c r="C13" s="5" t="inlineStr">
        <is>
          <t>임차인 칸에 '공실'로 적고 면적만 입력한다(임대율 계산에 필요)</t>
        </is>
      </c>
    </row>
    <row r="14" ht="20" customHeight="1">
      <c r="B14" s="4" t="inlineStr">
        <is>
          <t>기준일</t>
        </is>
      </c>
      <c r="C14" s="5" t="inlineStr">
        <is>
          <t>잔여기간·WALE는 기준일(통상 거래종결일 또는 평가일)을 기준으로 계산한다</t>
        </is>
      </c>
    </row>
    <row r="15" ht="20" customHeight="1">
      <c r="B15" s="4" t="inlineStr">
        <is>
          <t>출처</t>
        </is>
      </c>
      <c r="C15" s="5" t="inlineStr">
        <is>
          <t>실무에서는 각 행에 근거 계약서(변경합의 포함)와 페이지를 기록한다</t>
        </is>
      </c>
    </row>
    <row r="16" ht="20" customHeight="1"/>
    <row r="17" ht="20" customHeight="1">
      <c r="B17" s="3" t="inlineStr">
        <is>
          <t>3. 주요 산식</t>
        </is>
      </c>
    </row>
    <row r="18" ht="20" customHeight="1">
      <c r="B18" s="4" t="inlineStr">
        <is>
          <t>임대율</t>
        </is>
      </c>
      <c r="C18" s="5" t="inlineStr">
        <is>
          <t>임대면적 합계 ÷ 임대가능면적  (Rent-Free 구간 포함 여부를 명시)</t>
        </is>
      </c>
    </row>
    <row r="19" ht="20" customHeight="1">
      <c r="B19" s="4" t="inlineStr">
        <is>
          <t>WALE(임대료 기준)</t>
        </is>
      </c>
      <c r="C19" s="5" t="inlineStr">
        <is>
          <t>Σ(잔여기간 × 연 임대료) ÷ Σ연 임대료</t>
        </is>
      </c>
    </row>
    <row r="20" ht="20" customHeight="1">
      <c r="B20" s="4" t="inlineStr">
        <is>
          <t>WALE(면적 기준)</t>
        </is>
      </c>
      <c r="C20" s="5" t="inlineStr">
        <is>
          <t>Σ(잔여기간 × 임대면적) ÷ Σ임대면적(공실 제외)</t>
        </is>
      </c>
    </row>
    <row r="21" ht="20" customHeight="1">
      <c r="B21" s="4" t="inlineStr">
        <is>
          <t>보증금 배수</t>
        </is>
      </c>
      <c r="C21" s="5" t="inlineStr">
        <is>
          <t>보증금 총액 ÷ 월 임대료 (몇 개월분인지)</t>
        </is>
      </c>
    </row>
    <row r="22" ht="20" customHeight="1">
      <c r="B22" s="4" t="inlineStr">
        <is>
          <t>Effective Rent</t>
        </is>
      </c>
      <c r="C22" s="5" t="inlineStr">
        <is>
          <t>(월 임대료 × (12 − 연간 Rent-Free 개월) ÷ 12) + 월 관리비</t>
        </is>
      </c>
    </row>
    <row r="23" ht="20" customHeight="1"/>
    <row r="24" ht="20" customHeight="1">
      <c r="B24" s="3" t="inlineStr">
        <is>
          <t>4. 실습 과제</t>
        </is>
      </c>
    </row>
    <row r="25" ht="20" customHeight="1">
      <c r="B25" s="4" t="inlineStr">
        <is>
          <t>과제 1</t>
        </is>
      </c>
      <c r="C25" s="5" t="inlineStr">
        <is>
          <t>2_요약 시트에서 기준일을 1년 뒤로 바꾸면 WALE가 얼마나 줄어드는지 확인하라</t>
        </is>
      </c>
    </row>
    <row r="26" ht="20" customHeight="1">
      <c r="B26" s="4" t="inlineStr">
        <is>
          <t>과제 2</t>
        </is>
      </c>
      <c r="C26" s="5" t="inlineStr">
        <is>
          <t>만기 스케줄에서 특정 연도에 만기가 몰려 있는지 찾고, 재계약 리스크를 한 문장으로 적어라</t>
        </is>
      </c>
    </row>
    <row r="27" ht="20" customHeight="1">
      <c r="B27" s="4" t="inlineStr">
        <is>
          <t>과제 3</t>
        </is>
      </c>
      <c r="C27" s="5" t="inlineStr">
        <is>
          <t>앵커 임차인(최대 비중) 이탈 시 임대율과 연 임대료 감소분을 계산하라</t>
        </is>
      </c>
    </row>
    <row r="28" ht="20" customHeight="1">
      <c r="B28" s="4" t="inlineStr">
        <is>
          <t>과제 4</t>
        </is>
      </c>
      <c r="C28" s="5" t="inlineStr">
        <is>
          <t>4_실습_오류찾기 시트에서 오류 4건을 찾고, 어떤 검증식으로 찾았는지 적어라</t>
        </is>
      </c>
    </row>
    <row r="29" ht="20" customHeight="1">
      <c r="B29" s="4" t="inlineStr">
        <is>
          <t>과제 5</t>
        </is>
      </c>
      <c r="C29" s="5" t="inlineStr">
        <is>
          <t>보증금 담보 구분(우선수익권·예금질권·없음)별 금액을 집계하고, 매수인·대주 관점의 의미를 설명하라</t>
        </is>
      </c>
    </row>
    <row r="30" ht="20" customHeight="1"/>
    <row r="31" ht="20" customHeight="1">
      <c r="B31" s="3" t="inlineStr">
        <is>
          <t>5. 강사용 정답 — 오류찾기 시트 (배포 시 이 표는 지울 것)</t>
        </is>
      </c>
    </row>
    <row r="32" ht="20" customHeight="1">
      <c r="B32" s="4" t="inlineStr">
        <is>
          <t>오류 ①</t>
        </is>
      </c>
      <c r="C32" s="6" t="inlineStr">
        <is>
          <t>No 3: 계약 만기일이 개시일보다 앞섬 → 검증식 =만기일&lt;개시일</t>
        </is>
      </c>
    </row>
    <row r="33" ht="20" customHeight="1">
      <c r="B33" s="4" t="inlineStr">
        <is>
          <t>오류 ②</t>
        </is>
      </c>
      <c r="C33" s="6" t="inlineStr">
        <is>
          <t>No 6: 월 임대료 3,100원/평(0 하나 누락, 다른 행은 3만원대) → 평균 대비 ±50% 벗어남</t>
        </is>
      </c>
    </row>
    <row r="34" ht="20" customHeight="1">
      <c r="B34" s="4" t="inlineStr">
        <is>
          <t>오류 ③</t>
        </is>
      </c>
      <c r="C34" s="6" t="inlineStr">
        <is>
          <t>No 8: 보증금 배수 0.6개월(다른 행 6~7개월) → 보증금 단위 입력 오류 의심</t>
        </is>
      </c>
    </row>
    <row r="35" ht="20" customHeight="1">
      <c r="B35" s="4" t="inlineStr">
        <is>
          <t>오류 ④</t>
        </is>
      </c>
      <c r="C35" s="6" t="inlineStr">
        <is>
          <t>No 13: 3F-A 구획 중복 입력 → 임대면적 합계가 임대가능면적을 넘어 임대율이 100% 초과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19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1" customWidth="1" min="4" max="4"/>
    <col width="9" customWidth="1" min="5" max="5"/>
    <col width="9" customWidth="1" min="6" max="6"/>
    <col width="10" customWidth="1" min="7" max="7"/>
    <col width="10" customWidth="1" min="8" max="8"/>
    <col width="11" customWidth="1" min="9" max="9"/>
    <col width="11" customWidth="1" min="10" max="10"/>
    <col width="9" customWidth="1" min="11" max="11"/>
    <col width="10" customWidth="1" min="12" max="12"/>
    <col width="15" customWidth="1" min="13" max="13"/>
    <col width="10" customWidth="1" min="14" max="14"/>
    <col width="13" customWidth="1" min="15" max="15"/>
    <col width="10" customWidth="1" min="16" max="16"/>
    <col width="13" customWidth="1" min="17" max="17"/>
    <col width="15" customWidth="1" min="18" max="18"/>
    <col width="11" customWidth="1" min="19" max="19"/>
    <col width="8" customWidth="1" min="20" max="20"/>
    <col width="8" customWidth="1" min="21" max="21"/>
    <col width="9" customWidth="1" min="22" max="22"/>
    <col width="11" customWidth="1" min="23" max="23"/>
    <col width="16" customWidth="1" min="24" max="24"/>
  </cols>
  <sheetData>
    <row r="1">
      <c r="A1" s="7" t="inlineStr">
        <is>
          <t>Rent Roll — 가상 물류센터 (작성 예시)</t>
        </is>
      </c>
    </row>
    <row r="3">
      <c r="A3" s="8" t="inlineStr">
        <is>
          <t>기준일</t>
        </is>
      </c>
      <c r="C3" s="9" t="n">
        <v>46387</v>
      </c>
      <c r="E3" s="8" t="inlineStr">
        <is>
          <t>임대가능면적(㎡)</t>
        </is>
      </c>
      <c r="G3" s="10" t="n">
        <v>28000</v>
      </c>
      <c r="I3" s="11" t="inlineStr">
        <is>
          <t>노란 칸 = 입력값 / 연두 칸 = 수식(수정 금지) / 단위: 원, ㎡, 평(= ㎡ × 0.3025)</t>
        </is>
      </c>
    </row>
    <row r="5" ht="36" customHeight="1">
      <c r="A5" s="12" t="inlineStr">
        <is>
          <t>No</t>
        </is>
      </c>
      <c r="B5" s="12" t="inlineStr">
        <is>
          <t>층</t>
        </is>
      </c>
      <c r="C5" s="12" t="inlineStr">
        <is>
          <t>구획</t>
        </is>
      </c>
      <c r="D5" s="12" t="inlineStr">
        <is>
          <t>임차인</t>
        </is>
      </c>
      <c r="E5" s="12" t="inlineStr">
        <is>
          <t>업종</t>
        </is>
      </c>
      <c r="F5" s="12" t="inlineStr">
        <is>
          <t>용도</t>
        </is>
      </c>
      <c r="G5" s="12" t="inlineStr">
        <is>
          <t>임대면적
(㎡)</t>
        </is>
      </c>
      <c r="H5" s="12" t="inlineStr">
        <is>
          <t>임대면적
(평)</t>
        </is>
      </c>
      <c r="I5" s="12" t="inlineStr">
        <is>
          <t>계약 개시일</t>
        </is>
      </c>
      <c r="J5" s="12" t="inlineStr">
        <is>
          <t>계약 만기일</t>
        </is>
      </c>
      <c r="K5" s="12" t="inlineStr">
        <is>
          <t>잔여기간
(년)</t>
        </is>
      </c>
      <c r="L5" s="12" t="inlineStr">
        <is>
          <t>보증금
(원/평)</t>
        </is>
      </c>
      <c r="M5" s="12" t="inlineStr">
        <is>
          <t>보증금 총액
(원)</t>
        </is>
      </c>
      <c r="N5" s="12" t="inlineStr">
        <is>
          <t>월 임대료
(원/평)</t>
        </is>
      </c>
      <c r="O5" s="12" t="inlineStr">
        <is>
          <t>월 임대료
(원)</t>
        </is>
      </c>
      <c r="P5" s="12" t="inlineStr">
        <is>
          <t>월 관리비
(원/평)</t>
        </is>
      </c>
      <c r="Q5" s="12" t="inlineStr">
        <is>
          <t>월 관리비
(원)</t>
        </is>
      </c>
      <c r="R5" s="12" t="inlineStr">
        <is>
          <t>연 임대료
(원)</t>
        </is>
      </c>
      <c r="S5" s="12" t="inlineStr">
        <is>
          <t>보증금 배수
(월 임대료 대비)</t>
        </is>
      </c>
      <c r="T5" s="12" t="inlineStr">
        <is>
          <t>인상률
(연)</t>
        </is>
      </c>
      <c r="U5" s="12" t="inlineStr">
        <is>
          <t>인상주기
(개월)</t>
        </is>
      </c>
      <c r="V5" s="12" t="inlineStr">
        <is>
          <t>Rent-Free
잔여(개월)</t>
        </is>
      </c>
      <c r="W5" s="12" t="inlineStr">
        <is>
          <t>보증금 담보</t>
        </is>
      </c>
      <c r="X5" s="12" t="inlineStr">
        <is>
          <t>비고</t>
        </is>
      </c>
    </row>
    <row r="6" ht="18" customHeight="1">
      <c r="A6" s="13" t="n">
        <v>1</v>
      </c>
      <c r="B6" s="13" t="inlineStr">
        <is>
          <t>B1</t>
        </is>
      </c>
      <c r="C6" s="13" t="inlineStr">
        <is>
          <t>A</t>
        </is>
      </c>
      <c r="D6" s="13" t="inlineStr">
        <is>
          <t>임차인 A</t>
        </is>
      </c>
      <c r="E6" s="13" t="inlineStr">
        <is>
          <t>3PL</t>
        </is>
      </c>
      <c r="F6" s="13" t="inlineStr">
        <is>
          <t>상온창고</t>
        </is>
      </c>
      <c r="G6" s="14" t="n">
        <v>4000</v>
      </c>
      <c r="H6" s="15">
        <f>IF(G6="","",ROUND(G6*0.3025,2))</f>
        <v/>
      </c>
      <c r="I6" s="16" t="n">
        <v>45717</v>
      </c>
      <c r="J6" s="16" t="n">
        <v>48273</v>
      </c>
      <c r="K6" s="17">
        <f>IF(J6="","",MAX(0,ROUND((J6-$C$3)/365,2)))</f>
        <v/>
      </c>
      <c r="L6" s="18" t="n">
        <v>200000</v>
      </c>
      <c r="M6" s="19">
        <f>IF(H6="","",H6*L6)</f>
        <v/>
      </c>
      <c r="N6" s="18" t="n">
        <v>30000</v>
      </c>
      <c r="O6" s="19">
        <f>IF(H6="","",H6*N6)</f>
        <v/>
      </c>
      <c r="P6" s="18" t="n">
        <v>8000</v>
      </c>
      <c r="Q6" s="19">
        <f>IF(H6="","",H6*P6)</f>
        <v/>
      </c>
      <c r="R6" s="19">
        <f>IF(O6="","",O6*12)</f>
        <v/>
      </c>
      <c r="S6" s="20">
        <f>IF(OR(O6="",O6=0),"",ROUND(M6/O6,1))</f>
        <v/>
      </c>
      <c r="T6" s="21" t="n">
        <v>0.025</v>
      </c>
      <c r="U6" s="13" t="n">
        <v>12</v>
      </c>
      <c r="V6" s="13" t="n">
        <v>0</v>
      </c>
      <c r="W6" s="13" t="inlineStr">
        <is>
          <t>우선수익권</t>
        </is>
      </c>
      <c r="X6" s="22" t="inlineStr">
        <is>
          <t>앵커 임차인</t>
        </is>
      </c>
    </row>
    <row r="7" ht="18" customHeight="1">
      <c r="A7" s="13" t="n">
        <v>2</v>
      </c>
      <c r="B7" s="13" t="inlineStr">
        <is>
          <t>1F</t>
        </is>
      </c>
      <c r="C7" s="13" t="inlineStr">
        <is>
          <t>A</t>
        </is>
      </c>
      <c r="D7" s="13" t="inlineStr">
        <is>
          <t>임차인 B</t>
        </is>
      </c>
      <c r="E7" s="13" t="inlineStr">
        <is>
          <t>유통</t>
        </is>
      </c>
      <c r="F7" s="13" t="inlineStr">
        <is>
          <t>상온창고</t>
        </is>
      </c>
      <c r="G7" s="14" t="n">
        <v>3500</v>
      </c>
      <c r="H7" s="15">
        <f>IF(G7="","",ROUND(G7*0.3025,2))</f>
        <v/>
      </c>
      <c r="I7" s="16" t="n">
        <v>45474</v>
      </c>
      <c r="J7" s="16" t="n">
        <v>47299</v>
      </c>
      <c r="K7" s="17">
        <f>IF(J7="","",MAX(0,ROUND((J7-$C$3)/365,2)))</f>
        <v/>
      </c>
      <c r="L7" s="18" t="n">
        <v>180000</v>
      </c>
      <c r="M7" s="19">
        <f>IF(H7="","",H7*L7)</f>
        <v/>
      </c>
      <c r="N7" s="18" t="n">
        <v>32000</v>
      </c>
      <c r="O7" s="19">
        <f>IF(H7="","",H7*N7)</f>
        <v/>
      </c>
      <c r="P7" s="18" t="n">
        <v>8000</v>
      </c>
      <c r="Q7" s="19">
        <f>IF(H7="","",H7*P7)</f>
        <v/>
      </c>
      <c r="R7" s="19">
        <f>IF(O7="","",O7*12)</f>
        <v/>
      </c>
      <c r="S7" s="20">
        <f>IF(OR(O7="",O7=0),"",ROUND(M7/O7,1))</f>
        <v/>
      </c>
      <c r="T7" s="21" t="n">
        <v>0.03</v>
      </c>
      <c r="U7" s="13" t="n">
        <v>12</v>
      </c>
      <c r="V7" s="13" t="n">
        <v>0</v>
      </c>
      <c r="W7" s="13" t="inlineStr">
        <is>
          <t>예금질권</t>
        </is>
      </c>
      <c r="X7" s="22" t="n"/>
    </row>
    <row r="8" ht="18" customHeight="1">
      <c r="A8" s="13" t="n">
        <v>3</v>
      </c>
      <c r="B8" s="13" t="inlineStr">
        <is>
          <t>1F</t>
        </is>
      </c>
      <c r="C8" s="13" t="inlineStr">
        <is>
          <t>B</t>
        </is>
      </c>
      <c r="D8" s="13" t="inlineStr">
        <is>
          <t>임차인 C</t>
        </is>
      </c>
      <c r="E8" s="13" t="inlineStr">
        <is>
          <t>식품</t>
        </is>
      </c>
      <c r="F8" s="13" t="inlineStr">
        <is>
          <t>저온창고</t>
        </is>
      </c>
      <c r="G8" s="14" t="n">
        <v>1500</v>
      </c>
      <c r="H8" s="15">
        <f>IF(G8="","",ROUND(G8*0.3025,2))</f>
        <v/>
      </c>
      <c r="I8" s="16" t="n">
        <v>46023</v>
      </c>
      <c r="J8" s="16" t="n">
        <v>48213</v>
      </c>
      <c r="K8" s="17">
        <f>IF(J8="","",MAX(0,ROUND((J8-$C$3)/365,2)))</f>
        <v/>
      </c>
      <c r="L8" s="18" t="n">
        <v>250000</v>
      </c>
      <c r="M8" s="19">
        <f>IF(H8="","",H8*L8)</f>
        <v/>
      </c>
      <c r="N8" s="18" t="n">
        <v>45000</v>
      </c>
      <c r="O8" s="19">
        <f>IF(H8="","",H8*N8)</f>
        <v/>
      </c>
      <c r="P8" s="18" t="n">
        <v>12000</v>
      </c>
      <c r="Q8" s="19">
        <f>IF(H8="","",H8*P8)</f>
        <v/>
      </c>
      <c r="R8" s="19">
        <f>IF(O8="","",O8*12)</f>
        <v/>
      </c>
      <c r="S8" s="20">
        <f>IF(OR(O8="",O8=0),"",ROUND(M8/O8,1))</f>
        <v/>
      </c>
      <c r="T8" s="21" t="n">
        <v>0.03</v>
      </c>
      <c r="U8" s="13" t="n">
        <v>12</v>
      </c>
      <c r="V8" s="13" t="n">
        <v>2</v>
      </c>
      <c r="W8" s="13" t="inlineStr">
        <is>
          <t>예금질권</t>
        </is>
      </c>
      <c r="X8" s="22" t="inlineStr">
        <is>
          <t>Rent-Free 잔여</t>
        </is>
      </c>
    </row>
    <row r="9" ht="18" customHeight="1">
      <c r="A9" s="13" t="n">
        <v>4</v>
      </c>
      <c r="B9" s="13" t="inlineStr">
        <is>
          <t>1F</t>
        </is>
      </c>
      <c r="C9" s="13" t="inlineStr">
        <is>
          <t>C</t>
        </is>
      </c>
      <c r="D9" s="13" t="inlineStr">
        <is>
          <t>임차인 D</t>
        </is>
      </c>
      <c r="E9" s="13" t="inlineStr">
        <is>
          <t>근린생활</t>
        </is>
      </c>
      <c r="F9" s="13" t="inlineStr">
        <is>
          <t>근생</t>
        </is>
      </c>
      <c r="G9" s="14" t="n">
        <v>200</v>
      </c>
      <c r="H9" s="15">
        <f>IF(G9="","",ROUND(G9*0.3025,2))</f>
        <v/>
      </c>
      <c r="I9" s="16" t="n">
        <v>45778</v>
      </c>
      <c r="J9" s="16" t="n">
        <v>47603</v>
      </c>
      <c r="K9" s="17">
        <f>IF(J9="","",MAX(0,ROUND((J9-$C$3)/365,2)))</f>
        <v/>
      </c>
      <c r="L9" s="18" t="n">
        <v>300000</v>
      </c>
      <c r="M9" s="19">
        <f>IF(H9="","",H9*L9)</f>
        <v/>
      </c>
      <c r="N9" s="18" t="n">
        <v>50000</v>
      </c>
      <c r="O9" s="19">
        <f>IF(H9="","",H9*N9)</f>
        <v/>
      </c>
      <c r="P9" s="18" t="n">
        <v>10000</v>
      </c>
      <c r="Q9" s="19">
        <f>IF(H9="","",H9*P9)</f>
        <v/>
      </c>
      <c r="R9" s="19">
        <f>IF(O9="","",O9*12)</f>
        <v/>
      </c>
      <c r="S9" s="20">
        <f>IF(OR(O9="",O9=0),"",ROUND(M9/O9,1))</f>
        <v/>
      </c>
      <c r="T9" s="21" t="n">
        <v>0.02</v>
      </c>
      <c r="U9" s="13" t="n">
        <v>12</v>
      </c>
      <c r="V9" s="13" t="n">
        <v>0</v>
      </c>
      <c r="W9" s="13" t="inlineStr">
        <is>
          <t>없음</t>
        </is>
      </c>
      <c r="X9" s="22" t="n"/>
    </row>
    <row r="10" ht="18" customHeight="1">
      <c r="A10" s="13" t="n">
        <v>5</v>
      </c>
      <c r="B10" s="13" t="inlineStr">
        <is>
          <t>2F</t>
        </is>
      </c>
      <c r="C10" s="13" t="inlineStr">
        <is>
          <t>전체</t>
        </is>
      </c>
      <c r="D10" s="13" t="inlineStr">
        <is>
          <t>임차인 A</t>
        </is>
      </c>
      <c r="E10" s="13" t="inlineStr">
        <is>
          <t>3PL</t>
        </is>
      </c>
      <c r="F10" s="13" t="inlineStr">
        <is>
          <t>상온창고</t>
        </is>
      </c>
      <c r="G10" s="14" t="n">
        <v>5000</v>
      </c>
      <c r="H10" s="15">
        <f>IF(G10="","",ROUND(G10*0.3025,2))</f>
        <v/>
      </c>
      <c r="I10" s="16" t="n">
        <v>45717</v>
      </c>
      <c r="J10" s="16" t="n">
        <v>48273</v>
      </c>
      <c r="K10" s="17">
        <f>IF(J10="","",MAX(0,ROUND((J10-$C$3)/365,2)))</f>
        <v/>
      </c>
      <c r="L10" s="18" t="n">
        <v>200000</v>
      </c>
      <c r="M10" s="19">
        <f>IF(H10="","",H10*L10)</f>
        <v/>
      </c>
      <c r="N10" s="18" t="n">
        <v>30000</v>
      </c>
      <c r="O10" s="19">
        <f>IF(H10="","",H10*N10)</f>
        <v/>
      </c>
      <c r="P10" s="18" t="n">
        <v>8000</v>
      </c>
      <c r="Q10" s="19">
        <f>IF(H10="","",H10*P10)</f>
        <v/>
      </c>
      <c r="R10" s="19">
        <f>IF(O10="","",O10*12)</f>
        <v/>
      </c>
      <c r="S10" s="20">
        <f>IF(OR(O10="",O10=0),"",ROUND(M10/O10,1))</f>
        <v/>
      </c>
      <c r="T10" s="21" t="n">
        <v>0.025</v>
      </c>
      <c r="U10" s="13" t="n">
        <v>12</v>
      </c>
      <c r="V10" s="13" t="n">
        <v>0</v>
      </c>
      <c r="W10" s="13" t="inlineStr">
        <is>
          <t>우선수익권</t>
        </is>
      </c>
      <c r="X10" s="22" t="inlineStr">
        <is>
          <t>앵커 임차인</t>
        </is>
      </c>
    </row>
    <row r="11" ht="18" customHeight="1">
      <c r="A11" s="13" t="n">
        <v>6</v>
      </c>
      <c r="B11" s="13" t="inlineStr">
        <is>
          <t>3F</t>
        </is>
      </c>
      <c r="C11" s="13" t="inlineStr">
        <is>
          <t>A</t>
        </is>
      </c>
      <c r="D11" s="13" t="inlineStr">
        <is>
          <t>임차인 E</t>
        </is>
      </c>
      <c r="E11" s="13" t="inlineStr">
        <is>
          <t>이커머스</t>
        </is>
      </c>
      <c r="F11" s="13" t="inlineStr">
        <is>
          <t>상온창고</t>
        </is>
      </c>
      <c r="G11" s="14" t="n">
        <v>3000</v>
      </c>
      <c r="H11" s="15">
        <f>IF(G11="","",ROUND(G11*0.3025,2))</f>
        <v/>
      </c>
      <c r="I11" s="16" t="n">
        <v>45200</v>
      </c>
      <c r="J11" s="16" t="n">
        <v>47026</v>
      </c>
      <c r="K11" s="17">
        <f>IF(J11="","",MAX(0,ROUND((J11-$C$3)/365,2)))</f>
        <v/>
      </c>
      <c r="L11" s="18" t="n">
        <v>190000</v>
      </c>
      <c r="M11" s="19">
        <f>IF(H11="","",H11*L11)</f>
        <v/>
      </c>
      <c r="N11" s="18" t="n">
        <v>31000</v>
      </c>
      <c r="O11" s="19">
        <f>IF(H11="","",H11*N11)</f>
        <v/>
      </c>
      <c r="P11" s="18" t="n">
        <v>8000</v>
      </c>
      <c r="Q11" s="19">
        <f>IF(H11="","",H11*P11)</f>
        <v/>
      </c>
      <c r="R11" s="19">
        <f>IF(O11="","",O11*12)</f>
        <v/>
      </c>
      <c r="S11" s="20">
        <f>IF(OR(O11="",O11=0),"",ROUND(M11/O11,1))</f>
        <v/>
      </c>
      <c r="T11" s="21" t="n">
        <v>0.03</v>
      </c>
      <c r="U11" s="13" t="n">
        <v>12</v>
      </c>
      <c r="V11" s="13" t="n">
        <v>0</v>
      </c>
      <c r="W11" s="13" t="inlineStr">
        <is>
          <t>예금질권</t>
        </is>
      </c>
      <c r="X11" s="22" t="n"/>
    </row>
    <row r="12" ht="18" customHeight="1">
      <c r="A12" s="13" t="n">
        <v>7</v>
      </c>
      <c r="B12" s="13" t="inlineStr">
        <is>
          <t>3F</t>
        </is>
      </c>
      <c r="C12" s="13" t="inlineStr">
        <is>
          <t>B</t>
        </is>
      </c>
      <c r="D12" s="13" t="inlineStr">
        <is>
          <t>공실</t>
        </is>
      </c>
      <c r="E12" s="13" t="n"/>
      <c r="F12" s="13" t="inlineStr">
        <is>
          <t>상온창고</t>
        </is>
      </c>
      <c r="G12" s="14" t="n">
        <v>1000</v>
      </c>
      <c r="H12" s="15">
        <f>IF(G12="","",ROUND(G12*0.3025,2))</f>
        <v/>
      </c>
      <c r="I12" s="16" t="n"/>
      <c r="J12" s="16" t="n"/>
      <c r="K12" s="17">
        <f>IF(J12="","",MAX(0,ROUND((J12-$C$3)/365,2)))</f>
        <v/>
      </c>
      <c r="L12" s="18" t="n">
        <v>0</v>
      </c>
      <c r="M12" s="19">
        <f>IF(H12="","",H12*L12)</f>
        <v/>
      </c>
      <c r="N12" s="18" t="n">
        <v>0</v>
      </c>
      <c r="O12" s="19">
        <f>IF(H12="","",H12*N12)</f>
        <v/>
      </c>
      <c r="P12" s="18" t="n">
        <v>0</v>
      </c>
      <c r="Q12" s="19">
        <f>IF(H12="","",H12*P12)</f>
        <v/>
      </c>
      <c r="R12" s="19">
        <f>IF(O12="","",O12*12)</f>
        <v/>
      </c>
      <c r="S12" s="20">
        <f>IF(OR(O12="",O12=0),"",ROUND(M12/O12,1))</f>
        <v/>
      </c>
      <c r="T12" s="21" t="n">
        <v>0</v>
      </c>
      <c r="U12" s="13" t="n">
        <v>0</v>
      </c>
      <c r="V12" s="13" t="n">
        <v>0</v>
      </c>
      <c r="W12" s="13" t="n"/>
      <c r="X12" s="22" t="inlineStr">
        <is>
          <t>임대 마케팅 중</t>
        </is>
      </c>
    </row>
    <row r="13" ht="18" customHeight="1">
      <c r="A13" s="13" t="n">
        <v>8</v>
      </c>
      <c r="B13" s="13" t="inlineStr">
        <is>
          <t>4F</t>
        </is>
      </c>
      <c r="C13" s="13" t="inlineStr">
        <is>
          <t>전체</t>
        </is>
      </c>
      <c r="D13" s="13" t="inlineStr">
        <is>
          <t>임차인 F</t>
        </is>
      </c>
      <c r="E13" s="13" t="inlineStr">
        <is>
          <t>제조</t>
        </is>
      </c>
      <c r="F13" s="13" t="inlineStr">
        <is>
          <t>상온창고</t>
        </is>
      </c>
      <c r="G13" s="14" t="n">
        <v>4500</v>
      </c>
      <c r="H13" s="15">
        <f>IF(G13="","",ROUND(G13*0.3025,2))</f>
        <v/>
      </c>
      <c r="I13" s="16" t="n">
        <v>45292</v>
      </c>
      <c r="J13" s="16" t="n">
        <v>46752</v>
      </c>
      <c r="K13" s="17">
        <f>IF(J13="","",MAX(0,ROUND((J13-$C$3)/365,2)))</f>
        <v/>
      </c>
      <c r="L13" s="18" t="n">
        <v>180000</v>
      </c>
      <c r="M13" s="19">
        <f>IF(H13="","",H13*L13)</f>
        <v/>
      </c>
      <c r="N13" s="18" t="n">
        <v>29000</v>
      </c>
      <c r="O13" s="19">
        <f>IF(H13="","",H13*N13)</f>
        <v/>
      </c>
      <c r="P13" s="18" t="n">
        <v>8000</v>
      </c>
      <c r="Q13" s="19">
        <f>IF(H13="","",H13*P13)</f>
        <v/>
      </c>
      <c r="R13" s="19">
        <f>IF(O13="","",O13*12)</f>
        <v/>
      </c>
      <c r="S13" s="20">
        <f>IF(OR(O13="",O13=0),"",ROUND(M13/O13,1))</f>
        <v/>
      </c>
      <c r="T13" s="21" t="n">
        <v>0.02</v>
      </c>
      <c r="U13" s="13" t="n">
        <v>12</v>
      </c>
      <c r="V13" s="13" t="n">
        <v>0</v>
      </c>
      <c r="W13" s="13" t="inlineStr">
        <is>
          <t>예금질권</t>
        </is>
      </c>
      <c r="X13" s="22" t="inlineStr">
        <is>
          <t>만기 1년 이내</t>
        </is>
      </c>
    </row>
    <row r="14" ht="18" customHeight="1">
      <c r="A14" s="13" t="n">
        <v>9</v>
      </c>
      <c r="B14" s="13" t="inlineStr">
        <is>
          <t>5F</t>
        </is>
      </c>
      <c r="C14" s="13" t="inlineStr">
        <is>
          <t>A</t>
        </is>
      </c>
      <c r="D14" s="13" t="inlineStr">
        <is>
          <t>임차인 G</t>
        </is>
      </c>
      <c r="E14" s="13" t="inlineStr">
        <is>
          <t>3PL</t>
        </is>
      </c>
      <c r="F14" s="13" t="inlineStr">
        <is>
          <t>상온창고</t>
        </is>
      </c>
      <c r="G14" s="14" t="n">
        <v>2800</v>
      </c>
      <c r="H14" s="15">
        <f>IF(G14="","",ROUND(G14*0.3025,2))</f>
        <v/>
      </c>
      <c r="I14" s="16" t="n">
        <v>45901</v>
      </c>
      <c r="J14" s="16" t="n">
        <v>47726</v>
      </c>
      <c r="K14" s="17">
        <f>IF(J14="","",MAX(0,ROUND((J14-$C$3)/365,2)))</f>
        <v/>
      </c>
      <c r="L14" s="18" t="n">
        <v>200000</v>
      </c>
      <c r="M14" s="19">
        <f>IF(H14="","",H14*L14)</f>
        <v/>
      </c>
      <c r="N14" s="18" t="n">
        <v>33000</v>
      </c>
      <c r="O14" s="19">
        <f>IF(H14="","",H14*N14)</f>
        <v/>
      </c>
      <c r="P14" s="18" t="n">
        <v>8000</v>
      </c>
      <c r="Q14" s="19">
        <f>IF(H14="","",H14*P14)</f>
        <v/>
      </c>
      <c r="R14" s="19">
        <f>IF(O14="","",O14*12)</f>
        <v/>
      </c>
      <c r="S14" s="20">
        <f>IF(OR(O14="",O14=0),"",ROUND(M14/O14,1))</f>
        <v/>
      </c>
      <c r="T14" s="21" t="n">
        <v>0.03</v>
      </c>
      <c r="U14" s="13" t="n">
        <v>12</v>
      </c>
      <c r="V14" s="13" t="n">
        <v>0</v>
      </c>
      <c r="W14" s="13" t="inlineStr">
        <is>
          <t>예금질권</t>
        </is>
      </c>
      <c r="X14" s="22" t="n"/>
    </row>
    <row r="15" ht="18" customHeight="1">
      <c r="A15" s="13" t="n">
        <v>10</v>
      </c>
      <c r="B15" s="13" t="inlineStr">
        <is>
          <t>5F</t>
        </is>
      </c>
      <c r="C15" s="13" t="inlineStr">
        <is>
          <t>B</t>
        </is>
      </c>
      <c r="D15" s="13" t="inlineStr">
        <is>
          <t>임차인 H</t>
        </is>
      </c>
      <c r="E15" s="13" t="inlineStr">
        <is>
          <t>물류</t>
        </is>
      </c>
      <c r="F15" s="13" t="inlineStr">
        <is>
          <t>상온창고</t>
        </is>
      </c>
      <c r="G15" s="14" t="n">
        <v>1500</v>
      </c>
      <c r="H15" s="15">
        <f>IF(G15="","",ROUND(G15*0.3025,2))</f>
        <v/>
      </c>
      <c r="I15" s="16" t="n">
        <v>46113</v>
      </c>
      <c r="J15" s="16" t="n">
        <v>47208</v>
      </c>
      <c r="K15" s="17">
        <f>IF(J15="","",MAX(0,ROUND((J15-$C$3)/365,2)))</f>
        <v/>
      </c>
      <c r="L15" s="18" t="n">
        <v>200000</v>
      </c>
      <c r="M15" s="19">
        <f>IF(H15="","",H15*L15)</f>
        <v/>
      </c>
      <c r="N15" s="18" t="n">
        <v>34000</v>
      </c>
      <c r="O15" s="19">
        <f>IF(H15="","",H15*N15)</f>
        <v/>
      </c>
      <c r="P15" s="18" t="n">
        <v>8000</v>
      </c>
      <c r="Q15" s="19">
        <f>IF(H15="","",H15*P15)</f>
        <v/>
      </c>
      <c r="R15" s="19">
        <f>IF(O15="","",O15*12)</f>
        <v/>
      </c>
      <c r="S15" s="20">
        <f>IF(OR(O15="",O15=0),"",ROUND(M15/O15,1))</f>
        <v/>
      </c>
      <c r="T15" s="21" t="n">
        <v>0.03</v>
      </c>
      <c r="U15" s="13" t="n">
        <v>12</v>
      </c>
      <c r="V15" s="13" t="n">
        <v>1</v>
      </c>
      <c r="W15" s="13" t="inlineStr">
        <is>
          <t>예금질권</t>
        </is>
      </c>
      <c r="X15" s="22" t="inlineStr">
        <is>
          <t>Rent-Free 잔여</t>
        </is>
      </c>
    </row>
    <row r="16" ht="18" customHeight="1">
      <c r="A16" s="13" t="n">
        <v>11</v>
      </c>
      <c r="B16" s="13" t="inlineStr">
        <is>
          <t>6F</t>
        </is>
      </c>
      <c r="C16" s="13" t="inlineStr">
        <is>
          <t>A</t>
        </is>
      </c>
      <c r="D16" s="13" t="inlineStr">
        <is>
          <t>임차인 A</t>
        </is>
      </c>
      <c r="E16" s="13" t="inlineStr">
        <is>
          <t>3PL</t>
        </is>
      </c>
      <c r="F16" s="13" t="inlineStr">
        <is>
          <t>사무</t>
        </is>
      </c>
      <c r="G16" s="14" t="n">
        <v>800</v>
      </c>
      <c r="H16" s="15">
        <f>IF(G16="","",ROUND(G16*0.3025,2))</f>
        <v/>
      </c>
      <c r="I16" s="16" t="n">
        <v>45717</v>
      </c>
      <c r="J16" s="16" t="n">
        <v>48273</v>
      </c>
      <c r="K16" s="17">
        <f>IF(J16="","",MAX(0,ROUND((J16-$C$3)/365,2)))</f>
        <v/>
      </c>
      <c r="L16" s="18" t="n">
        <v>200000</v>
      </c>
      <c r="M16" s="19">
        <f>IF(H16="","",H16*L16)</f>
        <v/>
      </c>
      <c r="N16" s="18" t="n">
        <v>30000</v>
      </c>
      <c r="O16" s="19">
        <f>IF(H16="","",H16*N16)</f>
        <v/>
      </c>
      <c r="P16" s="18" t="n">
        <v>8000</v>
      </c>
      <c r="Q16" s="19">
        <f>IF(H16="","",H16*P16)</f>
        <v/>
      </c>
      <c r="R16" s="19">
        <f>IF(O16="","",O16*12)</f>
        <v/>
      </c>
      <c r="S16" s="20">
        <f>IF(OR(O16="",O16=0),"",ROUND(M16/O16,1))</f>
        <v/>
      </c>
      <c r="T16" s="21" t="n">
        <v>0.025</v>
      </c>
      <c r="U16" s="13" t="n">
        <v>12</v>
      </c>
      <c r="V16" s="13" t="n">
        <v>0</v>
      </c>
      <c r="W16" s="13" t="inlineStr">
        <is>
          <t>우선수익권</t>
        </is>
      </c>
      <c r="X16" s="22" t="inlineStr">
        <is>
          <t>앵커 임차인</t>
        </is>
      </c>
    </row>
    <row r="17" ht="18" customHeight="1">
      <c r="A17" s="13" t="n">
        <v>12</v>
      </c>
      <c r="B17" s="13" t="inlineStr">
        <is>
          <t>6F</t>
        </is>
      </c>
      <c r="C17" s="13" t="inlineStr">
        <is>
          <t>B</t>
        </is>
      </c>
      <c r="D17" s="13" t="inlineStr">
        <is>
          <t>공실</t>
        </is>
      </c>
      <c r="E17" s="13" t="n"/>
      <c r="F17" s="13" t="inlineStr">
        <is>
          <t>사무</t>
        </is>
      </c>
      <c r="G17" s="14" t="n">
        <v>200</v>
      </c>
      <c r="H17" s="15">
        <f>IF(G17="","",ROUND(G17*0.3025,2))</f>
        <v/>
      </c>
      <c r="I17" s="16" t="n"/>
      <c r="J17" s="16" t="n"/>
      <c r="K17" s="17">
        <f>IF(J17="","",MAX(0,ROUND((J17-$C$3)/365,2)))</f>
        <v/>
      </c>
      <c r="L17" s="18" t="n">
        <v>0</v>
      </c>
      <c r="M17" s="19">
        <f>IF(H17="","",H17*L17)</f>
        <v/>
      </c>
      <c r="N17" s="18" t="n">
        <v>0</v>
      </c>
      <c r="O17" s="19">
        <f>IF(H17="","",H17*N17)</f>
        <v/>
      </c>
      <c r="P17" s="18" t="n">
        <v>0</v>
      </c>
      <c r="Q17" s="19">
        <f>IF(H17="","",H17*P17)</f>
        <v/>
      </c>
      <c r="R17" s="19">
        <f>IF(O17="","",O17*12)</f>
        <v/>
      </c>
      <c r="S17" s="20">
        <f>IF(OR(O17="",O17=0),"",ROUND(M17/O17,1))</f>
        <v/>
      </c>
      <c r="T17" s="21" t="n">
        <v>0</v>
      </c>
      <c r="U17" s="13" t="n">
        <v>0</v>
      </c>
      <c r="V17" s="13" t="n">
        <v>0</v>
      </c>
      <c r="W17" s="13" t="n"/>
      <c r="X17" s="22" t="n"/>
    </row>
    <row r="18">
      <c r="A18" s="23" t="inlineStr">
        <is>
          <t>합계 / 가중평균</t>
        </is>
      </c>
      <c r="B18" s="23" t="n"/>
      <c r="C18" s="23" t="n"/>
      <c r="D18" s="23" t="n"/>
      <c r="E18" s="23" t="n"/>
      <c r="F18" s="23" t="n"/>
      <c r="G18" s="24">
        <f>SUM(G6:G17)</f>
        <v/>
      </c>
      <c r="H18" s="24">
        <f>SUM(H6:H17)</f>
        <v/>
      </c>
      <c r="I18" s="25" t="n"/>
      <c r="J18" s="25" t="n"/>
      <c r="K18" s="26">
        <f>IFERROR(SUMPRODUCT(N(+K6:K17),N(+R6:R17))/SUM(R6:R17),"")</f>
        <v/>
      </c>
      <c r="L18" s="27" t="n"/>
      <c r="M18" s="27">
        <f>SUM(M6:M17)</f>
        <v/>
      </c>
      <c r="N18" s="27" t="n"/>
      <c r="O18" s="27">
        <f>SUM(O6:O17)</f>
        <v/>
      </c>
      <c r="P18" s="27" t="n"/>
      <c r="Q18" s="27">
        <f>SUM(Q6:Q17)</f>
        <v/>
      </c>
      <c r="R18" s="27">
        <f>SUM(R6:R17)</f>
        <v/>
      </c>
      <c r="S18" s="28">
        <f>IFERROR(ROUND(M18/O18,1),"")</f>
        <v/>
      </c>
      <c r="T18" s="25" t="n"/>
      <c r="U18" s="25" t="n"/>
      <c r="V18" s="25" t="n"/>
      <c r="W18" s="25" t="n"/>
      <c r="X18" s="25" t="n"/>
    </row>
    <row r="19">
      <c r="A19" s="29" t="inlineStr">
        <is>
          <t>※ 합계 행의 잔여기간 = 연 임대료 가중 WALE(년). 공실 행은 임대료가 0이라 가중치에서 빠진다.</t>
        </is>
      </c>
    </row>
  </sheetData>
  <mergeCells count="3">
    <mergeCell ref="A3:B3"/>
    <mergeCell ref="E3:F3"/>
    <mergeCell ref="A18:F18"/>
  </mergeCells>
  <dataValidations count="2">
    <dataValidation sqref="W6:W17" showDropDown="0" showInputMessage="0" showErrorMessage="0" allowBlank="1" type="list">
      <formula1>"우선수익권,예금질권,보증보험,없음"</formula1>
    </dataValidation>
    <dataValidation sqref="F6:F17" showDropDown="0" showInputMessage="0" showErrorMessage="0" allowBlank="1" type="list">
      <formula1>"상온창고,저온창고,근생,사무,기타"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</cols>
  <sheetData>
    <row r="1">
      <c r="B1" s="7" t="inlineStr">
        <is>
          <t>Rent Roll 요약 (1_RentRoll_예시 시트 집계)</t>
        </is>
      </c>
    </row>
    <row r="2">
      <c r="B2" s="11" t="inlineStr">
        <is>
          <t>모든 값은 수식으로 계산된다. 기준일은 1_RentRoll_예시!C3에서 바꾼다.</t>
        </is>
      </c>
    </row>
    <row r="4">
      <c r="B4" s="30" t="inlineStr">
        <is>
          <t>① 핵심 지표</t>
        </is>
      </c>
    </row>
    <row r="5">
      <c r="B5" s="4" t="inlineStr">
        <is>
          <t>기준일</t>
        </is>
      </c>
      <c r="C5" s="31">
        <f>'1_RentRoll_예시'!C3</f>
        <v/>
      </c>
    </row>
    <row r="6">
      <c r="B6" s="4" t="inlineStr">
        <is>
          <t>임대가능면적(㎡)</t>
        </is>
      </c>
      <c r="C6" s="32">
        <f>'1_RentRoll_예시'!G3</f>
        <v/>
      </c>
    </row>
    <row r="7">
      <c r="B7" s="4" t="inlineStr">
        <is>
          <t>임대면적(㎡, 공실 제외)</t>
        </is>
      </c>
      <c r="C7" s="32">
        <f>SUMIFS('1_RentRoll_예시'!$G$6:$G$17,'1_RentRoll_예시'!$D$6:$D$17,"&lt;&gt;공실")</f>
        <v/>
      </c>
    </row>
    <row r="8">
      <c r="B8" s="4" t="inlineStr">
        <is>
          <t>임대율</t>
        </is>
      </c>
      <c r="C8" s="33">
        <f>C7/C6</f>
        <v/>
      </c>
    </row>
    <row r="9">
      <c r="B9" s="4" t="inlineStr">
        <is>
          <t>WALE — 임대료 기준(년)</t>
        </is>
      </c>
      <c r="C9" s="34">
        <f>SUMPRODUCT(N(+'1_RentRoll_예시'!$K$6:$K$17),N(+'1_RentRoll_예시'!$R$6:$R$17))/SUM('1_RentRoll_예시'!$R$6:$R$17)</f>
        <v/>
      </c>
    </row>
    <row r="10">
      <c r="B10" s="4" t="inlineStr">
        <is>
          <t>WALE — 면적 기준(년)</t>
        </is>
      </c>
      <c r="C10" s="34">
        <f>SUMPRODUCT(N(+'1_RentRoll_예시'!$K$6:$K$17),'1_RentRoll_예시'!$G$6:$G$17*('1_RentRoll_예시'!$D$6:$D$17&lt;&gt;"공실"))/C7</f>
        <v/>
      </c>
    </row>
    <row r="11">
      <c r="B11" s="4" t="inlineStr">
        <is>
          <t>연 임대료 합계(원)</t>
        </is>
      </c>
      <c r="C11" s="35">
        <f>SUM('1_RentRoll_예시'!$R$6:$R$17)</f>
        <v/>
      </c>
    </row>
    <row r="12">
      <c r="B12" s="4" t="inlineStr">
        <is>
          <t>보증금 합계(원)</t>
        </is>
      </c>
      <c r="C12" s="35">
        <f>SUM('1_RentRoll_예시'!$M$6:$M$17)</f>
        <v/>
      </c>
    </row>
    <row r="13">
      <c r="B13" s="4" t="inlineStr">
        <is>
          <t>평균 월 임대료(원/평, 임대면적 가중)</t>
        </is>
      </c>
      <c r="C13" s="35">
        <f>SUM('1_RentRoll_예시'!$O$6:$O$17)/SUMIFS('1_RentRoll_예시'!$H$6:$H$17,'1_RentRoll_예시'!$D$6:$D$17,"&lt;&gt;공실")</f>
        <v/>
      </c>
    </row>
    <row r="15">
      <c r="B15" s="30" t="inlineStr">
        <is>
          <t>② 임차인별 비중</t>
        </is>
      </c>
    </row>
    <row r="16">
      <c r="B16" s="36" t="inlineStr">
        <is>
          <t>임차인</t>
        </is>
      </c>
      <c r="C16" s="36" t="inlineStr">
        <is>
          <t>임대면적(㎡)</t>
        </is>
      </c>
      <c r="D16" s="36" t="inlineStr">
        <is>
          <t>면적 비중</t>
        </is>
      </c>
      <c r="E16" s="36" t="inlineStr">
        <is>
          <t>연 임대료(원)</t>
        </is>
      </c>
      <c r="F16" s="36" t="inlineStr">
        <is>
          <t>임대료 비중</t>
        </is>
      </c>
      <c r="G16" s="36" t="inlineStr">
        <is>
          <t>비고</t>
        </is>
      </c>
    </row>
    <row r="17">
      <c r="B17" s="37" t="inlineStr">
        <is>
          <t>임차인 A</t>
        </is>
      </c>
      <c r="C17" s="38">
        <f>SUMIFS('1_RentRoll_예시'!$G$6:$G$17,'1_RentRoll_예시'!$D$6:$D$17,B17)</f>
        <v/>
      </c>
      <c r="D17" s="39">
        <f>C17/$C$7</f>
        <v/>
      </c>
      <c r="E17" s="40">
        <f>SUMIFS('1_RentRoll_예시'!$R$6:$R$17,'1_RentRoll_예시'!$D$6:$D$17,B17)</f>
        <v/>
      </c>
      <c r="F17" s="39">
        <f>E17/$C$11</f>
        <v/>
      </c>
      <c r="G17" s="37">
        <f>IF(F17=MAX($F$17:$F$24),"최대 임차인(앵커)","")</f>
        <v/>
      </c>
    </row>
    <row r="18">
      <c r="B18" s="37" t="inlineStr">
        <is>
          <t>임차인 B</t>
        </is>
      </c>
      <c r="C18" s="38">
        <f>SUMIFS('1_RentRoll_예시'!$G$6:$G$17,'1_RentRoll_예시'!$D$6:$D$17,B18)</f>
        <v/>
      </c>
      <c r="D18" s="39">
        <f>C18/$C$7</f>
        <v/>
      </c>
      <c r="E18" s="40">
        <f>SUMIFS('1_RentRoll_예시'!$R$6:$R$17,'1_RentRoll_예시'!$D$6:$D$17,B18)</f>
        <v/>
      </c>
      <c r="F18" s="39">
        <f>E18/$C$11</f>
        <v/>
      </c>
      <c r="G18" s="37">
        <f>IF(F18=MAX($F$17:$F$24),"최대 임차인(앵커)","")</f>
        <v/>
      </c>
    </row>
    <row r="19">
      <c r="B19" s="37" t="inlineStr">
        <is>
          <t>임차인 C</t>
        </is>
      </c>
      <c r="C19" s="38">
        <f>SUMIFS('1_RentRoll_예시'!$G$6:$G$17,'1_RentRoll_예시'!$D$6:$D$17,B19)</f>
        <v/>
      </c>
      <c r="D19" s="39">
        <f>C19/$C$7</f>
        <v/>
      </c>
      <c r="E19" s="40">
        <f>SUMIFS('1_RentRoll_예시'!$R$6:$R$17,'1_RentRoll_예시'!$D$6:$D$17,B19)</f>
        <v/>
      </c>
      <c r="F19" s="39">
        <f>E19/$C$11</f>
        <v/>
      </c>
      <c r="G19" s="37">
        <f>IF(F19=MAX($F$17:$F$24),"최대 임차인(앵커)","")</f>
        <v/>
      </c>
    </row>
    <row r="20">
      <c r="B20" s="37" t="inlineStr">
        <is>
          <t>임차인 D</t>
        </is>
      </c>
      <c r="C20" s="38">
        <f>SUMIFS('1_RentRoll_예시'!$G$6:$G$17,'1_RentRoll_예시'!$D$6:$D$17,B20)</f>
        <v/>
      </c>
      <c r="D20" s="39">
        <f>C20/$C$7</f>
        <v/>
      </c>
      <c r="E20" s="40">
        <f>SUMIFS('1_RentRoll_예시'!$R$6:$R$17,'1_RentRoll_예시'!$D$6:$D$17,B20)</f>
        <v/>
      </c>
      <c r="F20" s="39">
        <f>E20/$C$11</f>
        <v/>
      </c>
      <c r="G20" s="37">
        <f>IF(F20=MAX($F$17:$F$24),"최대 임차인(앵커)","")</f>
        <v/>
      </c>
    </row>
    <row r="21">
      <c r="B21" s="37" t="inlineStr">
        <is>
          <t>임차인 E</t>
        </is>
      </c>
      <c r="C21" s="38">
        <f>SUMIFS('1_RentRoll_예시'!$G$6:$G$17,'1_RentRoll_예시'!$D$6:$D$17,B21)</f>
        <v/>
      </c>
      <c r="D21" s="39">
        <f>C21/$C$7</f>
        <v/>
      </c>
      <c r="E21" s="40">
        <f>SUMIFS('1_RentRoll_예시'!$R$6:$R$17,'1_RentRoll_예시'!$D$6:$D$17,B21)</f>
        <v/>
      </c>
      <c r="F21" s="39">
        <f>E21/$C$11</f>
        <v/>
      </c>
      <c r="G21" s="37">
        <f>IF(F21=MAX($F$17:$F$24),"최대 임차인(앵커)","")</f>
        <v/>
      </c>
    </row>
    <row r="22">
      <c r="B22" s="37" t="inlineStr">
        <is>
          <t>임차인 F</t>
        </is>
      </c>
      <c r="C22" s="38">
        <f>SUMIFS('1_RentRoll_예시'!$G$6:$G$17,'1_RentRoll_예시'!$D$6:$D$17,B22)</f>
        <v/>
      </c>
      <c r="D22" s="39">
        <f>C22/$C$7</f>
        <v/>
      </c>
      <c r="E22" s="40">
        <f>SUMIFS('1_RentRoll_예시'!$R$6:$R$17,'1_RentRoll_예시'!$D$6:$D$17,B22)</f>
        <v/>
      </c>
      <c r="F22" s="39">
        <f>E22/$C$11</f>
        <v/>
      </c>
      <c r="G22" s="37">
        <f>IF(F22=MAX($F$17:$F$24),"최대 임차인(앵커)","")</f>
        <v/>
      </c>
    </row>
    <row r="23">
      <c r="B23" s="37" t="inlineStr">
        <is>
          <t>임차인 G</t>
        </is>
      </c>
      <c r="C23" s="38">
        <f>SUMIFS('1_RentRoll_예시'!$G$6:$G$17,'1_RentRoll_예시'!$D$6:$D$17,B23)</f>
        <v/>
      </c>
      <c r="D23" s="39">
        <f>C23/$C$7</f>
        <v/>
      </c>
      <c r="E23" s="40">
        <f>SUMIFS('1_RentRoll_예시'!$R$6:$R$17,'1_RentRoll_예시'!$D$6:$D$17,B23)</f>
        <v/>
      </c>
      <c r="F23" s="39">
        <f>E23/$C$11</f>
        <v/>
      </c>
      <c r="G23" s="37">
        <f>IF(F23=MAX($F$17:$F$24),"최대 임차인(앵커)","")</f>
        <v/>
      </c>
    </row>
    <row r="24">
      <c r="B24" s="37" t="inlineStr">
        <is>
          <t>임차인 H</t>
        </is>
      </c>
      <c r="C24" s="38">
        <f>SUMIFS('1_RentRoll_예시'!$G$6:$G$17,'1_RentRoll_예시'!$D$6:$D$17,B24)</f>
        <v/>
      </c>
      <c r="D24" s="39">
        <f>C24/$C$7</f>
        <v/>
      </c>
      <c r="E24" s="40">
        <f>SUMIFS('1_RentRoll_예시'!$R$6:$R$17,'1_RentRoll_예시'!$D$6:$D$17,B24)</f>
        <v/>
      </c>
      <c r="F24" s="39">
        <f>E24/$C$11</f>
        <v/>
      </c>
      <c r="G24" s="37">
        <f>IF(F24=MAX($F$17:$F$24),"최대 임차인(앵커)","")</f>
        <v/>
      </c>
    </row>
    <row r="26">
      <c r="B26" s="30" t="inlineStr">
        <is>
          <t>③ 연도별 만기 스케줄</t>
        </is>
      </c>
    </row>
    <row r="27">
      <c r="B27" s="36" t="inlineStr">
        <is>
          <t>만기 연도</t>
        </is>
      </c>
      <c r="C27" s="36" t="inlineStr">
        <is>
          <t>만기 면적(㎡)</t>
        </is>
      </c>
      <c r="D27" s="36" t="inlineStr">
        <is>
          <t>면적 비중</t>
        </is>
      </c>
      <c r="E27" s="36" t="inlineStr">
        <is>
          <t>만기 연 임대료(원)</t>
        </is>
      </c>
      <c r="F27" s="36" t="inlineStr">
        <is>
          <t>임대료 비중</t>
        </is>
      </c>
      <c r="G27" s="36" t="inlineStr">
        <is>
          <t>누적 임대료 비중</t>
        </is>
      </c>
    </row>
    <row r="28">
      <c r="B28" s="37" t="n">
        <v>2027</v>
      </c>
      <c r="C28" s="38">
        <f>SUMIFS('1_RentRoll_예시'!$G$6:$G$17,'1_RentRoll_예시'!$J$6:$J$17,"&gt;="&amp;DATE(B28,1,1),'1_RentRoll_예시'!$J$6:$J$17,"&lt;="&amp;DATE(B28,12,31))</f>
        <v/>
      </c>
      <c r="D28" s="39">
        <f>C28/$C$7</f>
        <v/>
      </c>
      <c r="E28" s="40">
        <f>SUMIFS('1_RentRoll_예시'!$R$6:$R$17,'1_RentRoll_예시'!$J$6:$J$17,"&gt;="&amp;DATE(B28,1,1),'1_RentRoll_예시'!$J$6:$J$17,"&lt;="&amp;DATE(B28,12,31))</f>
        <v/>
      </c>
      <c r="F28" s="39">
        <f>E28/$C$11</f>
        <v/>
      </c>
      <c r="G28" s="39">
        <f>SUM($F$28:F28)</f>
        <v/>
      </c>
    </row>
    <row r="29">
      <c r="B29" s="37" t="n">
        <v>2028</v>
      </c>
      <c r="C29" s="38">
        <f>SUMIFS('1_RentRoll_예시'!$G$6:$G$17,'1_RentRoll_예시'!$J$6:$J$17,"&gt;="&amp;DATE(B29,1,1),'1_RentRoll_예시'!$J$6:$J$17,"&lt;="&amp;DATE(B29,12,31))</f>
        <v/>
      </c>
      <c r="D29" s="39">
        <f>C29/$C$7</f>
        <v/>
      </c>
      <c r="E29" s="40">
        <f>SUMIFS('1_RentRoll_예시'!$R$6:$R$17,'1_RentRoll_예시'!$J$6:$J$17,"&gt;="&amp;DATE(B29,1,1),'1_RentRoll_예시'!$J$6:$J$17,"&lt;="&amp;DATE(B29,12,31))</f>
        <v/>
      </c>
      <c r="F29" s="39">
        <f>E29/$C$11</f>
        <v/>
      </c>
      <c r="G29" s="39">
        <f>SUM($F$28:F29)</f>
        <v/>
      </c>
    </row>
    <row r="30">
      <c r="B30" s="37" t="n">
        <v>2029</v>
      </c>
      <c r="C30" s="38">
        <f>SUMIFS('1_RentRoll_예시'!$G$6:$G$17,'1_RentRoll_예시'!$J$6:$J$17,"&gt;="&amp;DATE(B30,1,1),'1_RentRoll_예시'!$J$6:$J$17,"&lt;="&amp;DATE(B30,12,31))</f>
        <v/>
      </c>
      <c r="D30" s="39">
        <f>C30/$C$7</f>
        <v/>
      </c>
      <c r="E30" s="40">
        <f>SUMIFS('1_RentRoll_예시'!$R$6:$R$17,'1_RentRoll_예시'!$J$6:$J$17,"&gt;="&amp;DATE(B30,1,1),'1_RentRoll_예시'!$J$6:$J$17,"&lt;="&amp;DATE(B30,12,31))</f>
        <v/>
      </c>
      <c r="F30" s="39">
        <f>E30/$C$11</f>
        <v/>
      </c>
      <c r="G30" s="39">
        <f>SUM($F$28:F30)</f>
        <v/>
      </c>
    </row>
    <row r="31">
      <c r="B31" s="37" t="n">
        <v>2030</v>
      </c>
      <c r="C31" s="38">
        <f>SUMIFS('1_RentRoll_예시'!$G$6:$G$17,'1_RentRoll_예시'!$J$6:$J$17,"&gt;="&amp;DATE(B31,1,1),'1_RentRoll_예시'!$J$6:$J$17,"&lt;="&amp;DATE(B31,12,31))</f>
        <v/>
      </c>
      <c r="D31" s="39">
        <f>C31/$C$7</f>
        <v/>
      </c>
      <c r="E31" s="40">
        <f>SUMIFS('1_RentRoll_예시'!$R$6:$R$17,'1_RentRoll_예시'!$J$6:$J$17,"&gt;="&amp;DATE(B31,1,1),'1_RentRoll_예시'!$J$6:$J$17,"&lt;="&amp;DATE(B31,12,31))</f>
        <v/>
      </c>
      <c r="F31" s="39">
        <f>E31/$C$11</f>
        <v/>
      </c>
      <c r="G31" s="39">
        <f>SUM($F$28:F31)</f>
        <v/>
      </c>
    </row>
    <row r="32">
      <c r="B32" s="37" t="n">
        <v>2031</v>
      </c>
      <c r="C32" s="38">
        <f>SUMIFS('1_RentRoll_예시'!$G$6:$G$17,'1_RentRoll_예시'!$J$6:$J$17,"&gt;="&amp;DATE(B32,1,1),'1_RentRoll_예시'!$J$6:$J$17,"&lt;="&amp;DATE(B32,12,31))</f>
        <v/>
      </c>
      <c r="D32" s="39">
        <f>C32/$C$7</f>
        <v/>
      </c>
      <c r="E32" s="40">
        <f>SUMIFS('1_RentRoll_예시'!$R$6:$R$17,'1_RentRoll_예시'!$J$6:$J$17,"&gt;="&amp;DATE(B32,1,1),'1_RentRoll_예시'!$J$6:$J$17,"&lt;="&amp;DATE(B32,12,31))</f>
        <v/>
      </c>
      <c r="F32" s="39">
        <f>E32/$C$11</f>
        <v/>
      </c>
      <c r="G32" s="39">
        <f>SUM($F$28:F32)</f>
        <v/>
      </c>
    </row>
    <row r="33">
      <c r="B33" s="37" t="n">
        <v>2032</v>
      </c>
      <c r="C33" s="38">
        <f>SUMIFS('1_RentRoll_예시'!$G$6:$G$17,'1_RentRoll_예시'!$J$6:$J$17,"&gt;="&amp;DATE(B33,1,1),'1_RentRoll_예시'!$J$6:$J$17,"&lt;="&amp;DATE(B33,12,31))</f>
        <v/>
      </c>
      <c r="D33" s="39">
        <f>C33/$C$7</f>
        <v/>
      </c>
      <c r="E33" s="40">
        <f>SUMIFS('1_RentRoll_예시'!$R$6:$R$17,'1_RentRoll_예시'!$J$6:$J$17,"&gt;="&amp;DATE(B33,1,1),'1_RentRoll_예시'!$J$6:$J$17,"&lt;="&amp;DATE(B33,12,31))</f>
        <v/>
      </c>
      <c r="F33" s="39">
        <f>E33/$C$11</f>
        <v/>
      </c>
      <c r="G33" s="39">
        <f>SUM($F$28:F33)</f>
        <v/>
      </c>
    </row>
    <row r="34">
      <c r="B34" s="37" t="n">
        <v>2033</v>
      </c>
      <c r="C34" s="38">
        <f>SUMIFS('1_RentRoll_예시'!$G$6:$G$17,'1_RentRoll_예시'!$J$6:$J$17,"&gt;="&amp;DATE(B34,1,1),'1_RentRoll_예시'!$J$6:$J$17,"&lt;="&amp;DATE(B34,12,31))</f>
        <v/>
      </c>
      <c r="D34" s="39">
        <f>C34/$C$7</f>
        <v/>
      </c>
      <c r="E34" s="40">
        <f>SUMIFS('1_RentRoll_예시'!$R$6:$R$17,'1_RentRoll_예시'!$J$6:$J$17,"&gt;="&amp;DATE(B34,1,1),'1_RentRoll_예시'!$J$6:$J$17,"&lt;="&amp;DATE(B34,12,31))</f>
        <v/>
      </c>
      <c r="F34" s="39">
        <f>E34/$C$11</f>
        <v/>
      </c>
      <c r="G34" s="39">
        <f>SUM($F$28:F34)</f>
        <v/>
      </c>
    </row>
    <row r="35">
      <c r="B35" s="29" t="inlineStr">
        <is>
          <t>※ 임대료 비중 30% 이상인 연도는 빨간색으로 표시(만기 집중 리스크).</t>
        </is>
      </c>
    </row>
    <row r="37">
      <c r="B37" s="30" t="inlineStr">
        <is>
          <t>④ 보증금 담보 구분</t>
        </is>
      </c>
    </row>
    <row r="38">
      <c r="B38" s="36" t="inlineStr">
        <is>
          <t>담보 구분</t>
        </is>
      </c>
      <c r="C38" s="36" t="inlineStr">
        <is>
          <t>건수</t>
        </is>
      </c>
      <c r="D38" s="36" t="inlineStr">
        <is>
          <t>보증금(원)</t>
        </is>
      </c>
      <c r="E38" s="36" t="inlineStr">
        <is>
          <t>비중</t>
        </is>
      </c>
      <c r="F38" s="36" t="inlineStr">
        <is>
          <t>의미(예시)</t>
        </is>
      </c>
    </row>
    <row r="39">
      <c r="B39" s="37" t="inlineStr">
        <is>
          <t>우선수익권</t>
        </is>
      </c>
      <c r="C39" s="41">
        <f>COUNTIFS('1_RentRoll_예시'!$W$6:$W$17,B39)</f>
        <v/>
      </c>
      <c r="D39" s="40">
        <f>SUMIFS('1_RentRoll_예시'!$M$6:$M$17,'1_RentRoll_예시'!$W$6:$W$17,B39)</f>
        <v/>
      </c>
      <c r="E39" s="39">
        <f>IFERROR(D39/$C$12,0)</f>
        <v/>
      </c>
      <c r="F39" s="5" t="inlineStr">
        <is>
          <t>담보신탁상 임차인이 대주보다 앞선 순위일 수 있음</t>
        </is>
      </c>
    </row>
    <row r="40">
      <c r="B40" s="37" t="inlineStr">
        <is>
          <t>예금질권</t>
        </is>
      </c>
      <c r="C40" s="41">
        <f>COUNTIFS('1_RentRoll_예시'!$W$6:$W$17,B40)</f>
        <v/>
      </c>
      <c r="D40" s="40">
        <f>SUMIFS('1_RentRoll_예시'!$M$6:$M$17,'1_RentRoll_예시'!$W$6:$W$17,B40)</f>
        <v/>
      </c>
      <c r="E40" s="39">
        <f>IFERROR(D40/$C$12,0)</f>
        <v/>
      </c>
      <c r="F40" s="5" t="inlineStr">
        <is>
          <t>임대인 명의 예금계좌에 예치 후 임차인에게 질권 설정</t>
        </is>
      </c>
    </row>
    <row r="41">
      <c r="B41" s="37" t="inlineStr">
        <is>
          <t>보증보험</t>
        </is>
      </c>
      <c r="C41" s="41">
        <f>COUNTIFS('1_RentRoll_예시'!$W$6:$W$17,B41)</f>
        <v/>
      </c>
      <c r="D41" s="40">
        <f>SUMIFS('1_RentRoll_예시'!$M$6:$M$17,'1_RentRoll_예시'!$W$6:$W$17,B41)</f>
        <v/>
      </c>
      <c r="E41" s="39">
        <f>IFERROR(D41/$C$12,0)</f>
        <v/>
      </c>
      <c r="F41" s="5" t="inlineStr">
        <is>
          <t>보증기관이 보증금 반환을 보증</t>
        </is>
      </c>
    </row>
    <row r="42">
      <c r="B42" s="37" t="inlineStr">
        <is>
          <t>없음</t>
        </is>
      </c>
      <c r="C42" s="41">
        <f>COUNTIFS('1_RentRoll_예시'!$W$6:$W$17,B42)</f>
        <v/>
      </c>
      <c r="D42" s="40">
        <f>SUMIFS('1_RentRoll_예시'!$M$6:$M$17,'1_RentRoll_예시'!$W$6:$W$17,B42)</f>
        <v/>
      </c>
      <c r="E42" s="39">
        <f>IFERROR(D42/$C$12,0)</f>
        <v/>
      </c>
      <c r="F42" s="5" t="inlineStr">
        <is>
          <t>별도 담보 없음(일반채권)</t>
        </is>
      </c>
    </row>
  </sheetData>
  <conditionalFormatting sqref="F28:F34">
    <cfRule type="expression" priority="1" dxfId="0">
      <formula>F28&gt;=0.3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22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1" customWidth="1" min="4" max="4"/>
    <col width="9" customWidth="1" min="5" max="5"/>
    <col width="9" customWidth="1" min="6" max="6"/>
    <col width="10" customWidth="1" min="7" max="7"/>
    <col width="10" customWidth="1" min="8" max="8"/>
    <col width="11" customWidth="1" min="9" max="9"/>
    <col width="11" customWidth="1" min="10" max="10"/>
    <col width="9" customWidth="1" min="11" max="11"/>
    <col width="10" customWidth="1" min="12" max="12"/>
    <col width="15" customWidth="1" min="13" max="13"/>
    <col width="10" customWidth="1" min="14" max="14"/>
    <col width="13" customWidth="1" min="15" max="15"/>
    <col width="10" customWidth="1" min="16" max="16"/>
    <col width="13" customWidth="1" min="17" max="17"/>
    <col width="15" customWidth="1" min="18" max="18"/>
    <col width="11" customWidth="1" min="19" max="19"/>
    <col width="8" customWidth="1" min="20" max="20"/>
    <col width="8" customWidth="1" min="21" max="21"/>
    <col width="9" customWidth="1" min="22" max="22"/>
    <col width="11" customWidth="1" min="23" max="23"/>
    <col width="16" customWidth="1" min="24" max="24"/>
  </cols>
  <sheetData>
    <row r="1">
      <c r="A1" s="7" t="inlineStr">
        <is>
          <t>Rent Roll — 실습용 빈 양식</t>
        </is>
      </c>
    </row>
    <row r="3">
      <c r="A3" s="8" t="inlineStr">
        <is>
          <t>기준일</t>
        </is>
      </c>
      <c r="C3" s="9" t="n"/>
      <c r="E3" s="8" t="inlineStr">
        <is>
          <t>임대가능면적(㎡)</t>
        </is>
      </c>
      <c r="G3" s="10" t="n"/>
      <c r="I3" s="11" t="inlineStr">
        <is>
          <t>노란 칸에 계약서 기준으로 입력 / 연두 칸은 수식 / 기준일·임대가능면적(G3)을 먼저 입력</t>
        </is>
      </c>
    </row>
    <row r="5" ht="36" customHeight="1">
      <c r="A5" s="12" t="inlineStr">
        <is>
          <t>No</t>
        </is>
      </c>
      <c r="B5" s="12" t="inlineStr">
        <is>
          <t>층</t>
        </is>
      </c>
      <c r="C5" s="12" t="inlineStr">
        <is>
          <t>구획</t>
        </is>
      </c>
      <c r="D5" s="12" t="inlineStr">
        <is>
          <t>임차인</t>
        </is>
      </c>
      <c r="E5" s="12" t="inlineStr">
        <is>
          <t>업종</t>
        </is>
      </c>
      <c r="F5" s="12" t="inlineStr">
        <is>
          <t>용도</t>
        </is>
      </c>
      <c r="G5" s="12" t="inlineStr">
        <is>
          <t>임대면적
(㎡)</t>
        </is>
      </c>
      <c r="H5" s="12" t="inlineStr">
        <is>
          <t>임대면적
(평)</t>
        </is>
      </c>
      <c r="I5" s="12" t="inlineStr">
        <is>
          <t>계약 개시일</t>
        </is>
      </c>
      <c r="J5" s="12" t="inlineStr">
        <is>
          <t>계약 만기일</t>
        </is>
      </c>
      <c r="K5" s="12" t="inlineStr">
        <is>
          <t>잔여기간
(년)</t>
        </is>
      </c>
      <c r="L5" s="12" t="inlineStr">
        <is>
          <t>보증금
(원/평)</t>
        </is>
      </c>
      <c r="M5" s="12" t="inlineStr">
        <is>
          <t>보증금 총액
(원)</t>
        </is>
      </c>
      <c r="N5" s="12" t="inlineStr">
        <is>
          <t>월 임대료
(원/평)</t>
        </is>
      </c>
      <c r="O5" s="12" t="inlineStr">
        <is>
          <t>월 임대료
(원)</t>
        </is>
      </c>
      <c r="P5" s="12" t="inlineStr">
        <is>
          <t>월 관리비
(원/평)</t>
        </is>
      </c>
      <c r="Q5" s="12" t="inlineStr">
        <is>
          <t>월 관리비
(원)</t>
        </is>
      </c>
      <c r="R5" s="12" t="inlineStr">
        <is>
          <t>연 임대료
(원)</t>
        </is>
      </c>
      <c r="S5" s="12" t="inlineStr">
        <is>
          <t>보증금 배수
(월 임대료 대비)</t>
        </is>
      </c>
      <c r="T5" s="12" t="inlineStr">
        <is>
          <t>인상률
(연)</t>
        </is>
      </c>
      <c r="U5" s="12" t="inlineStr">
        <is>
          <t>인상주기
(개월)</t>
        </is>
      </c>
      <c r="V5" s="12" t="inlineStr">
        <is>
          <t>Rent-Free
잔여(개월)</t>
        </is>
      </c>
      <c r="W5" s="12" t="inlineStr">
        <is>
          <t>보증금 담보</t>
        </is>
      </c>
      <c r="X5" s="12" t="inlineStr">
        <is>
          <t>비고</t>
        </is>
      </c>
    </row>
    <row r="6" ht="18" customHeight="1">
      <c r="A6" s="42" t="n">
        <v>1</v>
      </c>
      <c r="B6" s="42" t="n"/>
      <c r="C6" s="42" t="n"/>
      <c r="D6" s="42" t="n"/>
      <c r="E6" s="42" t="n"/>
      <c r="F6" s="42" t="n"/>
      <c r="G6" s="43" t="n"/>
      <c r="H6" s="15">
        <f>IF(G6="","",ROUND(G6*0.3025,2))</f>
        <v/>
      </c>
      <c r="I6" s="44" t="n"/>
      <c r="J6" s="44" t="n"/>
      <c r="K6" s="17">
        <f>IF(J6="","",MAX(0,ROUND((J6-$C$3)/365,2)))</f>
        <v/>
      </c>
      <c r="L6" s="45" t="n"/>
      <c r="M6" s="19">
        <f>IF(H6="","",H6*L6)</f>
        <v/>
      </c>
      <c r="N6" s="45" t="n"/>
      <c r="O6" s="19">
        <f>IF(H6="","",H6*N6)</f>
        <v/>
      </c>
      <c r="P6" s="45" t="n"/>
      <c r="Q6" s="19">
        <f>IF(H6="","",H6*P6)</f>
        <v/>
      </c>
      <c r="R6" s="19">
        <f>IF(O6="","",O6*12)</f>
        <v/>
      </c>
      <c r="S6" s="20">
        <f>IF(OR(O6="",O6=0),"",ROUND(M6/O6,1))</f>
        <v/>
      </c>
      <c r="T6" s="46" t="n"/>
      <c r="U6" s="42" t="n"/>
      <c r="V6" s="42" t="n"/>
      <c r="W6" s="42" t="n"/>
      <c r="X6" s="47" t="n"/>
    </row>
    <row r="7" ht="18" customHeight="1">
      <c r="A7" s="42" t="n">
        <v>2</v>
      </c>
      <c r="B7" s="42" t="n"/>
      <c r="C7" s="42" t="n"/>
      <c r="D7" s="42" t="n"/>
      <c r="E7" s="42" t="n"/>
      <c r="F7" s="42" t="n"/>
      <c r="G7" s="43" t="n"/>
      <c r="H7" s="15">
        <f>IF(G7="","",ROUND(G7*0.3025,2))</f>
        <v/>
      </c>
      <c r="I7" s="44" t="n"/>
      <c r="J7" s="44" t="n"/>
      <c r="K7" s="17">
        <f>IF(J7="","",MAX(0,ROUND((J7-$C$3)/365,2)))</f>
        <v/>
      </c>
      <c r="L7" s="45" t="n"/>
      <c r="M7" s="19">
        <f>IF(H7="","",H7*L7)</f>
        <v/>
      </c>
      <c r="N7" s="45" t="n"/>
      <c r="O7" s="19">
        <f>IF(H7="","",H7*N7)</f>
        <v/>
      </c>
      <c r="P7" s="45" t="n"/>
      <c r="Q7" s="19">
        <f>IF(H7="","",H7*P7)</f>
        <v/>
      </c>
      <c r="R7" s="19">
        <f>IF(O7="","",O7*12)</f>
        <v/>
      </c>
      <c r="S7" s="20">
        <f>IF(OR(O7="",O7=0),"",ROUND(M7/O7,1))</f>
        <v/>
      </c>
      <c r="T7" s="46" t="n"/>
      <c r="U7" s="42" t="n"/>
      <c r="V7" s="42" t="n"/>
      <c r="W7" s="42" t="n"/>
      <c r="X7" s="47" t="n"/>
    </row>
    <row r="8" ht="18" customHeight="1">
      <c r="A8" s="42" t="n">
        <v>3</v>
      </c>
      <c r="B8" s="42" t="n"/>
      <c r="C8" s="42" t="n"/>
      <c r="D8" s="42" t="n"/>
      <c r="E8" s="42" t="n"/>
      <c r="F8" s="42" t="n"/>
      <c r="G8" s="43" t="n"/>
      <c r="H8" s="15">
        <f>IF(G8="","",ROUND(G8*0.3025,2))</f>
        <v/>
      </c>
      <c r="I8" s="44" t="n"/>
      <c r="J8" s="44" t="n"/>
      <c r="K8" s="17">
        <f>IF(J8="","",MAX(0,ROUND((J8-$C$3)/365,2)))</f>
        <v/>
      </c>
      <c r="L8" s="45" t="n"/>
      <c r="M8" s="19">
        <f>IF(H8="","",H8*L8)</f>
        <v/>
      </c>
      <c r="N8" s="45" t="n"/>
      <c r="O8" s="19">
        <f>IF(H8="","",H8*N8)</f>
        <v/>
      </c>
      <c r="P8" s="45" t="n"/>
      <c r="Q8" s="19">
        <f>IF(H8="","",H8*P8)</f>
        <v/>
      </c>
      <c r="R8" s="19">
        <f>IF(O8="","",O8*12)</f>
        <v/>
      </c>
      <c r="S8" s="20">
        <f>IF(OR(O8="",O8=0),"",ROUND(M8/O8,1))</f>
        <v/>
      </c>
      <c r="T8" s="46" t="n"/>
      <c r="U8" s="42" t="n"/>
      <c r="V8" s="42" t="n"/>
      <c r="W8" s="42" t="n"/>
      <c r="X8" s="47" t="n"/>
    </row>
    <row r="9" ht="18" customHeight="1">
      <c r="A9" s="42" t="n">
        <v>4</v>
      </c>
      <c r="B9" s="42" t="n"/>
      <c r="C9" s="42" t="n"/>
      <c r="D9" s="42" t="n"/>
      <c r="E9" s="42" t="n"/>
      <c r="F9" s="42" t="n"/>
      <c r="G9" s="43" t="n"/>
      <c r="H9" s="15">
        <f>IF(G9="","",ROUND(G9*0.3025,2))</f>
        <v/>
      </c>
      <c r="I9" s="44" t="n"/>
      <c r="J9" s="44" t="n"/>
      <c r="K9" s="17">
        <f>IF(J9="","",MAX(0,ROUND((J9-$C$3)/365,2)))</f>
        <v/>
      </c>
      <c r="L9" s="45" t="n"/>
      <c r="M9" s="19">
        <f>IF(H9="","",H9*L9)</f>
        <v/>
      </c>
      <c r="N9" s="45" t="n"/>
      <c r="O9" s="19">
        <f>IF(H9="","",H9*N9)</f>
        <v/>
      </c>
      <c r="P9" s="45" t="n"/>
      <c r="Q9" s="19">
        <f>IF(H9="","",H9*P9)</f>
        <v/>
      </c>
      <c r="R9" s="19">
        <f>IF(O9="","",O9*12)</f>
        <v/>
      </c>
      <c r="S9" s="20">
        <f>IF(OR(O9="",O9=0),"",ROUND(M9/O9,1))</f>
        <v/>
      </c>
      <c r="T9" s="46" t="n"/>
      <c r="U9" s="42" t="n"/>
      <c r="V9" s="42" t="n"/>
      <c r="W9" s="42" t="n"/>
      <c r="X9" s="47" t="n"/>
    </row>
    <row r="10" ht="18" customHeight="1">
      <c r="A10" s="42" t="n">
        <v>5</v>
      </c>
      <c r="B10" s="42" t="n"/>
      <c r="C10" s="42" t="n"/>
      <c r="D10" s="42" t="n"/>
      <c r="E10" s="42" t="n"/>
      <c r="F10" s="42" t="n"/>
      <c r="G10" s="43" t="n"/>
      <c r="H10" s="15">
        <f>IF(G10="","",ROUND(G10*0.3025,2))</f>
        <v/>
      </c>
      <c r="I10" s="44" t="n"/>
      <c r="J10" s="44" t="n"/>
      <c r="K10" s="17">
        <f>IF(J10="","",MAX(0,ROUND((J10-$C$3)/365,2)))</f>
        <v/>
      </c>
      <c r="L10" s="45" t="n"/>
      <c r="M10" s="19">
        <f>IF(H10="","",H10*L10)</f>
        <v/>
      </c>
      <c r="N10" s="45" t="n"/>
      <c r="O10" s="19">
        <f>IF(H10="","",H10*N10)</f>
        <v/>
      </c>
      <c r="P10" s="45" t="n"/>
      <c r="Q10" s="19">
        <f>IF(H10="","",H10*P10)</f>
        <v/>
      </c>
      <c r="R10" s="19">
        <f>IF(O10="","",O10*12)</f>
        <v/>
      </c>
      <c r="S10" s="20">
        <f>IF(OR(O10="",O10=0),"",ROUND(M10/O10,1))</f>
        <v/>
      </c>
      <c r="T10" s="46" t="n"/>
      <c r="U10" s="42" t="n"/>
      <c r="V10" s="42" t="n"/>
      <c r="W10" s="42" t="n"/>
      <c r="X10" s="47" t="n"/>
    </row>
    <row r="11" ht="18" customHeight="1">
      <c r="A11" s="42" t="n">
        <v>6</v>
      </c>
      <c r="B11" s="42" t="n"/>
      <c r="C11" s="42" t="n"/>
      <c r="D11" s="42" t="n"/>
      <c r="E11" s="42" t="n"/>
      <c r="F11" s="42" t="n"/>
      <c r="G11" s="43" t="n"/>
      <c r="H11" s="15">
        <f>IF(G11="","",ROUND(G11*0.3025,2))</f>
        <v/>
      </c>
      <c r="I11" s="44" t="n"/>
      <c r="J11" s="44" t="n"/>
      <c r="K11" s="17">
        <f>IF(J11="","",MAX(0,ROUND((J11-$C$3)/365,2)))</f>
        <v/>
      </c>
      <c r="L11" s="45" t="n"/>
      <c r="M11" s="19">
        <f>IF(H11="","",H11*L11)</f>
        <v/>
      </c>
      <c r="N11" s="45" t="n"/>
      <c r="O11" s="19">
        <f>IF(H11="","",H11*N11)</f>
        <v/>
      </c>
      <c r="P11" s="45" t="n"/>
      <c r="Q11" s="19">
        <f>IF(H11="","",H11*P11)</f>
        <v/>
      </c>
      <c r="R11" s="19">
        <f>IF(O11="","",O11*12)</f>
        <v/>
      </c>
      <c r="S11" s="20">
        <f>IF(OR(O11="",O11=0),"",ROUND(M11/O11,1))</f>
        <v/>
      </c>
      <c r="T11" s="46" t="n"/>
      <c r="U11" s="42" t="n"/>
      <c r="V11" s="42" t="n"/>
      <c r="W11" s="42" t="n"/>
      <c r="X11" s="47" t="n"/>
    </row>
    <row r="12" ht="18" customHeight="1">
      <c r="A12" s="42" t="n">
        <v>7</v>
      </c>
      <c r="B12" s="42" t="n"/>
      <c r="C12" s="42" t="n"/>
      <c r="D12" s="42" t="n"/>
      <c r="E12" s="42" t="n"/>
      <c r="F12" s="42" t="n"/>
      <c r="G12" s="43" t="n"/>
      <c r="H12" s="15">
        <f>IF(G12="","",ROUND(G12*0.3025,2))</f>
        <v/>
      </c>
      <c r="I12" s="44" t="n"/>
      <c r="J12" s="44" t="n"/>
      <c r="K12" s="17">
        <f>IF(J12="","",MAX(0,ROUND((J12-$C$3)/365,2)))</f>
        <v/>
      </c>
      <c r="L12" s="45" t="n"/>
      <c r="M12" s="19">
        <f>IF(H12="","",H12*L12)</f>
        <v/>
      </c>
      <c r="N12" s="45" t="n"/>
      <c r="O12" s="19">
        <f>IF(H12="","",H12*N12)</f>
        <v/>
      </c>
      <c r="P12" s="45" t="n"/>
      <c r="Q12" s="19">
        <f>IF(H12="","",H12*P12)</f>
        <v/>
      </c>
      <c r="R12" s="19">
        <f>IF(O12="","",O12*12)</f>
        <v/>
      </c>
      <c r="S12" s="20">
        <f>IF(OR(O12="",O12=0),"",ROUND(M12/O12,1))</f>
        <v/>
      </c>
      <c r="T12" s="46" t="n"/>
      <c r="U12" s="42" t="n"/>
      <c r="V12" s="42" t="n"/>
      <c r="W12" s="42" t="n"/>
      <c r="X12" s="47" t="n"/>
    </row>
    <row r="13" ht="18" customHeight="1">
      <c r="A13" s="42" t="n">
        <v>8</v>
      </c>
      <c r="B13" s="42" t="n"/>
      <c r="C13" s="42" t="n"/>
      <c r="D13" s="42" t="n"/>
      <c r="E13" s="42" t="n"/>
      <c r="F13" s="42" t="n"/>
      <c r="G13" s="43" t="n"/>
      <c r="H13" s="15">
        <f>IF(G13="","",ROUND(G13*0.3025,2))</f>
        <v/>
      </c>
      <c r="I13" s="44" t="n"/>
      <c r="J13" s="44" t="n"/>
      <c r="K13" s="17">
        <f>IF(J13="","",MAX(0,ROUND((J13-$C$3)/365,2)))</f>
        <v/>
      </c>
      <c r="L13" s="45" t="n"/>
      <c r="M13" s="19">
        <f>IF(H13="","",H13*L13)</f>
        <v/>
      </c>
      <c r="N13" s="45" t="n"/>
      <c r="O13" s="19">
        <f>IF(H13="","",H13*N13)</f>
        <v/>
      </c>
      <c r="P13" s="45" t="n"/>
      <c r="Q13" s="19">
        <f>IF(H13="","",H13*P13)</f>
        <v/>
      </c>
      <c r="R13" s="19">
        <f>IF(O13="","",O13*12)</f>
        <v/>
      </c>
      <c r="S13" s="20">
        <f>IF(OR(O13="",O13=0),"",ROUND(M13/O13,1))</f>
        <v/>
      </c>
      <c r="T13" s="46" t="n"/>
      <c r="U13" s="42" t="n"/>
      <c r="V13" s="42" t="n"/>
      <c r="W13" s="42" t="n"/>
      <c r="X13" s="47" t="n"/>
    </row>
    <row r="14" ht="18" customHeight="1">
      <c r="A14" s="42" t="n">
        <v>9</v>
      </c>
      <c r="B14" s="42" t="n"/>
      <c r="C14" s="42" t="n"/>
      <c r="D14" s="42" t="n"/>
      <c r="E14" s="42" t="n"/>
      <c r="F14" s="42" t="n"/>
      <c r="G14" s="43" t="n"/>
      <c r="H14" s="15">
        <f>IF(G14="","",ROUND(G14*0.3025,2))</f>
        <v/>
      </c>
      <c r="I14" s="44" t="n"/>
      <c r="J14" s="44" t="n"/>
      <c r="K14" s="17">
        <f>IF(J14="","",MAX(0,ROUND((J14-$C$3)/365,2)))</f>
        <v/>
      </c>
      <c r="L14" s="45" t="n"/>
      <c r="M14" s="19">
        <f>IF(H14="","",H14*L14)</f>
        <v/>
      </c>
      <c r="N14" s="45" t="n"/>
      <c r="O14" s="19">
        <f>IF(H14="","",H14*N14)</f>
        <v/>
      </c>
      <c r="P14" s="45" t="n"/>
      <c r="Q14" s="19">
        <f>IF(H14="","",H14*P14)</f>
        <v/>
      </c>
      <c r="R14" s="19">
        <f>IF(O14="","",O14*12)</f>
        <v/>
      </c>
      <c r="S14" s="20">
        <f>IF(OR(O14="",O14=0),"",ROUND(M14/O14,1))</f>
        <v/>
      </c>
      <c r="T14" s="46" t="n"/>
      <c r="U14" s="42" t="n"/>
      <c r="V14" s="42" t="n"/>
      <c r="W14" s="42" t="n"/>
      <c r="X14" s="47" t="n"/>
    </row>
    <row r="15" ht="18" customHeight="1">
      <c r="A15" s="42" t="n">
        <v>10</v>
      </c>
      <c r="B15" s="42" t="n"/>
      <c r="C15" s="42" t="n"/>
      <c r="D15" s="42" t="n"/>
      <c r="E15" s="42" t="n"/>
      <c r="F15" s="42" t="n"/>
      <c r="G15" s="43" t="n"/>
      <c r="H15" s="15">
        <f>IF(G15="","",ROUND(G15*0.3025,2))</f>
        <v/>
      </c>
      <c r="I15" s="44" t="n"/>
      <c r="J15" s="44" t="n"/>
      <c r="K15" s="17">
        <f>IF(J15="","",MAX(0,ROUND((J15-$C$3)/365,2)))</f>
        <v/>
      </c>
      <c r="L15" s="45" t="n"/>
      <c r="M15" s="19">
        <f>IF(H15="","",H15*L15)</f>
        <v/>
      </c>
      <c r="N15" s="45" t="n"/>
      <c r="O15" s="19">
        <f>IF(H15="","",H15*N15)</f>
        <v/>
      </c>
      <c r="P15" s="45" t="n"/>
      <c r="Q15" s="19">
        <f>IF(H15="","",H15*P15)</f>
        <v/>
      </c>
      <c r="R15" s="19">
        <f>IF(O15="","",O15*12)</f>
        <v/>
      </c>
      <c r="S15" s="20">
        <f>IF(OR(O15="",O15=0),"",ROUND(M15/O15,1))</f>
        <v/>
      </c>
      <c r="T15" s="46" t="n"/>
      <c r="U15" s="42" t="n"/>
      <c r="V15" s="42" t="n"/>
      <c r="W15" s="42" t="n"/>
      <c r="X15" s="47" t="n"/>
    </row>
    <row r="16" ht="18" customHeight="1">
      <c r="A16" s="42" t="n">
        <v>11</v>
      </c>
      <c r="B16" s="42" t="n"/>
      <c r="C16" s="42" t="n"/>
      <c r="D16" s="42" t="n"/>
      <c r="E16" s="42" t="n"/>
      <c r="F16" s="42" t="n"/>
      <c r="G16" s="43" t="n"/>
      <c r="H16" s="15">
        <f>IF(G16="","",ROUND(G16*0.3025,2))</f>
        <v/>
      </c>
      <c r="I16" s="44" t="n"/>
      <c r="J16" s="44" t="n"/>
      <c r="K16" s="17">
        <f>IF(J16="","",MAX(0,ROUND((J16-$C$3)/365,2)))</f>
        <v/>
      </c>
      <c r="L16" s="45" t="n"/>
      <c r="M16" s="19">
        <f>IF(H16="","",H16*L16)</f>
        <v/>
      </c>
      <c r="N16" s="45" t="n"/>
      <c r="O16" s="19">
        <f>IF(H16="","",H16*N16)</f>
        <v/>
      </c>
      <c r="P16" s="45" t="n"/>
      <c r="Q16" s="19">
        <f>IF(H16="","",H16*P16)</f>
        <v/>
      </c>
      <c r="R16" s="19">
        <f>IF(O16="","",O16*12)</f>
        <v/>
      </c>
      <c r="S16" s="20">
        <f>IF(OR(O16="",O16=0),"",ROUND(M16/O16,1))</f>
        <v/>
      </c>
      <c r="T16" s="46" t="n"/>
      <c r="U16" s="42" t="n"/>
      <c r="V16" s="42" t="n"/>
      <c r="W16" s="42" t="n"/>
      <c r="X16" s="47" t="n"/>
    </row>
    <row r="17" ht="18" customHeight="1">
      <c r="A17" s="42" t="n">
        <v>12</v>
      </c>
      <c r="B17" s="42" t="n"/>
      <c r="C17" s="42" t="n"/>
      <c r="D17" s="42" t="n"/>
      <c r="E17" s="42" t="n"/>
      <c r="F17" s="42" t="n"/>
      <c r="G17" s="43" t="n"/>
      <c r="H17" s="15">
        <f>IF(G17="","",ROUND(G17*0.3025,2))</f>
        <v/>
      </c>
      <c r="I17" s="44" t="n"/>
      <c r="J17" s="44" t="n"/>
      <c r="K17" s="17">
        <f>IF(J17="","",MAX(0,ROUND((J17-$C$3)/365,2)))</f>
        <v/>
      </c>
      <c r="L17" s="45" t="n"/>
      <c r="M17" s="19">
        <f>IF(H17="","",H17*L17)</f>
        <v/>
      </c>
      <c r="N17" s="45" t="n"/>
      <c r="O17" s="19">
        <f>IF(H17="","",H17*N17)</f>
        <v/>
      </c>
      <c r="P17" s="45" t="n"/>
      <c r="Q17" s="19">
        <f>IF(H17="","",H17*P17)</f>
        <v/>
      </c>
      <c r="R17" s="19">
        <f>IF(O17="","",O17*12)</f>
        <v/>
      </c>
      <c r="S17" s="20">
        <f>IF(OR(O17="",O17=0),"",ROUND(M17/O17,1))</f>
        <v/>
      </c>
      <c r="T17" s="46" t="n"/>
      <c r="U17" s="42" t="n"/>
      <c r="V17" s="42" t="n"/>
      <c r="W17" s="42" t="n"/>
      <c r="X17" s="47" t="n"/>
    </row>
    <row r="18" ht="18" customHeight="1">
      <c r="A18" s="42" t="n">
        <v>13</v>
      </c>
      <c r="B18" s="42" t="n"/>
      <c r="C18" s="42" t="n"/>
      <c r="D18" s="42" t="n"/>
      <c r="E18" s="42" t="n"/>
      <c r="F18" s="42" t="n"/>
      <c r="G18" s="43" t="n"/>
      <c r="H18" s="15">
        <f>IF(G18="","",ROUND(G18*0.3025,2))</f>
        <v/>
      </c>
      <c r="I18" s="44" t="n"/>
      <c r="J18" s="44" t="n"/>
      <c r="K18" s="17">
        <f>IF(J18="","",MAX(0,ROUND((J18-$C$3)/365,2)))</f>
        <v/>
      </c>
      <c r="L18" s="45" t="n"/>
      <c r="M18" s="19">
        <f>IF(H18="","",H18*L18)</f>
        <v/>
      </c>
      <c r="N18" s="45" t="n"/>
      <c r="O18" s="19">
        <f>IF(H18="","",H18*N18)</f>
        <v/>
      </c>
      <c r="P18" s="45" t="n"/>
      <c r="Q18" s="19">
        <f>IF(H18="","",H18*P18)</f>
        <v/>
      </c>
      <c r="R18" s="19">
        <f>IF(O18="","",O18*12)</f>
        <v/>
      </c>
      <c r="S18" s="20">
        <f>IF(OR(O18="",O18=0),"",ROUND(M18/O18,1))</f>
        <v/>
      </c>
      <c r="T18" s="46" t="n"/>
      <c r="U18" s="42" t="n"/>
      <c r="V18" s="42" t="n"/>
      <c r="W18" s="42" t="n"/>
      <c r="X18" s="47" t="n"/>
    </row>
    <row r="19" ht="18" customHeight="1">
      <c r="A19" s="42" t="n">
        <v>14</v>
      </c>
      <c r="B19" s="42" t="n"/>
      <c r="C19" s="42" t="n"/>
      <c r="D19" s="42" t="n"/>
      <c r="E19" s="42" t="n"/>
      <c r="F19" s="42" t="n"/>
      <c r="G19" s="43" t="n"/>
      <c r="H19" s="15">
        <f>IF(G19="","",ROUND(G19*0.3025,2))</f>
        <v/>
      </c>
      <c r="I19" s="44" t="n"/>
      <c r="J19" s="44" t="n"/>
      <c r="K19" s="17">
        <f>IF(J19="","",MAX(0,ROUND((J19-$C$3)/365,2)))</f>
        <v/>
      </c>
      <c r="L19" s="45" t="n"/>
      <c r="M19" s="19">
        <f>IF(H19="","",H19*L19)</f>
        <v/>
      </c>
      <c r="N19" s="45" t="n"/>
      <c r="O19" s="19">
        <f>IF(H19="","",H19*N19)</f>
        <v/>
      </c>
      <c r="P19" s="45" t="n"/>
      <c r="Q19" s="19">
        <f>IF(H19="","",H19*P19)</f>
        <v/>
      </c>
      <c r="R19" s="19">
        <f>IF(O19="","",O19*12)</f>
        <v/>
      </c>
      <c r="S19" s="20">
        <f>IF(OR(O19="",O19=0),"",ROUND(M19/O19,1))</f>
        <v/>
      </c>
      <c r="T19" s="46" t="n"/>
      <c r="U19" s="42" t="n"/>
      <c r="V19" s="42" t="n"/>
      <c r="W19" s="42" t="n"/>
      <c r="X19" s="47" t="n"/>
    </row>
    <row r="20" ht="18" customHeight="1">
      <c r="A20" s="42" t="n">
        <v>15</v>
      </c>
      <c r="B20" s="42" t="n"/>
      <c r="C20" s="42" t="n"/>
      <c r="D20" s="42" t="n"/>
      <c r="E20" s="42" t="n"/>
      <c r="F20" s="42" t="n"/>
      <c r="G20" s="43" t="n"/>
      <c r="H20" s="15">
        <f>IF(G20="","",ROUND(G20*0.3025,2))</f>
        <v/>
      </c>
      <c r="I20" s="44" t="n"/>
      <c r="J20" s="44" t="n"/>
      <c r="K20" s="17">
        <f>IF(J20="","",MAX(0,ROUND((J20-$C$3)/365,2)))</f>
        <v/>
      </c>
      <c r="L20" s="45" t="n"/>
      <c r="M20" s="19">
        <f>IF(H20="","",H20*L20)</f>
        <v/>
      </c>
      <c r="N20" s="45" t="n"/>
      <c r="O20" s="19">
        <f>IF(H20="","",H20*N20)</f>
        <v/>
      </c>
      <c r="P20" s="45" t="n"/>
      <c r="Q20" s="19">
        <f>IF(H20="","",H20*P20)</f>
        <v/>
      </c>
      <c r="R20" s="19">
        <f>IF(O20="","",O20*12)</f>
        <v/>
      </c>
      <c r="S20" s="20">
        <f>IF(OR(O20="",O20=0),"",ROUND(M20/O20,1))</f>
        <v/>
      </c>
      <c r="T20" s="46" t="n"/>
      <c r="U20" s="42" t="n"/>
      <c r="V20" s="42" t="n"/>
      <c r="W20" s="42" t="n"/>
      <c r="X20" s="47" t="n"/>
    </row>
    <row r="21">
      <c r="A21" s="23" t="inlineStr">
        <is>
          <t>합계 / 가중평균</t>
        </is>
      </c>
      <c r="B21" s="23" t="n"/>
      <c r="C21" s="23" t="n"/>
      <c r="D21" s="23" t="n"/>
      <c r="E21" s="23" t="n"/>
      <c r="F21" s="23" t="n"/>
      <c r="G21" s="24">
        <f>SUM(G6:G20)</f>
        <v/>
      </c>
      <c r="H21" s="24">
        <f>SUM(H6:H20)</f>
        <v/>
      </c>
      <c r="I21" s="25" t="n"/>
      <c r="J21" s="25" t="n"/>
      <c r="K21" s="26">
        <f>IFERROR(SUMPRODUCT(N(+K6:K20),N(+R6:R20))/SUM(R6:R20),"")</f>
        <v/>
      </c>
      <c r="L21" s="27" t="n"/>
      <c r="M21" s="27">
        <f>SUM(M6:M20)</f>
        <v/>
      </c>
      <c r="N21" s="27" t="n"/>
      <c r="O21" s="27">
        <f>SUM(O6:O20)</f>
        <v/>
      </c>
      <c r="P21" s="27" t="n"/>
      <c r="Q21" s="27">
        <f>SUM(Q6:Q20)</f>
        <v/>
      </c>
      <c r="R21" s="27">
        <f>SUM(R6:R20)</f>
        <v/>
      </c>
      <c r="S21" s="28">
        <f>IFERROR(ROUND(M21/O21,1),"")</f>
        <v/>
      </c>
      <c r="T21" s="25" t="n"/>
      <c r="U21" s="25" t="n"/>
      <c r="V21" s="25" t="n"/>
      <c r="W21" s="25" t="n"/>
      <c r="X21" s="25" t="n"/>
    </row>
    <row r="22">
      <c r="A22" s="29" t="inlineStr">
        <is>
          <t>※ 합계 행의 잔여기간 = 연 임대료 가중 WALE(년). 공실 행은 임대료가 0이라 가중치에서 빠진다.</t>
        </is>
      </c>
    </row>
  </sheetData>
  <mergeCells count="3">
    <mergeCell ref="A21:F21"/>
    <mergeCell ref="A3:B3"/>
    <mergeCell ref="E3:F3"/>
  </mergeCells>
  <dataValidations count="2">
    <dataValidation sqref="W6:W20" showDropDown="0" showInputMessage="0" showErrorMessage="0" allowBlank="1" type="list">
      <formula1>"우선수익권,예금질권,보증보험,없음"</formula1>
    </dataValidation>
    <dataValidation sqref="F6:F20" showDropDown="0" showInputMessage="0" showErrorMessage="0" allowBlank="1" type="list">
      <formula1>"상온창고,저온창고,근생,사무,기타"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C21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7" customWidth="1" min="3" max="3"/>
    <col width="11" customWidth="1" min="4" max="4"/>
    <col width="9" customWidth="1" min="5" max="5"/>
    <col width="9" customWidth="1" min="6" max="6"/>
    <col width="10" customWidth="1" min="7" max="7"/>
    <col width="10" customWidth="1" min="8" max="8"/>
    <col width="11" customWidth="1" min="9" max="9"/>
    <col width="11" customWidth="1" min="10" max="10"/>
    <col width="9" customWidth="1" min="11" max="11"/>
    <col width="10" customWidth="1" min="12" max="12"/>
    <col width="15" customWidth="1" min="13" max="13"/>
    <col width="10" customWidth="1" min="14" max="14"/>
    <col width="13" customWidth="1" min="15" max="15"/>
    <col width="10" customWidth="1" min="16" max="16"/>
    <col width="13" customWidth="1" min="17" max="17"/>
    <col width="15" customWidth="1" min="18" max="18"/>
    <col width="11" customWidth="1" min="19" max="19"/>
    <col width="8" customWidth="1" min="20" max="20"/>
    <col width="8" customWidth="1" min="21" max="21"/>
    <col width="9" customWidth="1" min="22" max="22"/>
    <col width="11" customWidth="1" min="23" max="23"/>
    <col width="16" customWidth="1" min="24" max="24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7" t="inlineStr">
        <is>
          <t>Rent Roll — 오류 찾기 실습 (오류 4건 포함)</t>
        </is>
      </c>
    </row>
    <row r="3">
      <c r="A3" s="8" t="inlineStr">
        <is>
          <t>기준일</t>
        </is>
      </c>
      <c r="C3" s="9" t="n">
        <v>46387</v>
      </c>
      <c r="E3" s="8" t="inlineStr">
        <is>
          <t>임대가능면적(㎡)</t>
        </is>
      </c>
      <c r="G3" s="10" t="n">
        <v>28000</v>
      </c>
      <c r="I3" s="11" t="inlineStr">
        <is>
          <t>오른쪽 '검증' 열에 직접 검증식을 넣어 오류를 찾아보세요. 예) 만기&lt;개시, 평균 대비 ±50%, 보증금 배수, 면적 합계</t>
        </is>
      </c>
    </row>
    <row r="5" ht="36" customHeight="1">
      <c r="A5" s="12" t="inlineStr">
        <is>
          <t>No</t>
        </is>
      </c>
      <c r="B5" s="12" t="inlineStr">
        <is>
          <t>층</t>
        </is>
      </c>
      <c r="C5" s="12" t="inlineStr">
        <is>
          <t>구획</t>
        </is>
      </c>
      <c r="D5" s="12" t="inlineStr">
        <is>
          <t>임차인</t>
        </is>
      </c>
      <c r="E5" s="12" t="inlineStr">
        <is>
          <t>업종</t>
        </is>
      </c>
      <c r="F5" s="12" t="inlineStr">
        <is>
          <t>용도</t>
        </is>
      </c>
      <c r="G5" s="12" t="inlineStr">
        <is>
          <t>임대면적
(㎡)</t>
        </is>
      </c>
      <c r="H5" s="12" t="inlineStr">
        <is>
          <t>임대면적
(평)</t>
        </is>
      </c>
      <c r="I5" s="12" t="inlineStr">
        <is>
          <t>계약 개시일</t>
        </is>
      </c>
      <c r="J5" s="12" t="inlineStr">
        <is>
          <t>계약 만기일</t>
        </is>
      </c>
      <c r="K5" s="12" t="inlineStr">
        <is>
          <t>잔여기간
(년)</t>
        </is>
      </c>
      <c r="L5" s="12" t="inlineStr">
        <is>
          <t>보증금
(원/평)</t>
        </is>
      </c>
      <c r="M5" s="12" t="inlineStr">
        <is>
          <t>보증금 총액
(원)</t>
        </is>
      </c>
      <c r="N5" s="12" t="inlineStr">
        <is>
          <t>월 임대료
(원/평)</t>
        </is>
      </c>
      <c r="O5" s="12" t="inlineStr">
        <is>
          <t>월 임대료
(원)</t>
        </is>
      </c>
      <c r="P5" s="12" t="inlineStr">
        <is>
          <t>월 관리비
(원/평)</t>
        </is>
      </c>
      <c r="Q5" s="12" t="inlineStr">
        <is>
          <t>월 관리비
(원)</t>
        </is>
      </c>
      <c r="R5" s="12" t="inlineStr">
        <is>
          <t>연 임대료
(원)</t>
        </is>
      </c>
      <c r="S5" s="12" t="inlineStr">
        <is>
          <t>보증금 배수
(월 임대료 대비)</t>
        </is>
      </c>
      <c r="T5" s="12" t="inlineStr">
        <is>
          <t>인상률
(연)</t>
        </is>
      </c>
      <c r="U5" s="12" t="inlineStr">
        <is>
          <t>인상주기
(개월)</t>
        </is>
      </c>
      <c r="V5" s="12" t="inlineStr">
        <is>
          <t>Rent-Free
잔여(개월)</t>
        </is>
      </c>
      <c r="W5" s="12" t="inlineStr">
        <is>
          <t>보증금 담보</t>
        </is>
      </c>
      <c r="X5" s="12" t="inlineStr">
        <is>
          <t>비고</t>
        </is>
      </c>
      <c r="Z5" s="48" t="inlineStr">
        <is>
          <t>검증①
만기&lt;개시</t>
        </is>
      </c>
      <c r="AA5" s="48" t="inlineStr">
        <is>
          <t>검증②
임대료 이상</t>
        </is>
      </c>
      <c r="AB5" s="48" t="inlineStr">
        <is>
          <t>검증③
보증금 배수</t>
        </is>
      </c>
      <c r="AC5" s="48" t="inlineStr">
        <is>
          <t>검증④
구획 중복</t>
        </is>
      </c>
    </row>
    <row r="6" ht="18" customHeight="1">
      <c r="A6" s="13" t="n">
        <v>1</v>
      </c>
      <c r="B6" s="13" t="inlineStr">
        <is>
          <t>B1</t>
        </is>
      </c>
      <c r="C6" s="13" t="inlineStr">
        <is>
          <t>A</t>
        </is>
      </c>
      <c r="D6" s="13" t="inlineStr">
        <is>
          <t>임차인 A</t>
        </is>
      </c>
      <c r="E6" s="13" t="inlineStr">
        <is>
          <t>3PL</t>
        </is>
      </c>
      <c r="F6" s="13" t="inlineStr">
        <is>
          <t>상온창고</t>
        </is>
      </c>
      <c r="G6" s="14" t="n">
        <v>4000</v>
      </c>
      <c r="H6" s="15">
        <f>IF(G6="","",ROUND(G6*0.3025,2))</f>
        <v/>
      </c>
      <c r="I6" s="16" t="n">
        <v>45717</v>
      </c>
      <c r="J6" s="16" t="n">
        <v>48273</v>
      </c>
      <c r="K6" s="17">
        <f>IF(J6="","",MAX(0,ROUND((J6-$C$3)/365,2)))</f>
        <v/>
      </c>
      <c r="L6" s="18" t="n">
        <v>200000</v>
      </c>
      <c r="M6" s="19">
        <f>IF(H6="","",H6*L6)</f>
        <v/>
      </c>
      <c r="N6" s="18" t="n">
        <v>30000</v>
      </c>
      <c r="O6" s="19">
        <f>IF(H6="","",H6*N6)</f>
        <v/>
      </c>
      <c r="P6" s="18" t="n">
        <v>8000</v>
      </c>
      <c r="Q6" s="19">
        <f>IF(H6="","",H6*P6)</f>
        <v/>
      </c>
      <c r="R6" s="19">
        <f>IF(O6="","",O6*12)</f>
        <v/>
      </c>
      <c r="S6" s="20">
        <f>IF(OR(O6="",O6=0),"",ROUND(M6/O6,1))</f>
        <v/>
      </c>
      <c r="T6" s="21" t="n">
        <v>0.025</v>
      </c>
      <c r="U6" s="13" t="n">
        <v>12</v>
      </c>
      <c r="V6" s="13" t="n">
        <v>0</v>
      </c>
      <c r="W6" s="13" t="inlineStr">
        <is>
          <t>우선수익권</t>
        </is>
      </c>
      <c r="X6" s="22" t="inlineStr">
        <is>
          <t>앵커 임차인</t>
        </is>
      </c>
      <c r="Z6" s="49" t="n"/>
      <c r="AA6" s="49" t="n"/>
      <c r="AB6" s="49" t="n"/>
      <c r="AC6" s="49" t="n"/>
    </row>
    <row r="7" ht="18" customHeight="1">
      <c r="A7" s="13" t="n">
        <v>2</v>
      </c>
      <c r="B7" s="13" t="inlineStr">
        <is>
          <t>1F</t>
        </is>
      </c>
      <c r="C7" s="13" t="inlineStr">
        <is>
          <t>A</t>
        </is>
      </c>
      <c r="D7" s="13" t="inlineStr">
        <is>
          <t>임차인 B</t>
        </is>
      </c>
      <c r="E7" s="13" t="inlineStr">
        <is>
          <t>유통</t>
        </is>
      </c>
      <c r="F7" s="13" t="inlineStr">
        <is>
          <t>상온창고</t>
        </is>
      </c>
      <c r="G7" s="14" t="n">
        <v>3500</v>
      </c>
      <c r="H7" s="15">
        <f>IF(G7="","",ROUND(G7*0.3025,2))</f>
        <v/>
      </c>
      <c r="I7" s="16" t="n">
        <v>45474</v>
      </c>
      <c r="J7" s="16" t="n">
        <v>47299</v>
      </c>
      <c r="K7" s="17">
        <f>IF(J7="","",MAX(0,ROUND((J7-$C$3)/365,2)))</f>
        <v/>
      </c>
      <c r="L7" s="18" t="n">
        <v>180000</v>
      </c>
      <c r="M7" s="19">
        <f>IF(H7="","",H7*L7)</f>
        <v/>
      </c>
      <c r="N7" s="18" t="n">
        <v>32000</v>
      </c>
      <c r="O7" s="19">
        <f>IF(H7="","",H7*N7)</f>
        <v/>
      </c>
      <c r="P7" s="18" t="n">
        <v>8000</v>
      </c>
      <c r="Q7" s="19">
        <f>IF(H7="","",H7*P7)</f>
        <v/>
      </c>
      <c r="R7" s="19">
        <f>IF(O7="","",O7*12)</f>
        <v/>
      </c>
      <c r="S7" s="20">
        <f>IF(OR(O7="",O7=0),"",ROUND(M7/O7,1))</f>
        <v/>
      </c>
      <c r="T7" s="21" t="n">
        <v>0.03</v>
      </c>
      <c r="U7" s="13" t="n">
        <v>12</v>
      </c>
      <c r="V7" s="13" t="n">
        <v>0</v>
      </c>
      <c r="W7" s="13" t="inlineStr">
        <is>
          <t>예금질권</t>
        </is>
      </c>
      <c r="X7" s="22" t="n"/>
      <c r="Z7" s="49" t="n"/>
      <c r="AA7" s="49" t="n"/>
      <c r="AB7" s="49" t="n"/>
      <c r="AC7" s="49" t="n"/>
    </row>
    <row r="8" ht="18" customHeight="1">
      <c r="A8" s="13" t="n">
        <v>3</v>
      </c>
      <c r="B8" s="13" t="inlineStr">
        <is>
          <t>1F</t>
        </is>
      </c>
      <c r="C8" s="13" t="inlineStr">
        <is>
          <t>B</t>
        </is>
      </c>
      <c r="D8" s="13" t="inlineStr">
        <is>
          <t>임차인 C</t>
        </is>
      </c>
      <c r="E8" s="13" t="inlineStr">
        <is>
          <t>식품</t>
        </is>
      </c>
      <c r="F8" s="13" t="inlineStr">
        <is>
          <t>저온창고</t>
        </is>
      </c>
      <c r="G8" s="14" t="n">
        <v>1500</v>
      </c>
      <c r="H8" s="15">
        <f>IF(G8="","",ROUND(G8*0.3025,2))</f>
        <v/>
      </c>
      <c r="I8" s="16" t="n">
        <v>46023</v>
      </c>
      <c r="J8" s="16" t="n">
        <v>46022</v>
      </c>
      <c r="K8" s="17">
        <f>IF(J8="","",MAX(0,ROUND((J8-$C$3)/365,2)))</f>
        <v/>
      </c>
      <c r="L8" s="18" t="n">
        <v>250000</v>
      </c>
      <c r="M8" s="19">
        <f>IF(H8="","",H8*L8)</f>
        <v/>
      </c>
      <c r="N8" s="18" t="n">
        <v>45000</v>
      </c>
      <c r="O8" s="19">
        <f>IF(H8="","",H8*N8)</f>
        <v/>
      </c>
      <c r="P8" s="18" t="n">
        <v>12000</v>
      </c>
      <c r="Q8" s="19">
        <f>IF(H8="","",H8*P8)</f>
        <v/>
      </c>
      <c r="R8" s="19">
        <f>IF(O8="","",O8*12)</f>
        <v/>
      </c>
      <c r="S8" s="20">
        <f>IF(OR(O8="",O8=0),"",ROUND(M8/O8,1))</f>
        <v/>
      </c>
      <c r="T8" s="21" t="n">
        <v>0.03</v>
      </c>
      <c r="U8" s="13" t="n">
        <v>12</v>
      </c>
      <c r="V8" s="13" t="n">
        <v>2</v>
      </c>
      <c r="W8" s="13" t="inlineStr">
        <is>
          <t>예금질권</t>
        </is>
      </c>
      <c r="X8" s="22" t="inlineStr">
        <is>
          <t>Rent-Free 잔여</t>
        </is>
      </c>
      <c r="Z8" s="49" t="n"/>
      <c r="AA8" s="49" t="n"/>
      <c r="AB8" s="49" t="n"/>
      <c r="AC8" s="49" t="n"/>
    </row>
    <row r="9" ht="18" customHeight="1">
      <c r="A9" s="13" t="n">
        <v>4</v>
      </c>
      <c r="B9" s="13" t="inlineStr">
        <is>
          <t>1F</t>
        </is>
      </c>
      <c r="C9" s="13" t="inlineStr">
        <is>
          <t>C</t>
        </is>
      </c>
      <c r="D9" s="13" t="inlineStr">
        <is>
          <t>임차인 D</t>
        </is>
      </c>
      <c r="E9" s="13" t="inlineStr">
        <is>
          <t>근린생활</t>
        </is>
      </c>
      <c r="F9" s="13" t="inlineStr">
        <is>
          <t>근생</t>
        </is>
      </c>
      <c r="G9" s="14" t="n">
        <v>200</v>
      </c>
      <c r="H9" s="15">
        <f>IF(G9="","",ROUND(G9*0.3025,2))</f>
        <v/>
      </c>
      <c r="I9" s="16" t="n">
        <v>45778</v>
      </c>
      <c r="J9" s="16" t="n">
        <v>47603</v>
      </c>
      <c r="K9" s="17">
        <f>IF(J9="","",MAX(0,ROUND((J9-$C$3)/365,2)))</f>
        <v/>
      </c>
      <c r="L9" s="18" t="n">
        <v>300000</v>
      </c>
      <c r="M9" s="19">
        <f>IF(H9="","",H9*L9)</f>
        <v/>
      </c>
      <c r="N9" s="18" t="n">
        <v>50000</v>
      </c>
      <c r="O9" s="19">
        <f>IF(H9="","",H9*N9)</f>
        <v/>
      </c>
      <c r="P9" s="18" t="n">
        <v>10000</v>
      </c>
      <c r="Q9" s="19">
        <f>IF(H9="","",H9*P9)</f>
        <v/>
      </c>
      <c r="R9" s="19">
        <f>IF(O9="","",O9*12)</f>
        <v/>
      </c>
      <c r="S9" s="20">
        <f>IF(OR(O9="",O9=0),"",ROUND(M9/O9,1))</f>
        <v/>
      </c>
      <c r="T9" s="21" t="n">
        <v>0.02</v>
      </c>
      <c r="U9" s="13" t="n">
        <v>12</v>
      </c>
      <c r="V9" s="13" t="n">
        <v>0</v>
      </c>
      <c r="W9" s="13" t="inlineStr">
        <is>
          <t>없음</t>
        </is>
      </c>
      <c r="X9" s="22" t="n"/>
      <c r="Z9" s="49" t="n"/>
      <c r="AA9" s="49" t="n"/>
      <c r="AB9" s="49" t="n"/>
      <c r="AC9" s="49" t="n"/>
    </row>
    <row r="10" ht="18" customHeight="1">
      <c r="A10" s="13" t="n">
        <v>5</v>
      </c>
      <c r="B10" s="13" t="inlineStr">
        <is>
          <t>2F</t>
        </is>
      </c>
      <c r="C10" s="13" t="inlineStr">
        <is>
          <t>전체</t>
        </is>
      </c>
      <c r="D10" s="13" t="inlineStr">
        <is>
          <t>임차인 A</t>
        </is>
      </c>
      <c r="E10" s="13" t="inlineStr">
        <is>
          <t>3PL</t>
        </is>
      </c>
      <c r="F10" s="13" t="inlineStr">
        <is>
          <t>상온창고</t>
        </is>
      </c>
      <c r="G10" s="14" t="n">
        <v>5000</v>
      </c>
      <c r="H10" s="15">
        <f>IF(G10="","",ROUND(G10*0.3025,2))</f>
        <v/>
      </c>
      <c r="I10" s="16" t="n">
        <v>45717</v>
      </c>
      <c r="J10" s="16" t="n">
        <v>48273</v>
      </c>
      <c r="K10" s="17">
        <f>IF(J10="","",MAX(0,ROUND((J10-$C$3)/365,2)))</f>
        <v/>
      </c>
      <c r="L10" s="18" t="n">
        <v>200000</v>
      </c>
      <c r="M10" s="19">
        <f>IF(H10="","",H10*L10)</f>
        <v/>
      </c>
      <c r="N10" s="18" t="n">
        <v>30000</v>
      </c>
      <c r="O10" s="19">
        <f>IF(H10="","",H10*N10)</f>
        <v/>
      </c>
      <c r="P10" s="18" t="n">
        <v>8000</v>
      </c>
      <c r="Q10" s="19">
        <f>IF(H10="","",H10*P10)</f>
        <v/>
      </c>
      <c r="R10" s="19">
        <f>IF(O10="","",O10*12)</f>
        <v/>
      </c>
      <c r="S10" s="20">
        <f>IF(OR(O10="",O10=0),"",ROUND(M10/O10,1))</f>
        <v/>
      </c>
      <c r="T10" s="21" t="n">
        <v>0.025</v>
      </c>
      <c r="U10" s="13" t="n">
        <v>12</v>
      </c>
      <c r="V10" s="13" t="n">
        <v>0</v>
      </c>
      <c r="W10" s="13" t="inlineStr">
        <is>
          <t>우선수익권</t>
        </is>
      </c>
      <c r="X10" s="22" t="inlineStr">
        <is>
          <t>앵커 임차인</t>
        </is>
      </c>
      <c r="Z10" s="49" t="n"/>
      <c r="AA10" s="49" t="n"/>
      <c r="AB10" s="49" t="n"/>
      <c r="AC10" s="49" t="n"/>
    </row>
    <row r="11" ht="18" customHeight="1">
      <c r="A11" s="13" t="n">
        <v>6</v>
      </c>
      <c r="B11" s="13" t="inlineStr">
        <is>
          <t>3F</t>
        </is>
      </c>
      <c r="C11" s="13" t="inlineStr">
        <is>
          <t>A</t>
        </is>
      </c>
      <c r="D11" s="13" t="inlineStr">
        <is>
          <t>임차인 E</t>
        </is>
      </c>
      <c r="E11" s="13" t="inlineStr">
        <is>
          <t>이커머스</t>
        </is>
      </c>
      <c r="F11" s="13" t="inlineStr">
        <is>
          <t>상온창고</t>
        </is>
      </c>
      <c r="G11" s="14" t="n">
        <v>3000</v>
      </c>
      <c r="H11" s="15">
        <f>IF(G11="","",ROUND(G11*0.3025,2))</f>
        <v/>
      </c>
      <c r="I11" s="16" t="n">
        <v>45200</v>
      </c>
      <c r="J11" s="16" t="n">
        <v>47026</v>
      </c>
      <c r="K11" s="17">
        <f>IF(J11="","",MAX(0,ROUND((J11-$C$3)/365,2)))</f>
        <v/>
      </c>
      <c r="L11" s="18" t="n">
        <v>190000</v>
      </c>
      <c r="M11" s="19">
        <f>IF(H11="","",H11*L11)</f>
        <v/>
      </c>
      <c r="N11" s="18" t="n">
        <v>3100</v>
      </c>
      <c r="O11" s="19">
        <f>IF(H11="","",H11*N11)</f>
        <v/>
      </c>
      <c r="P11" s="18" t="n">
        <v>8000</v>
      </c>
      <c r="Q11" s="19">
        <f>IF(H11="","",H11*P11)</f>
        <v/>
      </c>
      <c r="R11" s="19">
        <f>IF(O11="","",O11*12)</f>
        <v/>
      </c>
      <c r="S11" s="20">
        <f>IF(OR(O11="",O11=0),"",ROUND(M11/O11,1))</f>
        <v/>
      </c>
      <c r="T11" s="21" t="n">
        <v>0.03</v>
      </c>
      <c r="U11" s="13" t="n">
        <v>12</v>
      </c>
      <c r="V11" s="13" t="n">
        <v>0</v>
      </c>
      <c r="W11" s="13" t="inlineStr">
        <is>
          <t>예금질권</t>
        </is>
      </c>
      <c r="X11" s="22" t="n"/>
      <c r="Z11" s="49" t="n"/>
      <c r="AA11" s="49" t="n"/>
      <c r="AB11" s="49" t="n"/>
      <c r="AC11" s="49" t="n"/>
    </row>
    <row r="12" ht="18" customHeight="1">
      <c r="A12" s="13" t="n">
        <v>7</v>
      </c>
      <c r="B12" s="13" t="inlineStr">
        <is>
          <t>3F</t>
        </is>
      </c>
      <c r="C12" s="13" t="inlineStr">
        <is>
          <t>B</t>
        </is>
      </c>
      <c r="D12" s="13" t="inlineStr">
        <is>
          <t>공실</t>
        </is>
      </c>
      <c r="E12" s="13" t="n"/>
      <c r="F12" s="13" t="inlineStr">
        <is>
          <t>상온창고</t>
        </is>
      </c>
      <c r="G12" s="14" t="n">
        <v>1000</v>
      </c>
      <c r="H12" s="15">
        <f>IF(G12="","",ROUND(G12*0.3025,2))</f>
        <v/>
      </c>
      <c r="I12" s="16" t="n"/>
      <c r="J12" s="16" t="n"/>
      <c r="K12" s="17">
        <f>IF(J12="","",MAX(0,ROUND((J12-$C$3)/365,2)))</f>
        <v/>
      </c>
      <c r="L12" s="18" t="n">
        <v>0</v>
      </c>
      <c r="M12" s="19">
        <f>IF(H12="","",H12*L12)</f>
        <v/>
      </c>
      <c r="N12" s="18" t="n">
        <v>0</v>
      </c>
      <c r="O12" s="19">
        <f>IF(H12="","",H12*N12)</f>
        <v/>
      </c>
      <c r="P12" s="18" t="n">
        <v>0</v>
      </c>
      <c r="Q12" s="19">
        <f>IF(H12="","",H12*P12)</f>
        <v/>
      </c>
      <c r="R12" s="19">
        <f>IF(O12="","",O12*12)</f>
        <v/>
      </c>
      <c r="S12" s="20">
        <f>IF(OR(O12="",O12=0),"",ROUND(M12/O12,1))</f>
        <v/>
      </c>
      <c r="T12" s="21" t="n">
        <v>0</v>
      </c>
      <c r="U12" s="13" t="n">
        <v>0</v>
      </c>
      <c r="V12" s="13" t="n">
        <v>0</v>
      </c>
      <c r="W12" s="13" t="n"/>
      <c r="X12" s="22" t="inlineStr">
        <is>
          <t>임대 마케팅 중</t>
        </is>
      </c>
      <c r="Z12" s="49" t="n"/>
      <c r="AA12" s="49" t="n"/>
      <c r="AB12" s="49" t="n"/>
      <c r="AC12" s="49" t="n"/>
    </row>
    <row r="13" ht="18" customHeight="1">
      <c r="A13" s="13" t="n">
        <v>8</v>
      </c>
      <c r="B13" s="13" t="inlineStr">
        <is>
          <t>4F</t>
        </is>
      </c>
      <c r="C13" s="13" t="inlineStr">
        <is>
          <t>전체</t>
        </is>
      </c>
      <c r="D13" s="13" t="inlineStr">
        <is>
          <t>임차인 F</t>
        </is>
      </c>
      <c r="E13" s="13" t="inlineStr">
        <is>
          <t>제조</t>
        </is>
      </c>
      <c r="F13" s="13" t="inlineStr">
        <is>
          <t>상온창고</t>
        </is>
      </c>
      <c r="G13" s="14" t="n">
        <v>4500</v>
      </c>
      <c r="H13" s="15">
        <f>IF(G13="","",ROUND(G13*0.3025,2))</f>
        <v/>
      </c>
      <c r="I13" s="16" t="n">
        <v>45292</v>
      </c>
      <c r="J13" s="16" t="n">
        <v>46752</v>
      </c>
      <c r="K13" s="17">
        <f>IF(J13="","",MAX(0,ROUND((J13-$C$3)/365,2)))</f>
        <v/>
      </c>
      <c r="L13" s="18" t="n">
        <v>18000</v>
      </c>
      <c r="M13" s="19">
        <f>IF(H13="","",H13*L13)</f>
        <v/>
      </c>
      <c r="N13" s="18" t="n">
        <v>29000</v>
      </c>
      <c r="O13" s="19">
        <f>IF(H13="","",H13*N13)</f>
        <v/>
      </c>
      <c r="P13" s="18" t="n">
        <v>8000</v>
      </c>
      <c r="Q13" s="19">
        <f>IF(H13="","",H13*P13)</f>
        <v/>
      </c>
      <c r="R13" s="19">
        <f>IF(O13="","",O13*12)</f>
        <v/>
      </c>
      <c r="S13" s="20">
        <f>IF(OR(O13="",O13=0),"",ROUND(M13/O13,1))</f>
        <v/>
      </c>
      <c r="T13" s="21" t="n">
        <v>0.02</v>
      </c>
      <c r="U13" s="13" t="n">
        <v>12</v>
      </c>
      <c r="V13" s="13" t="n">
        <v>0</v>
      </c>
      <c r="W13" s="13" t="inlineStr">
        <is>
          <t>예금질권</t>
        </is>
      </c>
      <c r="X13" s="22" t="inlineStr">
        <is>
          <t>만기 1년 이내</t>
        </is>
      </c>
      <c r="Z13" s="49" t="n"/>
      <c r="AA13" s="49" t="n"/>
      <c r="AB13" s="49" t="n"/>
      <c r="AC13" s="49" t="n"/>
    </row>
    <row r="14" ht="18" customHeight="1">
      <c r="A14" s="13" t="n">
        <v>9</v>
      </c>
      <c r="B14" s="13" t="inlineStr">
        <is>
          <t>5F</t>
        </is>
      </c>
      <c r="C14" s="13" t="inlineStr">
        <is>
          <t>A</t>
        </is>
      </c>
      <c r="D14" s="13" t="inlineStr">
        <is>
          <t>임차인 G</t>
        </is>
      </c>
      <c r="E14" s="13" t="inlineStr">
        <is>
          <t>3PL</t>
        </is>
      </c>
      <c r="F14" s="13" t="inlineStr">
        <is>
          <t>상온창고</t>
        </is>
      </c>
      <c r="G14" s="14" t="n">
        <v>2800</v>
      </c>
      <c r="H14" s="15">
        <f>IF(G14="","",ROUND(G14*0.3025,2))</f>
        <v/>
      </c>
      <c r="I14" s="16" t="n">
        <v>45901</v>
      </c>
      <c r="J14" s="16" t="n">
        <v>47726</v>
      </c>
      <c r="K14" s="17">
        <f>IF(J14="","",MAX(0,ROUND((J14-$C$3)/365,2)))</f>
        <v/>
      </c>
      <c r="L14" s="18" t="n">
        <v>200000</v>
      </c>
      <c r="M14" s="19">
        <f>IF(H14="","",H14*L14)</f>
        <v/>
      </c>
      <c r="N14" s="18" t="n">
        <v>33000</v>
      </c>
      <c r="O14" s="19">
        <f>IF(H14="","",H14*N14)</f>
        <v/>
      </c>
      <c r="P14" s="18" t="n">
        <v>8000</v>
      </c>
      <c r="Q14" s="19">
        <f>IF(H14="","",H14*P14)</f>
        <v/>
      </c>
      <c r="R14" s="19">
        <f>IF(O14="","",O14*12)</f>
        <v/>
      </c>
      <c r="S14" s="20">
        <f>IF(OR(O14="",O14=0),"",ROUND(M14/O14,1))</f>
        <v/>
      </c>
      <c r="T14" s="21" t="n">
        <v>0.03</v>
      </c>
      <c r="U14" s="13" t="n">
        <v>12</v>
      </c>
      <c r="V14" s="13" t="n">
        <v>0</v>
      </c>
      <c r="W14" s="13" t="inlineStr">
        <is>
          <t>예금질권</t>
        </is>
      </c>
      <c r="X14" s="22" t="n"/>
      <c r="Z14" s="49" t="n"/>
      <c r="AA14" s="49" t="n"/>
      <c r="AB14" s="49" t="n"/>
      <c r="AC14" s="49" t="n"/>
    </row>
    <row r="15" ht="18" customHeight="1">
      <c r="A15" s="13" t="n">
        <v>10</v>
      </c>
      <c r="B15" s="13" t="inlineStr">
        <is>
          <t>5F</t>
        </is>
      </c>
      <c r="C15" s="13" t="inlineStr">
        <is>
          <t>B</t>
        </is>
      </c>
      <c r="D15" s="13" t="inlineStr">
        <is>
          <t>임차인 H</t>
        </is>
      </c>
      <c r="E15" s="13" t="inlineStr">
        <is>
          <t>물류</t>
        </is>
      </c>
      <c r="F15" s="13" t="inlineStr">
        <is>
          <t>상온창고</t>
        </is>
      </c>
      <c r="G15" s="14" t="n">
        <v>1500</v>
      </c>
      <c r="H15" s="15">
        <f>IF(G15="","",ROUND(G15*0.3025,2))</f>
        <v/>
      </c>
      <c r="I15" s="16" t="n">
        <v>46113</v>
      </c>
      <c r="J15" s="16" t="n">
        <v>47208</v>
      </c>
      <c r="K15" s="17">
        <f>IF(J15="","",MAX(0,ROUND((J15-$C$3)/365,2)))</f>
        <v/>
      </c>
      <c r="L15" s="18" t="n">
        <v>200000</v>
      </c>
      <c r="M15" s="19">
        <f>IF(H15="","",H15*L15)</f>
        <v/>
      </c>
      <c r="N15" s="18" t="n">
        <v>34000</v>
      </c>
      <c r="O15" s="19">
        <f>IF(H15="","",H15*N15)</f>
        <v/>
      </c>
      <c r="P15" s="18" t="n">
        <v>8000</v>
      </c>
      <c r="Q15" s="19">
        <f>IF(H15="","",H15*P15)</f>
        <v/>
      </c>
      <c r="R15" s="19">
        <f>IF(O15="","",O15*12)</f>
        <v/>
      </c>
      <c r="S15" s="20">
        <f>IF(OR(O15="",O15=0),"",ROUND(M15/O15,1))</f>
        <v/>
      </c>
      <c r="T15" s="21" t="n">
        <v>0.03</v>
      </c>
      <c r="U15" s="13" t="n">
        <v>12</v>
      </c>
      <c r="V15" s="13" t="n">
        <v>1</v>
      </c>
      <c r="W15" s="13" t="inlineStr">
        <is>
          <t>예금질권</t>
        </is>
      </c>
      <c r="X15" s="22" t="inlineStr">
        <is>
          <t>Rent-Free 잔여</t>
        </is>
      </c>
      <c r="Z15" s="49" t="n"/>
      <c r="AA15" s="49" t="n"/>
      <c r="AB15" s="49" t="n"/>
      <c r="AC15" s="49" t="n"/>
    </row>
    <row r="16" ht="18" customHeight="1">
      <c r="A16" s="13" t="n">
        <v>11</v>
      </c>
      <c r="B16" s="13" t="inlineStr">
        <is>
          <t>6F</t>
        </is>
      </c>
      <c r="C16" s="13" t="inlineStr">
        <is>
          <t>A</t>
        </is>
      </c>
      <c r="D16" s="13" t="inlineStr">
        <is>
          <t>임차인 A</t>
        </is>
      </c>
      <c r="E16" s="13" t="inlineStr">
        <is>
          <t>3PL</t>
        </is>
      </c>
      <c r="F16" s="13" t="inlineStr">
        <is>
          <t>사무</t>
        </is>
      </c>
      <c r="G16" s="14" t="n">
        <v>800</v>
      </c>
      <c r="H16" s="15">
        <f>IF(G16="","",ROUND(G16*0.3025,2))</f>
        <v/>
      </c>
      <c r="I16" s="16" t="n">
        <v>45717</v>
      </c>
      <c r="J16" s="16" t="n">
        <v>48273</v>
      </c>
      <c r="K16" s="17">
        <f>IF(J16="","",MAX(0,ROUND((J16-$C$3)/365,2)))</f>
        <v/>
      </c>
      <c r="L16" s="18" t="n">
        <v>200000</v>
      </c>
      <c r="M16" s="19">
        <f>IF(H16="","",H16*L16)</f>
        <v/>
      </c>
      <c r="N16" s="18" t="n">
        <v>30000</v>
      </c>
      <c r="O16" s="19">
        <f>IF(H16="","",H16*N16)</f>
        <v/>
      </c>
      <c r="P16" s="18" t="n">
        <v>8000</v>
      </c>
      <c r="Q16" s="19">
        <f>IF(H16="","",H16*P16)</f>
        <v/>
      </c>
      <c r="R16" s="19">
        <f>IF(O16="","",O16*12)</f>
        <v/>
      </c>
      <c r="S16" s="20">
        <f>IF(OR(O16="",O16=0),"",ROUND(M16/O16,1))</f>
        <v/>
      </c>
      <c r="T16" s="21" t="n">
        <v>0.025</v>
      </c>
      <c r="U16" s="13" t="n">
        <v>12</v>
      </c>
      <c r="V16" s="13" t="n">
        <v>0</v>
      </c>
      <c r="W16" s="13" t="inlineStr">
        <is>
          <t>우선수익권</t>
        </is>
      </c>
      <c r="X16" s="22" t="inlineStr">
        <is>
          <t>앵커 임차인</t>
        </is>
      </c>
      <c r="Z16" s="49" t="n"/>
      <c r="AA16" s="49" t="n"/>
      <c r="AB16" s="49" t="n"/>
      <c r="AC16" s="49" t="n"/>
    </row>
    <row r="17" ht="18" customHeight="1">
      <c r="A17" s="13" t="n">
        <v>12</v>
      </c>
      <c r="B17" s="13" t="inlineStr">
        <is>
          <t>6F</t>
        </is>
      </c>
      <c r="C17" s="13" t="inlineStr">
        <is>
          <t>B</t>
        </is>
      </c>
      <c r="D17" s="13" t="inlineStr">
        <is>
          <t>공실</t>
        </is>
      </c>
      <c r="E17" s="13" t="n"/>
      <c r="F17" s="13" t="inlineStr">
        <is>
          <t>사무</t>
        </is>
      </c>
      <c r="G17" s="14" t="n">
        <v>200</v>
      </c>
      <c r="H17" s="15">
        <f>IF(G17="","",ROUND(G17*0.3025,2))</f>
        <v/>
      </c>
      <c r="I17" s="16" t="n"/>
      <c r="J17" s="16" t="n"/>
      <c r="K17" s="17">
        <f>IF(J17="","",MAX(0,ROUND((J17-$C$3)/365,2)))</f>
        <v/>
      </c>
      <c r="L17" s="18" t="n">
        <v>0</v>
      </c>
      <c r="M17" s="19">
        <f>IF(H17="","",H17*L17)</f>
        <v/>
      </c>
      <c r="N17" s="18" t="n">
        <v>0</v>
      </c>
      <c r="O17" s="19">
        <f>IF(H17="","",H17*N17)</f>
        <v/>
      </c>
      <c r="P17" s="18" t="n">
        <v>0</v>
      </c>
      <c r="Q17" s="19">
        <f>IF(H17="","",H17*P17)</f>
        <v/>
      </c>
      <c r="R17" s="19">
        <f>IF(O17="","",O17*12)</f>
        <v/>
      </c>
      <c r="S17" s="20">
        <f>IF(OR(O17="",O17=0),"",ROUND(M17/O17,1))</f>
        <v/>
      </c>
      <c r="T17" s="21" t="n">
        <v>0</v>
      </c>
      <c r="U17" s="13" t="n">
        <v>0</v>
      </c>
      <c r="V17" s="13" t="n">
        <v>0</v>
      </c>
      <c r="W17" s="13" t="n"/>
      <c r="X17" s="22" t="n"/>
      <c r="Z17" s="49" t="n"/>
      <c r="AA17" s="49" t="n"/>
      <c r="AB17" s="49" t="n"/>
      <c r="AC17" s="49" t="n"/>
    </row>
    <row r="18" ht="18" customHeight="1">
      <c r="A18" s="13" t="n">
        <v>13</v>
      </c>
      <c r="B18" s="13" t="inlineStr">
        <is>
          <t>3F</t>
        </is>
      </c>
      <c r="C18" s="13" t="inlineStr">
        <is>
          <t>A</t>
        </is>
      </c>
      <c r="D18" s="13" t="inlineStr">
        <is>
          <t>임차인 E</t>
        </is>
      </c>
      <c r="E18" s="13" t="inlineStr">
        <is>
          <t>이커머스</t>
        </is>
      </c>
      <c r="F18" s="13" t="inlineStr">
        <is>
          <t>상온창고</t>
        </is>
      </c>
      <c r="G18" s="14" t="n">
        <v>3000</v>
      </c>
      <c r="H18" s="15">
        <f>IF(G18="","",ROUND(G18*0.3025,2))</f>
        <v/>
      </c>
      <c r="I18" s="16" t="n">
        <v>45200</v>
      </c>
      <c r="J18" s="16" t="n">
        <v>47026</v>
      </c>
      <c r="K18" s="17">
        <f>IF(J18="","",MAX(0,ROUND((J18-$C$3)/365,2)))</f>
        <v/>
      </c>
      <c r="L18" s="18" t="n">
        <v>190000</v>
      </c>
      <c r="M18" s="19">
        <f>IF(H18="","",H18*L18)</f>
        <v/>
      </c>
      <c r="N18" s="18" t="n">
        <v>31000</v>
      </c>
      <c r="O18" s="19">
        <f>IF(H18="","",H18*N18)</f>
        <v/>
      </c>
      <c r="P18" s="18" t="n">
        <v>8000</v>
      </c>
      <c r="Q18" s="19">
        <f>IF(H18="","",H18*P18)</f>
        <v/>
      </c>
      <c r="R18" s="19">
        <f>IF(O18="","",O18*12)</f>
        <v/>
      </c>
      <c r="S18" s="20">
        <f>IF(OR(O18="",O18=0),"",ROUND(M18/O18,1))</f>
        <v/>
      </c>
      <c r="T18" s="21" t="n">
        <v>0.03</v>
      </c>
      <c r="U18" s="13" t="n">
        <v>12</v>
      </c>
      <c r="V18" s="13" t="n">
        <v>0</v>
      </c>
      <c r="W18" s="13" t="inlineStr">
        <is>
          <t>예금질권</t>
        </is>
      </c>
      <c r="X18" s="22" t="n"/>
      <c r="Z18" s="49" t="n"/>
      <c r="AA18" s="49" t="n"/>
      <c r="AB18" s="49" t="n"/>
      <c r="AC18" s="49" t="n"/>
    </row>
    <row r="19">
      <c r="A19" s="23" t="inlineStr">
        <is>
          <t>합계 / 가중평균</t>
        </is>
      </c>
      <c r="B19" s="23" t="n"/>
      <c r="C19" s="23" t="n"/>
      <c r="D19" s="23" t="n"/>
      <c r="E19" s="23" t="n"/>
      <c r="F19" s="23" t="n"/>
      <c r="G19" s="24">
        <f>SUM(G6:G18)</f>
        <v/>
      </c>
      <c r="H19" s="24">
        <f>SUM(H6:H18)</f>
        <v/>
      </c>
      <c r="I19" s="25" t="n"/>
      <c r="J19" s="25" t="n"/>
      <c r="K19" s="26">
        <f>IFERROR(SUMPRODUCT(N(+K6:K18),N(+R6:R18))/SUM(R6:R18),"")</f>
        <v/>
      </c>
      <c r="L19" s="27" t="n"/>
      <c r="M19" s="27">
        <f>SUM(M6:M18)</f>
        <v/>
      </c>
      <c r="N19" s="27" t="n"/>
      <c r="O19" s="27">
        <f>SUM(O6:O18)</f>
        <v/>
      </c>
      <c r="P19" s="27" t="n"/>
      <c r="Q19" s="27">
        <f>SUM(Q6:Q18)</f>
        <v/>
      </c>
      <c r="R19" s="27">
        <f>SUM(R6:R18)</f>
        <v/>
      </c>
      <c r="S19" s="28">
        <f>IFERROR(ROUND(M19/O19,1),"")</f>
        <v/>
      </c>
      <c r="T19" s="25" t="n"/>
      <c r="U19" s="25" t="n"/>
      <c r="V19" s="25" t="n"/>
      <c r="W19" s="25" t="n"/>
      <c r="X19" s="25" t="n"/>
    </row>
    <row r="20">
      <c r="A20" s="29" t="inlineStr">
        <is>
          <t>※ 합계 행의 잔여기간 = 연 임대료 가중 WALE(년). 공실 행은 임대료가 0이라 가중치에서 빠진다.</t>
        </is>
      </c>
    </row>
    <row r="21">
      <c r="A21" s="50" t="inlineStr">
        <is>
          <t>임대율 점검: =SUM(G6:G18)/G3  → 100%를 넘으면 중복·오입력 의심</t>
        </is>
      </c>
    </row>
  </sheetData>
  <mergeCells count="3">
    <mergeCell ref="A19:F19"/>
    <mergeCell ref="A3:B3"/>
    <mergeCell ref="E3:F3"/>
  </mergeCells>
  <dataValidations count="2">
    <dataValidation sqref="W6:W18" showDropDown="0" showInputMessage="0" showErrorMessage="0" allowBlank="1" type="list">
      <formula1>"우선수익권,예금질권,보증보험,없음"</formula1>
    </dataValidation>
    <dataValidation sqref="F6:F18" showDropDown="0" showInputMessage="0" showErrorMessage="0" allowBlank="1" type="list">
      <formula1>"상온창고,저온창고,근생,사무,기타"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렌트롤 작성 실습(Clean)</dc:title>
  <dcterms:created xmlns:dcterms="http://purl.org/dc/terms/" xmlns:xsi="http://www.w3.org/2001/XMLSchema-instance" xsi:type="dcterms:W3CDTF">2026-10-11T04:41:05Z</dcterms:created>
  <dcterms:modified xmlns:dcterms="http://purl.org/dc/terms/" xmlns:xsi="http://www.w3.org/2001/XMLSchema-instance" xsi:type="dcterms:W3CDTF">2026-10-11T04:41:05Z</dcterms:modified>
  <cp:lastModifiedBy/>
  <cp:keywords>Rent Roll, 실습, 강의용, 가상데이터</cp:keywords>
</cp:coreProperties>
</file>